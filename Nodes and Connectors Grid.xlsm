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480" yWindow="135" windowWidth="5280" windowHeight="4500" activeTab="2"/>
  </bookViews>
  <sheets>
    <sheet name="Instructions" sheetId="6" r:id="rId1"/>
    <sheet name="Dashboard" sheetId="4" r:id="rId2"/>
    <sheet name="Touchpoints" sheetId="3" r:id="rId3"/>
    <sheet name="Source" sheetId="1" r:id="rId4"/>
    <sheet name="Maps" sheetId="2" r:id="rId5"/>
  </sheets>
  <definedNames>
    <definedName name="category1">Dashboard!$A$1</definedName>
    <definedName name="category2">Dashboard!$B$1</definedName>
    <definedName name="drawbutton">Maps!$A$1</definedName>
    <definedName name="drawbuttonsrc">Source!$A$1</definedName>
    <definedName name="stages">Touchpoints!$C$2:$C$1001</definedName>
    <definedName name="stg">Dashboard!$E$1</definedName>
    <definedName name="touchpoints">Touchpoints!$B$2:$B$1001</definedName>
    <definedName name="tpheader">Touchpoints!$B$1</definedName>
  </definedNames>
  <calcPr calcId="144525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B4" i="1" l="1"/>
  <c r="E2" i="4" l="1" a="1"/>
  <c r="E2" i="4" s="1"/>
  <c r="E3" i="4" l="1" a="1"/>
  <c r="E3" i="4" s="1"/>
  <c r="E4" i="4" s="1" a="1"/>
  <c r="E4" i="4" s="1"/>
  <c r="ALN1" i="1"/>
  <c r="ALM1" i="1"/>
  <c r="ALL1" i="2" s="1"/>
  <c r="ALL1" i="1"/>
  <c r="ALK1" i="2" s="1"/>
  <c r="ALK1" i="1"/>
  <c r="ALJ1" i="2" s="1"/>
  <c r="ALJ1" i="1"/>
  <c r="ALI1" i="2" s="1"/>
  <c r="ALI1" i="1"/>
  <c r="ALH1" i="2" s="1"/>
  <c r="ALH1" i="1"/>
  <c r="ALG1" i="2" s="1"/>
  <c r="ALG1" i="1"/>
  <c r="ALF1" i="2" s="1"/>
  <c r="ALF1" i="1"/>
  <c r="ALE1" i="2" s="1"/>
  <c r="ALE1" i="1"/>
  <c r="ALD1" i="2" s="1"/>
  <c r="ALD1" i="1"/>
  <c r="ALC1" i="2" s="1"/>
  <c r="ALC1" i="1"/>
  <c r="ALB1" i="2" s="1"/>
  <c r="ALB1" i="1"/>
  <c r="ALA1" i="2" s="1"/>
  <c r="ALA1" i="1"/>
  <c r="AKZ1" i="2" s="1"/>
  <c r="AKZ1" i="1"/>
  <c r="AKY1" i="2" s="1"/>
  <c r="AKY1" i="1"/>
  <c r="AKX1" i="2" s="1"/>
  <c r="AKX1" i="1"/>
  <c r="AKW1" i="2" s="1"/>
  <c r="AKW1" i="1"/>
  <c r="AKV1" i="2" s="1"/>
  <c r="AKV1" i="1"/>
  <c r="AKU1" i="2" s="1"/>
  <c r="AKU1" i="1"/>
  <c r="AKT1" i="2" s="1"/>
  <c r="AKT1" i="1"/>
  <c r="AKS1" i="2" s="1"/>
  <c r="AKS1" i="1"/>
  <c r="AKR1" i="2" s="1"/>
  <c r="AKR1" i="1"/>
  <c r="AKQ1" i="2" s="1"/>
  <c r="AKQ1" i="1"/>
  <c r="AKP1" i="2" s="1"/>
  <c r="AKP1" i="1"/>
  <c r="AKO1" i="2" s="1"/>
  <c r="AKO1" i="1"/>
  <c r="AKN1" i="2" s="1"/>
  <c r="AKN1" i="1"/>
  <c r="AKM1" i="2" s="1"/>
  <c r="AKM1" i="1"/>
  <c r="AKL1" i="2" s="1"/>
  <c r="AKL1" i="1"/>
  <c r="AKK1" i="2" s="1"/>
  <c r="AKK1" i="1"/>
  <c r="AKJ1" i="2" s="1"/>
  <c r="AKJ1" i="1"/>
  <c r="AKI1" i="2" s="1"/>
  <c r="AKI1" i="1"/>
  <c r="AKH1" i="2" s="1"/>
  <c r="AKH1" i="1"/>
  <c r="AKG1" i="2" s="1"/>
  <c r="AKG1" i="1"/>
  <c r="AKF1" i="2" s="1"/>
  <c r="AKF1" i="1"/>
  <c r="AKE1" i="2" s="1"/>
  <c r="AKE1" i="1"/>
  <c r="AKD1" i="2" s="1"/>
  <c r="AKD1" i="1"/>
  <c r="AKC1" i="2" s="1"/>
  <c r="AKC1" i="1"/>
  <c r="AKB1" i="2" s="1"/>
  <c r="AKB1" i="1"/>
  <c r="AKA1" i="2" s="1"/>
  <c r="AKA1" i="1"/>
  <c r="AJZ1" i="2" s="1"/>
  <c r="AJZ1" i="1"/>
  <c r="AJY1" i="2" s="1"/>
  <c r="AJY1" i="1"/>
  <c r="AJX1" i="2" s="1"/>
  <c r="AJX1" i="1"/>
  <c r="AJW1" i="2" s="1"/>
  <c r="AJW1" i="1"/>
  <c r="AJV1" i="2" s="1"/>
  <c r="AJV1" i="1"/>
  <c r="AJU1" i="2" s="1"/>
  <c r="AJU1" i="1"/>
  <c r="AJT1" i="2" s="1"/>
  <c r="AJT1" i="1"/>
  <c r="AJS1" i="2" s="1"/>
  <c r="AJS1" i="1"/>
  <c r="AJR1" i="2" s="1"/>
  <c r="AJR1" i="1"/>
  <c r="AJQ1" i="2" s="1"/>
  <c r="AJQ1" i="1"/>
  <c r="AJP1" i="2" s="1"/>
  <c r="AJP1" i="1"/>
  <c r="AJO1" i="2" s="1"/>
  <c r="AJO1" i="1"/>
  <c r="AJN1" i="2" s="1"/>
  <c r="AJN1" i="1"/>
  <c r="AJM1" i="2" s="1"/>
  <c r="AJM1" i="1"/>
  <c r="AJL1" i="2" s="1"/>
  <c r="AJL1" i="1"/>
  <c r="AJK1" i="2" s="1"/>
  <c r="AJK1" i="1"/>
  <c r="AJJ1" i="2" s="1"/>
  <c r="AJJ1" i="1"/>
  <c r="AJI1" i="2" s="1"/>
  <c r="AJI1" i="1"/>
  <c r="AJH1" i="2" s="1"/>
  <c r="AJH1" i="1"/>
  <c r="AJG1" i="2" s="1"/>
  <c r="AJG1" i="1"/>
  <c r="AJF1" i="1"/>
  <c r="AJE1" i="2" s="1"/>
  <c r="AJE1" i="1"/>
  <c r="AJD1" i="2" s="1"/>
  <c r="AJD1" i="1"/>
  <c r="AJC1" i="2" s="1"/>
  <c r="AJC1" i="1"/>
  <c r="AJB1" i="2" s="1"/>
  <c r="AJB1" i="1"/>
  <c r="AJA1" i="2" s="1"/>
  <c r="AJA1" i="1"/>
  <c r="AIZ1" i="2" s="1"/>
  <c r="AIZ1" i="1"/>
  <c r="AIY1" i="2" s="1"/>
  <c r="AIY1" i="1"/>
  <c r="AIX1" i="2" s="1"/>
  <c r="AIX1" i="1"/>
  <c r="AIW1" i="2" s="1"/>
  <c r="AIW1" i="1"/>
  <c r="AIV1" i="2" s="1"/>
  <c r="AIV1" i="1"/>
  <c r="AIU1" i="2" s="1"/>
  <c r="AIU1" i="1"/>
  <c r="AIT1" i="2" s="1"/>
  <c r="AIT1" i="1"/>
  <c r="AIS1" i="2" s="1"/>
  <c r="AIS1" i="1"/>
  <c r="AIR1" i="2" s="1"/>
  <c r="AIR1" i="1"/>
  <c r="AIQ1" i="2" s="1"/>
  <c r="AIQ1" i="1"/>
  <c r="AIP1" i="2" s="1"/>
  <c r="AIP1" i="1"/>
  <c r="AIO1" i="2" s="1"/>
  <c r="AIO1" i="1"/>
  <c r="AIN1" i="2" s="1"/>
  <c r="AIN1" i="1"/>
  <c r="AIM1" i="2" s="1"/>
  <c r="AIM1" i="1"/>
  <c r="AIL1" i="2" s="1"/>
  <c r="AIL1" i="1"/>
  <c r="AIK1" i="2" s="1"/>
  <c r="AIK1" i="1"/>
  <c r="AIJ1" i="2" s="1"/>
  <c r="AIJ1" i="1"/>
  <c r="AII1" i="2" s="1"/>
  <c r="AII1" i="1"/>
  <c r="AIH1" i="2" s="1"/>
  <c r="AIH1" i="1"/>
  <c r="AIG1" i="2" s="1"/>
  <c r="AIG1" i="1"/>
  <c r="AIF1" i="2" s="1"/>
  <c r="AIF1" i="1"/>
  <c r="AIE1" i="2" s="1"/>
  <c r="AIE1" i="1"/>
  <c r="AID1" i="2" s="1"/>
  <c r="AID1" i="1"/>
  <c r="AIC1" i="2" s="1"/>
  <c r="AIC1" i="1"/>
  <c r="AIB1" i="2" s="1"/>
  <c r="AIB1" i="1"/>
  <c r="AIA1" i="2" s="1"/>
  <c r="AIA1" i="1"/>
  <c r="AHZ1" i="1"/>
  <c r="AHY1" i="2" s="1"/>
  <c r="AHY1" i="1"/>
  <c r="AHX1" i="2" s="1"/>
  <c r="AHX1" i="1"/>
  <c r="AHW1" i="2" s="1"/>
  <c r="AHW1" i="1"/>
  <c r="AHV1" i="2" s="1"/>
  <c r="AHV1" i="1"/>
  <c r="AHU1" i="2" s="1"/>
  <c r="AHU1" i="1"/>
  <c r="AHT1" i="2" s="1"/>
  <c r="AHT1" i="1"/>
  <c r="AHS1" i="2" s="1"/>
  <c r="AHS1" i="1"/>
  <c r="AHR1" i="2" s="1"/>
  <c r="AHR1" i="1"/>
  <c r="AHQ1" i="2" s="1"/>
  <c r="AHQ1" i="1"/>
  <c r="AHP1" i="2" s="1"/>
  <c r="AHP1" i="1"/>
  <c r="AHO1" i="2" s="1"/>
  <c r="AHO1" i="1"/>
  <c r="AHN1" i="2" s="1"/>
  <c r="AHN1" i="1"/>
  <c r="AHM1" i="2" s="1"/>
  <c r="AHM1" i="1"/>
  <c r="AHL1" i="2" s="1"/>
  <c r="AHL1" i="1"/>
  <c r="AHK1" i="2" s="1"/>
  <c r="AHK1" i="1"/>
  <c r="AHJ1" i="2" s="1"/>
  <c r="AHJ1" i="1"/>
  <c r="AHI1" i="2" s="1"/>
  <c r="AHI1" i="1"/>
  <c r="AHH1" i="2" s="1"/>
  <c r="AHH1" i="1"/>
  <c r="AHG1" i="2" s="1"/>
  <c r="AHG1" i="1"/>
  <c r="AHF1" i="2" s="1"/>
  <c r="AHF1" i="1"/>
  <c r="AHE1" i="2" s="1"/>
  <c r="AHE1" i="1"/>
  <c r="AHD1" i="2" s="1"/>
  <c r="AHD1" i="1"/>
  <c r="AHC1" i="2" s="1"/>
  <c r="AHC1" i="1"/>
  <c r="AHB1" i="2" s="1"/>
  <c r="AHB1" i="1"/>
  <c r="AHA1" i="2" s="1"/>
  <c r="AHA1" i="1"/>
  <c r="AGZ1" i="2" s="1"/>
  <c r="AGZ1" i="1"/>
  <c r="AGY1" i="2" s="1"/>
  <c r="AGY1" i="1"/>
  <c r="AGX1" i="2" s="1"/>
  <c r="AGX1" i="1"/>
  <c r="AGW1" i="2" s="1"/>
  <c r="AGW1" i="1"/>
  <c r="AGV1" i="2" s="1"/>
  <c r="AGV1" i="1"/>
  <c r="AGU1" i="2" s="1"/>
  <c r="AGU1" i="1"/>
  <c r="AGT1" i="2" s="1"/>
  <c r="AGT1" i="1"/>
  <c r="AGS1" i="2" s="1"/>
  <c r="AGS1" i="1"/>
  <c r="AGR1" i="2" s="1"/>
  <c r="AGR1" i="1"/>
  <c r="AGQ1" i="2" s="1"/>
  <c r="AGQ1" i="1"/>
  <c r="AGP1" i="2" s="1"/>
  <c r="AGP1" i="1"/>
  <c r="AGO1" i="2" s="1"/>
  <c r="AGO1" i="1"/>
  <c r="AGN1" i="2" s="1"/>
  <c r="AGN1" i="1"/>
  <c r="AGM1" i="2" s="1"/>
  <c r="AGM1" i="1"/>
  <c r="AGL1" i="1"/>
  <c r="AGK1" i="2" s="1"/>
  <c r="AGK1" i="1"/>
  <c r="AGJ1" i="2" s="1"/>
  <c r="AGJ1" i="1"/>
  <c r="AGI1" i="2" s="1"/>
  <c r="AGI1" i="1"/>
  <c r="AGH1" i="2" s="1"/>
  <c r="AGH1" i="1"/>
  <c r="AGG1" i="2" s="1"/>
  <c r="AGG1" i="1"/>
  <c r="AGF1" i="2" s="1"/>
  <c r="AGF1" i="1"/>
  <c r="AGE1" i="2" s="1"/>
  <c r="AGE1" i="1"/>
  <c r="AGD1" i="2" s="1"/>
  <c r="AGD1" i="1"/>
  <c r="AGC1" i="2" s="1"/>
  <c r="AGC1" i="1"/>
  <c r="AGB1" i="2" s="1"/>
  <c r="AGB1" i="1"/>
  <c r="AGA1" i="2" s="1"/>
  <c r="AGA1" i="1"/>
  <c r="AFZ1" i="2" s="1"/>
  <c r="AFZ1" i="1"/>
  <c r="AFY1" i="2" s="1"/>
  <c r="AFY1" i="1"/>
  <c r="AFX1" i="2" s="1"/>
  <c r="AFX1" i="1"/>
  <c r="AFW1" i="2" s="1"/>
  <c r="AFW1" i="1"/>
  <c r="AFV1" i="2" s="1"/>
  <c r="AFV1" i="1"/>
  <c r="AFU1" i="2" s="1"/>
  <c r="AFU1" i="1"/>
  <c r="AFT1" i="2" s="1"/>
  <c r="AFT1" i="1"/>
  <c r="AFS1" i="2" s="1"/>
  <c r="AFS1" i="1"/>
  <c r="AFR1" i="1"/>
  <c r="AFQ1" i="2" s="1"/>
  <c r="AFQ1" i="1"/>
  <c r="AFP1" i="2" s="1"/>
  <c r="AFP1" i="1"/>
  <c r="AFO1" i="2" s="1"/>
  <c r="AFO1" i="1"/>
  <c r="AFN1" i="2" s="1"/>
  <c r="AFN1" i="1"/>
  <c r="AFM1" i="2" s="1"/>
  <c r="AFM1" i="1"/>
  <c r="AFL1" i="2" s="1"/>
  <c r="AFL1" i="1"/>
  <c r="AFK1" i="2" s="1"/>
  <c r="AFK1" i="1"/>
  <c r="AFJ1" i="2" s="1"/>
  <c r="AFJ1" i="1"/>
  <c r="AFI1" i="2" s="1"/>
  <c r="AFI1" i="1"/>
  <c r="AFH1" i="2" s="1"/>
  <c r="AFH1" i="1"/>
  <c r="AFG1" i="2" s="1"/>
  <c r="AFG1" i="1"/>
  <c r="AFF1" i="2" s="1"/>
  <c r="AFF1" i="1"/>
  <c r="AFE1" i="2" s="1"/>
  <c r="AFE1" i="1"/>
  <c r="AFD1" i="2" s="1"/>
  <c r="AFD1" i="1"/>
  <c r="AFC1" i="2" s="1"/>
  <c r="AFC1" i="1"/>
  <c r="AFB1" i="2" s="1"/>
  <c r="AFB1" i="1"/>
  <c r="AFA1" i="2" s="1"/>
  <c r="AFA1" i="1"/>
  <c r="AEZ1" i="2" s="1"/>
  <c r="AEZ1" i="1"/>
  <c r="AEY1" i="2" s="1"/>
  <c r="AEY1" i="1"/>
  <c r="AEX1" i="2" s="1"/>
  <c r="AEX1" i="1"/>
  <c r="AEW1" i="2" s="1"/>
  <c r="AEW1" i="1"/>
  <c r="AEV1" i="2" s="1"/>
  <c r="AEV1" i="1"/>
  <c r="AEU1" i="2" s="1"/>
  <c r="AEU1" i="1"/>
  <c r="AET1" i="2" s="1"/>
  <c r="AET1" i="1"/>
  <c r="AES1" i="2" s="1"/>
  <c r="AES1" i="1"/>
  <c r="AER1" i="2" s="1"/>
  <c r="AER1" i="1"/>
  <c r="AEQ1" i="2" s="1"/>
  <c r="AEQ1" i="1"/>
  <c r="AEP1" i="2" s="1"/>
  <c r="AEP1" i="1"/>
  <c r="AEO1" i="2" s="1"/>
  <c r="AEO1" i="1"/>
  <c r="AEN1" i="2" s="1"/>
  <c r="AEN1" i="1"/>
  <c r="AEM1" i="2" s="1"/>
  <c r="AEM1" i="1"/>
  <c r="AEL1" i="2" s="1"/>
  <c r="AEL1" i="1"/>
  <c r="AEK1" i="2" s="1"/>
  <c r="AEK1" i="1"/>
  <c r="AEJ1" i="2" s="1"/>
  <c r="AEJ1" i="1"/>
  <c r="AEI1" i="2" s="1"/>
  <c r="AEI1" i="1"/>
  <c r="AEH1" i="2" s="1"/>
  <c r="AEH1" i="1"/>
  <c r="AEG1" i="2" s="1"/>
  <c r="AEG1" i="1"/>
  <c r="AEF1" i="2" s="1"/>
  <c r="AEF1" i="1"/>
  <c r="AEE1" i="2" s="1"/>
  <c r="AEE1" i="1"/>
  <c r="AED1" i="2" s="1"/>
  <c r="AED1" i="1"/>
  <c r="AEC1" i="2" s="1"/>
  <c r="AEC1" i="1"/>
  <c r="AEB1" i="2" s="1"/>
  <c r="AEB1" i="1"/>
  <c r="AEA1" i="2" s="1"/>
  <c r="AEA1" i="1"/>
  <c r="ADZ1" i="1"/>
  <c r="ADY1" i="2" s="1"/>
  <c r="ADY1" i="1"/>
  <c r="ADX1" i="2" s="1"/>
  <c r="ADX1" i="1"/>
  <c r="ADW1" i="2" s="1"/>
  <c r="ADW1" i="1"/>
  <c r="ADV1" i="2" s="1"/>
  <c r="ADV1" i="1"/>
  <c r="ADU1" i="2" s="1"/>
  <c r="ADU1" i="1"/>
  <c r="ADT1" i="2" s="1"/>
  <c r="ADT1" i="1"/>
  <c r="ADS1" i="2" s="1"/>
  <c r="ADS1" i="1"/>
  <c r="ADR1" i="2" s="1"/>
  <c r="ADR1" i="1"/>
  <c r="ADQ1" i="2" s="1"/>
  <c r="ADQ1" i="1"/>
  <c r="ADP1" i="2" s="1"/>
  <c r="ADP1" i="1"/>
  <c r="ADO1" i="2" s="1"/>
  <c r="ADO1" i="1"/>
  <c r="ADN1" i="2" s="1"/>
  <c r="ADN1" i="1"/>
  <c r="ADM1" i="2" s="1"/>
  <c r="ADM1" i="1"/>
  <c r="ADL1" i="2" s="1"/>
  <c r="ADL1" i="1"/>
  <c r="ADK1" i="2" s="1"/>
  <c r="ADK1" i="1"/>
  <c r="ADJ1" i="2" s="1"/>
  <c r="ADJ1" i="1"/>
  <c r="ADI1" i="2" s="1"/>
  <c r="ADI1" i="1"/>
  <c r="ADH1" i="2" s="1"/>
  <c r="ADH1" i="1"/>
  <c r="ADG1" i="2" s="1"/>
  <c r="ADG1" i="1"/>
  <c r="ADF1" i="2" s="1"/>
  <c r="ADF1" i="1"/>
  <c r="ADE1" i="2" s="1"/>
  <c r="ADE1" i="1"/>
  <c r="ADD1" i="2" s="1"/>
  <c r="ADD1" i="1"/>
  <c r="ADC1" i="2" s="1"/>
  <c r="ADC1" i="1"/>
  <c r="ADB1" i="2" s="1"/>
  <c r="ADB1" i="1"/>
  <c r="ADA1" i="2" s="1"/>
  <c r="ADA1" i="1"/>
  <c r="ACZ1" i="2" s="1"/>
  <c r="ACZ1" i="1"/>
  <c r="ACY1" i="2" s="1"/>
  <c r="ACY1" i="1"/>
  <c r="ACX1" i="2" s="1"/>
  <c r="ACX1" i="1"/>
  <c r="ACW1" i="2" s="1"/>
  <c r="ACW1" i="1"/>
  <c r="ACV1" i="2" s="1"/>
  <c r="ACV1" i="1"/>
  <c r="ACU1" i="2" s="1"/>
  <c r="ACU1" i="1"/>
  <c r="ACT1" i="2" s="1"/>
  <c r="ACT1" i="1"/>
  <c r="ACS1" i="2" s="1"/>
  <c r="ACS1" i="1"/>
  <c r="ACR1" i="2" s="1"/>
  <c r="ACR1" i="1"/>
  <c r="ACQ1" i="2" s="1"/>
  <c r="ACQ1" i="1"/>
  <c r="ACP1" i="2" s="1"/>
  <c r="ACP1" i="1"/>
  <c r="ACO1" i="2" s="1"/>
  <c r="ACO1" i="1"/>
  <c r="ACN1" i="2" s="1"/>
  <c r="ACN1" i="1"/>
  <c r="ACM1" i="2" s="1"/>
  <c r="ACM1" i="1"/>
  <c r="ACL1" i="2" s="1"/>
  <c r="ACL1" i="1"/>
  <c r="ACK1" i="2" s="1"/>
  <c r="ACK1" i="1"/>
  <c r="ACJ1" i="2" s="1"/>
  <c r="ACJ1" i="1"/>
  <c r="ACI1" i="2" s="1"/>
  <c r="ACI1" i="1"/>
  <c r="ACH1" i="2" s="1"/>
  <c r="ACH1" i="1"/>
  <c r="ACG1" i="2" s="1"/>
  <c r="ACG1" i="1"/>
  <c r="ACF1" i="2" s="1"/>
  <c r="ACF1" i="1"/>
  <c r="ACE1" i="2" s="1"/>
  <c r="ACE1" i="1"/>
  <c r="ACD1" i="2" s="1"/>
  <c r="ACD1" i="1"/>
  <c r="ACC1" i="2" s="1"/>
  <c r="ACC1" i="1"/>
  <c r="ACB1" i="2" s="1"/>
  <c r="ACB1" i="1"/>
  <c r="ACA1" i="2" s="1"/>
  <c r="ACA1" i="1"/>
  <c r="ABZ1" i="1"/>
  <c r="ABY1" i="2" s="1"/>
  <c r="ABY1" i="1"/>
  <c r="ABX1" i="2" s="1"/>
  <c r="ABX1" i="1"/>
  <c r="ABW1" i="2" s="1"/>
  <c r="ABW1" i="1"/>
  <c r="ABV1" i="2" s="1"/>
  <c r="ABV1" i="1"/>
  <c r="ABU1" i="2" s="1"/>
  <c r="ABU1" i="1"/>
  <c r="ABT1" i="2" s="1"/>
  <c r="ABT1" i="1"/>
  <c r="ABS1" i="2" s="1"/>
  <c r="ABS1" i="1"/>
  <c r="ABR1" i="1"/>
  <c r="ABQ1" i="2" s="1"/>
  <c r="ABQ1" i="1"/>
  <c r="ABP1" i="2" s="1"/>
  <c r="ABP1" i="1"/>
  <c r="ABO1" i="2" s="1"/>
  <c r="ABO1" i="1"/>
  <c r="ABN1" i="2" s="1"/>
  <c r="ABN1" i="1"/>
  <c r="ABM1" i="2" s="1"/>
  <c r="ABM1" i="1"/>
  <c r="ABL1" i="2" s="1"/>
  <c r="ABL1" i="1"/>
  <c r="ABK1" i="2" s="1"/>
  <c r="ABK1" i="1"/>
  <c r="ABJ1" i="2" s="1"/>
  <c r="ABJ1" i="1"/>
  <c r="ABI1" i="2" s="1"/>
  <c r="ABI1" i="1"/>
  <c r="ABH1" i="2" s="1"/>
  <c r="ABH1" i="1"/>
  <c r="ABG1" i="2" s="1"/>
  <c r="ABG1" i="1"/>
  <c r="ABF1" i="2" s="1"/>
  <c r="ABF1" i="1"/>
  <c r="ABE1" i="2" s="1"/>
  <c r="ABE1" i="1"/>
  <c r="ABD1" i="2" s="1"/>
  <c r="ABD1" i="1"/>
  <c r="ABC1" i="2" s="1"/>
  <c r="ABC1" i="1"/>
  <c r="ABB1" i="2" s="1"/>
  <c r="ABB1" i="1"/>
  <c r="ABA1" i="2" s="1"/>
  <c r="ABA1" i="1"/>
  <c r="AAZ1" i="2" s="1"/>
  <c r="AAZ1" i="1"/>
  <c r="AAY1" i="2" s="1"/>
  <c r="AAY1" i="1"/>
  <c r="AAX1" i="2" s="1"/>
  <c r="AAX1" i="1"/>
  <c r="AAW1" i="2" s="1"/>
  <c r="AAW1" i="1"/>
  <c r="AAV1" i="2" s="1"/>
  <c r="AAV1" i="1"/>
  <c r="AAU1" i="2" s="1"/>
  <c r="AAU1" i="1"/>
  <c r="AAT1" i="2" s="1"/>
  <c r="AAT1" i="1"/>
  <c r="AAS1" i="2" s="1"/>
  <c r="AAS1" i="1"/>
  <c r="AAR1" i="2" s="1"/>
  <c r="AAR1" i="1"/>
  <c r="AAQ1" i="2" s="1"/>
  <c r="AAQ1" i="1"/>
  <c r="AAP1" i="2" s="1"/>
  <c r="AAP1" i="1"/>
  <c r="AAO1" i="2" s="1"/>
  <c r="AAO1" i="1"/>
  <c r="AAN1" i="2" s="1"/>
  <c r="AAN1" i="1"/>
  <c r="AAM1" i="2" s="1"/>
  <c r="AAM1" i="1"/>
  <c r="AAL1" i="2" s="1"/>
  <c r="AAL1" i="1"/>
  <c r="AAK1" i="2" s="1"/>
  <c r="AAK1" i="1"/>
  <c r="AAJ1" i="2" s="1"/>
  <c r="AAJ1" i="1"/>
  <c r="AAI1" i="2" s="1"/>
  <c r="AAI1" i="1"/>
  <c r="AAH1" i="2" s="1"/>
  <c r="AAH1" i="1"/>
  <c r="AAG1" i="2" s="1"/>
  <c r="AAG1" i="1"/>
  <c r="AAF1" i="2" s="1"/>
  <c r="AAF1" i="1"/>
  <c r="AAE1" i="2" s="1"/>
  <c r="AAE1" i="1"/>
  <c r="AAD1" i="2" s="1"/>
  <c r="AAD1" i="1"/>
  <c r="AAC1" i="2" s="1"/>
  <c r="AAC1" i="1"/>
  <c r="AAB1" i="2" s="1"/>
  <c r="AAB1" i="1"/>
  <c r="AAA1" i="2" s="1"/>
  <c r="AAA1" i="1"/>
  <c r="ZZ1" i="2" s="1"/>
  <c r="ZZ1" i="1"/>
  <c r="ZY1" i="2" s="1"/>
  <c r="ZY1" i="1"/>
  <c r="ZX1" i="2" s="1"/>
  <c r="ZX1" i="1"/>
  <c r="ZW1" i="2" s="1"/>
  <c r="ZW1" i="1"/>
  <c r="ZV1" i="2" s="1"/>
  <c r="ZV1" i="1"/>
  <c r="ZU1" i="2" s="1"/>
  <c r="ZU1" i="1"/>
  <c r="ZT1" i="2" s="1"/>
  <c r="ZT1" i="1"/>
  <c r="ZS1" i="2" s="1"/>
  <c r="ZS1" i="1"/>
  <c r="ZR1" i="2" s="1"/>
  <c r="ZR1" i="1"/>
  <c r="ZQ1" i="2" s="1"/>
  <c r="ZQ1" i="1"/>
  <c r="ZP1" i="2" s="1"/>
  <c r="ZP1" i="1"/>
  <c r="ZO1" i="2" s="1"/>
  <c r="ZO1" i="1"/>
  <c r="ZN1" i="2" s="1"/>
  <c r="ZN1" i="1"/>
  <c r="ZM1" i="2" s="1"/>
  <c r="ZM1" i="1"/>
  <c r="ZL1" i="2" s="1"/>
  <c r="ZL1" i="1"/>
  <c r="ZK1" i="2" s="1"/>
  <c r="ZK1" i="1"/>
  <c r="ZJ1" i="2" s="1"/>
  <c r="ZJ1" i="1"/>
  <c r="ZI1" i="2" s="1"/>
  <c r="ZI1" i="1"/>
  <c r="ZH1" i="2" s="1"/>
  <c r="ZH1" i="1"/>
  <c r="ZG1" i="2" s="1"/>
  <c r="ZG1" i="1"/>
  <c r="ZF1" i="2" s="1"/>
  <c r="ZF1" i="1"/>
  <c r="ZE1" i="2" s="1"/>
  <c r="ZE1" i="1"/>
  <c r="ZD1" i="2" s="1"/>
  <c r="ZD1" i="1"/>
  <c r="ZC1" i="2" s="1"/>
  <c r="ZC1" i="1"/>
  <c r="ZB1" i="1"/>
  <c r="ZA1" i="2" s="1"/>
  <c r="ZA1" i="1"/>
  <c r="YZ1" i="2" s="1"/>
  <c r="YZ1" i="1"/>
  <c r="YY1" i="2" s="1"/>
  <c r="YY1" i="1"/>
  <c r="YX1" i="2" s="1"/>
  <c r="YX1" i="1"/>
  <c r="YW1" i="2" s="1"/>
  <c r="YW1" i="1"/>
  <c r="YV1" i="2" s="1"/>
  <c r="YV1" i="1"/>
  <c r="YU1" i="2" s="1"/>
  <c r="YU1" i="1"/>
  <c r="YT1" i="2" s="1"/>
  <c r="YT1" i="1"/>
  <c r="YS1" i="2" s="1"/>
  <c r="YS1" i="1"/>
  <c r="YR1" i="2" s="1"/>
  <c r="YR1" i="1"/>
  <c r="YQ1" i="2" s="1"/>
  <c r="YQ1" i="1"/>
  <c r="YP1" i="2" s="1"/>
  <c r="YP1" i="1"/>
  <c r="YO1" i="2" s="1"/>
  <c r="YO1" i="1"/>
  <c r="YN1" i="2" s="1"/>
  <c r="YN1" i="1"/>
  <c r="YM1" i="2" s="1"/>
  <c r="YM1" i="1"/>
  <c r="YL1" i="2" s="1"/>
  <c r="YL1" i="1"/>
  <c r="YK1" i="2" s="1"/>
  <c r="YK1" i="1"/>
  <c r="YJ1" i="2" s="1"/>
  <c r="YJ1" i="1"/>
  <c r="YI1" i="2" s="1"/>
  <c r="YI1" i="1"/>
  <c r="YH1" i="2" s="1"/>
  <c r="YH1" i="1"/>
  <c r="YG1" i="2" s="1"/>
  <c r="YG1" i="1"/>
  <c r="YF1" i="2" s="1"/>
  <c r="YF1" i="1"/>
  <c r="YE1" i="2" s="1"/>
  <c r="YE1" i="1"/>
  <c r="YD1" i="1"/>
  <c r="YC1" i="2" s="1"/>
  <c r="YC1" i="1"/>
  <c r="YB1" i="2" s="1"/>
  <c r="YB1" i="1"/>
  <c r="YA1" i="2" s="1"/>
  <c r="YA1" i="1"/>
  <c r="XZ1" i="2" s="1"/>
  <c r="XZ1" i="1"/>
  <c r="XY1" i="2" s="1"/>
  <c r="XY1" i="1"/>
  <c r="XX1" i="2" s="1"/>
  <c r="XX1" i="1"/>
  <c r="XW1" i="2" s="1"/>
  <c r="XW1" i="1"/>
  <c r="XV1" i="2" s="1"/>
  <c r="XV1" i="1"/>
  <c r="XU1" i="2" s="1"/>
  <c r="XU1" i="1"/>
  <c r="XT1" i="2" s="1"/>
  <c r="XT1" i="1"/>
  <c r="XS1" i="2" s="1"/>
  <c r="XS1" i="1"/>
  <c r="XR1" i="2" s="1"/>
  <c r="XR1" i="1"/>
  <c r="XQ1" i="2" s="1"/>
  <c r="XQ1" i="1"/>
  <c r="XP1" i="2" s="1"/>
  <c r="XP1" i="1"/>
  <c r="XO1" i="2" s="1"/>
  <c r="XO1" i="1"/>
  <c r="XN1" i="2" s="1"/>
  <c r="XN1" i="1"/>
  <c r="XM1" i="2" s="1"/>
  <c r="XM1" i="1"/>
  <c r="XL1" i="2" s="1"/>
  <c r="XL1" i="1"/>
  <c r="XK1" i="2" s="1"/>
  <c r="XK1" i="1"/>
  <c r="XJ1" i="2" s="1"/>
  <c r="XJ1" i="1"/>
  <c r="XI1" i="2" s="1"/>
  <c r="XI1" i="1"/>
  <c r="XH1" i="2" s="1"/>
  <c r="XH1" i="1"/>
  <c r="XG1" i="2" s="1"/>
  <c r="XG1" i="1"/>
  <c r="XF1" i="2" s="1"/>
  <c r="XF1" i="1"/>
  <c r="XE1" i="2" s="1"/>
  <c r="XE1" i="1"/>
  <c r="XD1" i="2" s="1"/>
  <c r="XD1" i="1"/>
  <c r="XC1" i="2" s="1"/>
  <c r="XC1" i="1"/>
  <c r="XB1" i="2" s="1"/>
  <c r="XB1" i="1"/>
  <c r="XA1" i="2" s="1"/>
  <c r="XA1" i="1"/>
  <c r="WZ1" i="2" s="1"/>
  <c r="WZ1" i="1"/>
  <c r="WY1" i="2" s="1"/>
  <c r="WY1" i="1"/>
  <c r="WX1" i="2" s="1"/>
  <c r="WX1" i="1"/>
  <c r="WW1" i="2" s="1"/>
  <c r="WW1" i="1"/>
  <c r="WV1" i="2" s="1"/>
  <c r="WV1" i="1"/>
  <c r="WU1" i="2" s="1"/>
  <c r="WU1" i="1"/>
  <c r="WT1" i="2" s="1"/>
  <c r="WT1" i="1"/>
  <c r="WS1" i="2" s="1"/>
  <c r="WS1" i="1"/>
  <c r="WR1" i="2" s="1"/>
  <c r="WR1" i="1"/>
  <c r="WQ1" i="2" s="1"/>
  <c r="WQ1" i="1"/>
  <c r="WP1" i="2" s="1"/>
  <c r="WP1" i="1"/>
  <c r="WO1" i="2" s="1"/>
  <c r="WO1" i="1"/>
  <c r="WN1" i="2" s="1"/>
  <c r="WN1" i="1"/>
  <c r="WM1" i="2" s="1"/>
  <c r="WM1" i="1"/>
  <c r="WL1" i="2" s="1"/>
  <c r="WL1" i="1"/>
  <c r="WK1" i="2" s="1"/>
  <c r="WK1" i="1"/>
  <c r="WJ1" i="2" s="1"/>
  <c r="WJ1" i="1"/>
  <c r="WI1" i="2" s="1"/>
  <c r="WI1" i="1"/>
  <c r="WH1" i="2" s="1"/>
  <c r="WH1" i="1"/>
  <c r="WG1" i="2" s="1"/>
  <c r="WG1" i="1"/>
  <c r="WF1" i="2" s="1"/>
  <c r="WF1" i="1"/>
  <c r="WE1" i="2" s="1"/>
  <c r="WE1" i="1"/>
  <c r="WD1" i="2" s="1"/>
  <c r="WD1" i="1"/>
  <c r="WC1" i="2" s="1"/>
  <c r="WC1" i="1"/>
  <c r="WB1" i="2" s="1"/>
  <c r="WB1" i="1"/>
  <c r="WA1" i="2" s="1"/>
  <c r="WA1" i="1"/>
  <c r="VZ1" i="2" s="1"/>
  <c r="VZ1" i="1"/>
  <c r="VY1" i="2" s="1"/>
  <c r="VY1" i="1"/>
  <c r="VX1" i="2" s="1"/>
  <c r="VX1" i="1"/>
  <c r="VW1" i="2" s="1"/>
  <c r="VW1" i="1"/>
  <c r="VV1" i="2" s="1"/>
  <c r="VV1" i="1"/>
  <c r="VU1" i="2" s="1"/>
  <c r="VU1" i="1"/>
  <c r="VT1" i="2" s="1"/>
  <c r="VT1" i="1"/>
  <c r="VS1" i="2" s="1"/>
  <c r="VS1" i="1"/>
  <c r="VR1" i="2" s="1"/>
  <c r="VR1" i="1"/>
  <c r="VQ1" i="2" s="1"/>
  <c r="VQ1" i="1"/>
  <c r="VP1" i="2" s="1"/>
  <c r="VP1" i="1"/>
  <c r="VO1" i="2" s="1"/>
  <c r="VO1" i="1"/>
  <c r="VN1" i="2" s="1"/>
  <c r="VN1" i="1"/>
  <c r="VM1" i="2" s="1"/>
  <c r="VM1" i="1"/>
  <c r="VL1" i="2" s="1"/>
  <c r="VL1" i="1"/>
  <c r="VK1" i="2" s="1"/>
  <c r="VK1" i="1"/>
  <c r="VJ1" i="2" s="1"/>
  <c r="VJ1" i="1"/>
  <c r="VI1" i="2" s="1"/>
  <c r="VI1" i="1"/>
  <c r="VH1" i="2" s="1"/>
  <c r="VH1" i="1"/>
  <c r="VG1" i="2" s="1"/>
  <c r="VG1" i="1"/>
  <c r="VF1" i="2" s="1"/>
  <c r="VF1" i="1"/>
  <c r="VE1" i="2" s="1"/>
  <c r="VE1" i="1"/>
  <c r="VD1" i="2" s="1"/>
  <c r="VD1" i="1"/>
  <c r="VC1" i="2" s="1"/>
  <c r="VC1" i="1"/>
  <c r="VB1" i="2" s="1"/>
  <c r="VB1" i="1"/>
  <c r="VA1" i="2" s="1"/>
  <c r="VA1" i="1"/>
  <c r="UZ1" i="2" s="1"/>
  <c r="UZ1" i="1"/>
  <c r="UY1" i="2" s="1"/>
  <c r="UY1" i="1"/>
  <c r="UX1" i="2" s="1"/>
  <c r="UX1" i="1"/>
  <c r="UW1" i="2" s="1"/>
  <c r="UW1" i="1"/>
  <c r="UV1" i="2" s="1"/>
  <c r="UV1" i="1"/>
  <c r="UU1" i="2" s="1"/>
  <c r="UU1" i="1"/>
  <c r="UT1" i="2" s="1"/>
  <c r="UT1" i="1"/>
  <c r="US1" i="2" s="1"/>
  <c r="US1" i="1"/>
  <c r="UR1" i="2" s="1"/>
  <c r="UR1" i="1"/>
  <c r="UQ1" i="2" s="1"/>
  <c r="UQ1" i="1"/>
  <c r="UP1" i="2" s="1"/>
  <c r="UP1" i="1"/>
  <c r="UO1" i="2" s="1"/>
  <c r="UO1" i="1"/>
  <c r="UN1" i="2" s="1"/>
  <c r="UN1" i="1"/>
  <c r="UM1" i="2" s="1"/>
  <c r="UM1" i="1"/>
  <c r="UL1" i="2" s="1"/>
  <c r="UL1" i="1"/>
  <c r="UK1" i="2" s="1"/>
  <c r="UK1" i="1"/>
  <c r="UJ1" i="2" s="1"/>
  <c r="UJ1" i="1"/>
  <c r="UI1" i="2" s="1"/>
  <c r="UI1" i="1"/>
  <c r="UH1" i="1"/>
  <c r="UG1" i="2" s="1"/>
  <c r="UG1" i="1"/>
  <c r="UF1" i="2" s="1"/>
  <c r="UF1" i="1"/>
  <c r="UE1" i="2" s="1"/>
  <c r="UE1" i="1"/>
  <c r="UD1" i="2" s="1"/>
  <c r="UD1" i="1"/>
  <c r="UC1" i="2" s="1"/>
  <c r="UC1" i="1"/>
  <c r="UB1" i="2" s="1"/>
  <c r="UB1" i="1"/>
  <c r="UA1" i="2" s="1"/>
  <c r="UA1" i="1"/>
  <c r="TZ1" i="2" s="1"/>
  <c r="TZ1" i="1"/>
  <c r="TY1" i="2" s="1"/>
  <c r="TY1" i="1"/>
  <c r="TX1" i="2" s="1"/>
  <c r="TX1" i="1"/>
  <c r="TW1" i="2" s="1"/>
  <c r="TW1" i="1"/>
  <c r="TV1" i="2" s="1"/>
  <c r="TV1" i="1"/>
  <c r="TU1" i="2" s="1"/>
  <c r="TU1" i="1"/>
  <c r="TT1" i="2" s="1"/>
  <c r="TT1" i="1"/>
  <c r="TS1" i="2" s="1"/>
  <c r="TS1" i="1"/>
  <c r="TR1" i="1"/>
  <c r="TQ1" i="2" s="1"/>
  <c r="TQ1" i="1"/>
  <c r="TP1" i="2" s="1"/>
  <c r="TP1" i="1"/>
  <c r="TO1" i="2" s="1"/>
  <c r="TO1" i="1"/>
  <c r="TN1" i="2" s="1"/>
  <c r="TN1" i="1"/>
  <c r="TM1" i="2" s="1"/>
  <c r="TM1" i="1"/>
  <c r="TL1" i="2" s="1"/>
  <c r="TL1" i="1"/>
  <c r="TK1" i="2" s="1"/>
  <c r="TK1" i="1"/>
  <c r="TJ1" i="2" s="1"/>
  <c r="TJ1" i="1"/>
  <c r="TI1" i="2" s="1"/>
  <c r="TI1" i="1"/>
  <c r="TH1" i="2" s="1"/>
  <c r="TH1" i="1"/>
  <c r="TG1" i="2" s="1"/>
  <c r="TG1" i="1"/>
  <c r="TF1" i="2" s="1"/>
  <c r="TF1" i="1"/>
  <c r="TE1" i="2" s="1"/>
  <c r="TE1" i="1"/>
  <c r="TD1" i="2" s="1"/>
  <c r="TD1" i="1"/>
  <c r="TC1" i="2" s="1"/>
  <c r="TC1" i="1"/>
  <c r="TB1" i="2" s="1"/>
  <c r="TB1" i="1"/>
  <c r="TA1" i="2" s="1"/>
  <c r="TA1" i="1"/>
  <c r="SZ1" i="2" s="1"/>
  <c r="SZ1" i="1"/>
  <c r="SY1" i="2" s="1"/>
  <c r="SY1" i="1"/>
  <c r="SX1" i="2" s="1"/>
  <c r="SX1" i="1"/>
  <c r="SW1" i="2" s="1"/>
  <c r="SW1" i="1"/>
  <c r="SV1" i="2" s="1"/>
  <c r="SV1" i="1"/>
  <c r="SU1" i="2" s="1"/>
  <c r="SU1" i="1"/>
  <c r="ST1" i="2" s="1"/>
  <c r="ST1" i="1"/>
  <c r="SS1" i="2" s="1"/>
  <c r="SS1" i="1"/>
  <c r="SR1" i="2" s="1"/>
  <c r="SR1" i="1"/>
  <c r="SQ1" i="2" s="1"/>
  <c r="SQ1" i="1"/>
  <c r="SP1" i="2" s="1"/>
  <c r="SP1" i="1"/>
  <c r="SO1" i="2" s="1"/>
  <c r="SO1" i="1"/>
  <c r="SN1" i="2" s="1"/>
  <c r="SN1" i="1"/>
  <c r="SM1" i="2" s="1"/>
  <c r="SM1" i="1"/>
  <c r="SL1" i="2" s="1"/>
  <c r="SL1" i="1"/>
  <c r="SK1" i="2" s="1"/>
  <c r="SK1" i="1"/>
  <c r="SJ1" i="2" s="1"/>
  <c r="SJ1" i="1"/>
  <c r="SI1" i="2" s="1"/>
  <c r="SI1" i="1"/>
  <c r="SH1" i="2" s="1"/>
  <c r="SH1" i="1"/>
  <c r="SG1" i="2" s="1"/>
  <c r="SG1" i="1"/>
  <c r="SF1" i="2" s="1"/>
  <c r="SF1" i="1"/>
  <c r="SE1" i="2" s="1"/>
  <c r="SE1" i="1"/>
  <c r="SD1" i="2" s="1"/>
  <c r="SD1" i="1"/>
  <c r="SC1" i="2" s="1"/>
  <c r="SC1" i="1"/>
  <c r="SB1" i="2" s="1"/>
  <c r="SB1" i="1"/>
  <c r="SA1" i="2" s="1"/>
  <c r="SA1" i="1"/>
  <c r="RZ1" i="2" s="1"/>
  <c r="RZ1" i="1"/>
  <c r="RY1" i="2" s="1"/>
  <c r="RY1" i="1"/>
  <c r="RX1" i="2" s="1"/>
  <c r="RX1" i="1"/>
  <c r="RW1" i="2" s="1"/>
  <c r="RW1" i="1"/>
  <c r="RV1" i="2" s="1"/>
  <c r="RV1" i="1"/>
  <c r="RU1" i="2" s="1"/>
  <c r="RU1" i="1"/>
  <c r="RT1" i="2" s="1"/>
  <c r="RT1" i="1"/>
  <c r="RS1" i="2" s="1"/>
  <c r="RS1" i="1"/>
  <c r="RR1" i="2" s="1"/>
  <c r="RR1" i="1"/>
  <c r="RQ1" i="2" s="1"/>
  <c r="RQ1" i="1"/>
  <c r="RP1" i="2" s="1"/>
  <c r="RP1" i="1"/>
  <c r="RO1" i="2" s="1"/>
  <c r="RO1" i="1"/>
  <c r="RN1" i="2" s="1"/>
  <c r="RN1" i="1"/>
  <c r="RM1" i="2" s="1"/>
  <c r="RM1" i="1"/>
  <c r="RL1" i="2" s="1"/>
  <c r="RL1" i="1"/>
  <c r="RK1" i="2" s="1"/>
  <c r="RK1" i="1"/>
  <c r="RJ1" i="2" s="1"/>
  <c r="RJ1" i="1"/>
  <c r="RI1" i="2" s="1"/>
  <c r="RI1" i="1"/>
  <c r="RH1" i="2" s="1"/>
  <c r="RH1" i="1"/>
  <c r="RG1" i="2" s="1"/>
  <c r="RG1" i="1"/>
  <c r="RF1" i="2" s="1"/>
  <c r="RF1" i="1"/>
  <c r="RE1" i="2" s="1"/>
  <c r="RE1" i="1"/>
  <c r="RD1" i="2" s="1"/>
  <c r="RD1" i="1"/>
  <c r="RC1" i="2" s="1"/>
  <c r="RC1" i="1"/>
  <c r="RB1" i="2" s="1"/>
  <c r="RB1" i="1"/>
  <c r="RA1" i="2" s="1"/>
  <c r="RA1" i="1"/>
  <c r="QZ1" i="2" s="1"/>
  <c r="QZ1" i="1"/>
  <c r="QY1" i="2" s="1"/>
  <c r="QY1" i="1"/>
  <c r="QX1" i="2" s="1"/>
  <c r="QX1" i="1"/>
  <c r="QW1" i="2" s="1"/>
  <c r="QW1" i="1"/>
  <c r="QV1" i="2" s="1"/>
  <c r="QV1" i="1"/>
  <c r="QU1" i="2" s="1"/>
  <c r="QU1" i="1"/>
  <c r="QT1" i="2" s="1"/>
  <c r="QT1" i="1"/>
  <c r="QS1" i="2" s="1"/>
  <c r="QS1" i="1"/>
  <c r="QR1" i="2" s="1"/>
  <c r="QR1" i="1"/>
  <c r="QQ1" i="2" s="1"/>
  <c r="QQ1" i="1"/>
  <c r="QP1" i="2" s="1"/>
  <c r="QP1" i="1"/>
  <c r="QO1" i="2" s="1"/>
  <c r="QO1" i="1"/>
  <c r="QN1" i="2" s="1"/>
  <c r="QN1" i="1"/>
  <c r="QM1" i="2" s="1"/>
  <c r="QM1" i="1"/>
  <c r="QL1" i="2" s="1"/>
  <c r="QL1" i="1"/>
  <c r="QK1" i="2" s="1"/>
  <c r="QK1" i="1"/>
  <c r="QJ1" i="2" s="1"/>
  <c r="QJ1" i="1"/>
  <c r="QI1" i="2" s="1"/>
  <c r="QI1" i="1"/>
  <c r="QH1" i="2" s="1"/>
  <c r="QH1" i="1"/>
  <c r="QG1" i="2" s="1"/>
  <c r="QG1" i="1"/>
  <c r="QF1" i="2" s="1"/>
  <c r="QF1" i="1"/>
  <c r="QE1" i="2" s="1"/>
  <c r="QE1" i="1"/>
  <c r="QD1" i="2" s="1"/>
  <c r="QD1" i="1"/>
  <c r="QC1" i="2" s="1"/>
  <c r="QC1" i="1"/>
  <c r="QB1" i="2" s="1"/>
  <c r="QB1" i="1"/>
  <c r="QA1" i="2" s="1"/>
  <c r="QA1" i="1"/>
  <c r="PZ1" i="2" s="1"/>
  <c r="PZ1" i="1"/>
  <c r="PY1" i="2" s="1"/>
  <c r="PY1" i="1"/>
  <c r="PX1" i="2" s="1"/>
  <c r="PX1" i="1"/>
  <c r="PW1" i="2" s="1"/>
  <c r="PW1" i="1"/>
  <c r="PV1" i="2" s="1"/>
  <c r="PV1" i="1"/>
  <c r="PU1" i="2" s="1"/>
  <c r="PU1" i="1"/>
  <c r="PT1" i="2" s="1"/>
  <c r="PT1" i="1"/>
  <c r="PS1" i="2" s="1"/>
  <c r="PS1" i="1"/>
  <c r="PR1" i="2" s="1"/>
  <c r="PR1" i="1"/>
  <c r="PQ1" i="2" s="1"/>
  <c r="PQ1" i="1"/>
  <c r="PP1" i="2" s="1"/>
  <c r="PP1" i="1"/>
  <c r="PO1" i="2" s="1"/>
  <c r="PO1" i="1"/>
  <c r="PN1" i="2" s="1"/>
  <c r="PN1" i="1"/>
  <c r="PM1" i="2" s="1"/>
  <c r="PM1" i="1"/>
  <c r="PL1" i="2" s="1"/>
  <c r="PL1" i="1"/>
  <c r="PK1" i="2" s="1"/>
  <c r="PK1" i="1"/>
  <c r="PJ1" i="1"/>
  <c r="PI1" i="2" s="1"/>
  <c r="PI1" i="1"/>
  <c r="PH1" i="2" s="1"/>
  <c r="PH1" i="1"/>
  <c r="PG1" i="2" s="1"/>
  <c r="PG1" i="1"/>
  <c r="PF1" i="2" s="1"/>
  <c r="PF1" i="1"/>
  <c r="PE1" i="2" s="1"/>
  <c r="PE1" i="1"/>
  <c r="PD1" i="2" s="1"/>
  <c r="PD1" i="1"/>
  <c r="PC1" i="2" s="1"/>
  <c r="PC1" i="1"/>
  <c r="PB1" i="2" s="1"/>
  <c r="PB1" i="1"/>
  <c r="PA1" i="2" s="1"/>
  <c r="PA1" i="1"/>
  <c r="OZ1" i="2" s="1"/>
  <c r="OZ1" i="1"/>
  <c r="OY1" i="2" s="1"/>
  <c r="OY1" i="1"/>
  <c r="OX1" i="2" s="1"/>
  <c r="OX1" i="1"/>
  <c r="OW1" i="2" s="1"/>
  <c r="OW1" i="1"/>
  <c r="OV1" i="2" s="1"/>
  <c r="OV1" i="1"/>
  <c r="OU1" i="2" s="1"/>
  <c r="OU1" i="1"/>
  <c r="OT1" i="2" s="1"/>
  <c r="OT1" i="1"/>
  <c r="OS1" i="2" s="1"/>
  <c r="OS1" i="1"/>
  <c r="OR1" i="2" s="1"/>
  <c r="OR1" i="1"/>
  <c r="OQ1" i="2" s="1"/>
  <c r="OQ1" i="1"/>
  <c r="OP1" i="2" s="1"/>
  <c r="OP1" i="1"/>
  <c r="OO1" i="2" s="1"/>
  <c r="OO1" i="1"/>
  <c r="ON1" i="2" s="1"/>
  <c r="ON1" i="1"/>
  <c r="OM1" i="2" s="1"/>
  <c r="OM1" i="1"/>
  <c r="OL1" i="2" s="1"/>
  <c r="OL1" i="1"/>
  <c r="OK1" i="2" s="1"/>
  <c r="OK1" i="1"/>
  <c r="OJ1" i="2" s="1"/>
  <c r="OJ1" i="1"/>
  <c r="OI1" i="2" s="1"/>
  <c r="OI1" i="1"/>
  <c r="OH1" i="2" s="1"/>
  <c r="OH1" i="1"/>
  <c r="OG1" i="2" s="1"/>
  <c r="OG1" i="1"/>
  <c r="OF1" i="2" s="1"/>
  <c r="OF1" i="1"/>
  <c r="OE1" i="2" s="1"/>
  <c r="OE1" i="1"/>
  <c r="OD1" i="2" s="1"/>
  <c r="OD1" i="1"/>
  <c r="OC1" i="2" s="1"/>
  <c r="OC1" i="1"/>
  <c r="OB1" i="2" s="1"/>
  <c r="OB1" i="1"/>
  <c r="OA1" i="2" s="1"/>
  <c r="OA1" i="1"/>
  <c r="NZ1" i="2" s="1"/>
  <c r="NZ1" i="1"/>
  <c r="NY1" i="2" s="1"/>
  <c r="NY1" i="1"/>
  <c r="NX1" i="2" s="1"/>
  <c r="NX1" i="1"/>
  <c r="NW1" i="2" s="1"/>
  <c r="NW1" i="1"/>
  <c r="NV1" i="2" s="1"/>
  <c r="NV1" i="1"/>
  <c r="NU1" i="2" s="1"/>
  <c r="NU1" i="1"/>
  <c r="NT1" i="2" s="1"/>
  <c r="NT1" i="1"/>
  <c r="NS1" i="2" s="1"/>
  <c r="NS1" i="1"/>
  <c r="NR1" i="2" s="1"/>
  <c r="NR1" i="1"/>
  <c r="NQ1" i="2" s="1"/>
  <c r="NQ1" i="1"/>
  <c r="NP1" i="2" s="1"/>
  <c r="NP1" i="1"/>
  <c r="NO1" i="2" s="1"/>
  <c r="NO1" i="1"/>
  <c r="NN1" i="2" s="1"/>
  <c r="NN1" i="1"/>
  <c r="NM1" i="2" s="1"/>
  <c r="NM1" i="1"/>
  <c r="NL1" i="2" s="1"/>
  <c r="NL1" i="1"/>
  <c r="NK1" i="2" s="1"/>
  <c r="NK1" i="1"/>
  <c r="NJ1" i="2" s="1"/>
  <c r="NJ1" i="1"/>
  <c r="NI1" i="2" s="1"/>
  <c r="NI1" i="1"/>
  <c r="NH1" i="2" s="1"/>
  <c r="NH1" i="1"/>
  <c r="NG1" i="2" s="1"/>
  <c r="NG1" i="1"/>
  <c r="NF1" i="2" s="1"/>
  <c r="NF1" i="1"/>
  <c r="NE1" i="2" s="1"/>
  <c r="NE1" i="1"/>
  <c r="ND1" i="2" s="1"/>
  <c r="ND1" i="1"/>
  <c r="NC1" i="2" s="1"/>
  <c r="NC1" i="1"/>
  <c r="NB1" i="2" s="1"/>
  <c r="NB1" i="1"/>
  <c r="NA1" i="2" s="1"/>
  <c r="NA1" i="1"/>
  <c r="MZ1" i="2" s="1"/>
  <c r="MZ1" i="1"/>
  <c r="MY1" i="2" s="1"/>
  <c r="MY1" i="1"/>
  <c r="MX1" i="2" s="1"/>
  <c r="MX1" i="1"/>
  <c r="MW1" i="2" s="1"/>
  <c r="MW1" i="1"/>
  <c r="MV1" i="2" s="1"/>
  <c r="MV1" i="1"/>
  <c r="MU1" i="2" s="1"/>
  <c r="MU1" i="1"/>
  <c r="MT1" i="2" s="1"/>
  <c r="MT1" i="1"/>
  <c r="MS1" i="2" s="1"/>
  <c r="MS1" i="1"/>
  <c r="MR1" i="2" s="1"/>
  <c r="MR1" i="1"/>
  <c r="MQ1" i="2" s="1"/>
  <c r="MQ1" i="1"/>
  <c r="MP1" i="2" s="1"/>
  <c r="MP1" i="1"/>
  <c r="MO1" i="2" s="1"/>
  <c r="MO1" i="1"/>
  <c r="MN1" i="2" s="1"/>
  <c r="MN1" i="1"/>
  <c r="MM1" i="2" s="1"/>
  <c r="MM1" i="1"/>
  <c r="ML1" i="2" s="1"/>
  <c r="ML1" i="1"/>
  <c r="MK1" i="2" s="1"/>
  <c r="MK1" i="1"/>
  <c r="MJ1" i="2" s="1"/>
  <c r="MJ1" i="1"/>
  <c r="MI1" i="2" s="1"/>
  <c r="MI1" i="1"/>
  <c r="MH1" i="2" s="1"/>
  <c r="MH1" i="1"/>
  <c r="MG1" i="2" s="1"/>
  <c r="MG1" i="1"/>
  <c r="MF1" i="2" s="1"/>
  <c r="MF1" i="1"/>
  <c r="ME1" i="2" s="1"/>
  <c r="ME1" i="1"/>
  <c r="MD1" i="2" s="1"/>
  <c r="MD1" i="1"/>
  <c r="MC1" i="2" s="1"/>
  <c r="MC1" i="1"/>
  <c r="MB1" i="2" s="1"/>
  <c r="MB1" i="1"/>
  <c r="MA1" i="2" s="1"/>
  <c r="MA1" i="1"/>
  <c r="LZ1" i="2" s="1"/>
  <c r="LZ1" i="1"/>
  <c r="LY1" i="2" s="1"/>
  <c r="LY1" i="1"/>
  <c r="LX1" i="2" s="1"/>
  <c r="LX1" i="1"/>
  <c r="LW1" i="2" s="1"/>
  <c r="LW1" i="1"/>
  <c r="LV1" i="1"/>
  <c r="LU1" i="2" s="1"/>
  <c r="LU1" i="1"/>
  <c r="LT1" i="2" s="1"/>
  <c r="LT1" i="1"/>
  <c r="LS1" i="2" s="1"/>
  <c r="LS1" i="1"/>
  <c r="LR1" i="2" s="1"/>
  <c r="LR1" i="1"/>
  <c r="LQ1" i="2" s="1"/>
  <c r="LQ1" i="1"/>
  <c r="LP1" i="2" s="1"/>
  <c r="LP1" i="1"/>
  <c r="LO1" i="2" s="1"/>
  <c r="LO1" i="1"/>
  <c r="LN1" i="2" s="1"/>
  <c r="LN1" i="1"/>
  <c r="LM1" i="2" s="1"/>
  <c r="LM1" i="1"/>
  <c r="LL1" i="2" s="1"/>
  <c r="LL1" i="1"/>
  <c r="LK1" i="2" s="1"/>
  <c r="LK1" i="1"/>
  <c r="LJ1" i="2" s="1"/>
  <c r="LJ1" i="1"/>
  <c r="LI1" i="2" s="1"/>
  <c r="LI1" i="1"/>
  <c r="LH1" i="2" s="1"/>
  <c r="LH1" i="1"/>
  <c r="LG1" i="2" s="1"/>
  <c r="LG1" i="1"/>
  <c r="LF1" i="2" s="1"/>
  <c r="LF1" i="1"/>
  <c r="LE1" i="2" s="1"/>
  <c r="LE1" i="1"/>
  <c r="LD1" i="2" s="1"/>
  <c r="LD1" i="1"/>
  <c r="LC1" i="2" s="1"/>
  <c r="LC1" i="1"/>
  <c r="LB1" i="2" s="1"/>
  <c r="LB1" i="1"/>
  <c r="LA1" i="2" s="1"/>
  <c r="LA1" i="1"/>
  <c r="KZ1" i="2" s="1"/>
  <c r="KZ1" i="1"/>
  <c r="KY1" i="2" s="1"/>
  <c r="KY1" i="1"/>
  <c r="KX1" i="2" s="1"/>
  <c r="KX1" i="1"/>
  <c r="KW1" i="2" s="1"/>
  <c r="KW1" i="1"/>
  <c r="KV1" i="2" s="1"/>
  <c r="KV1" i="1"/>
  <c r="KU1" i="2" s="1"/>
  <c r="KU1" i="1"/>
  <c r="KT1" i="2" s="1"/>
  <c r="KT1" i="1"/>
  <c r="KS1" i="2" s="1"/>
  <c r="KS1" i="1"/>
  <c r="KR1" i="2" s="1"/>
  <c r="KR1" i="1"/>
  <c r="KQ1" i="2" s="1"/>
  <c r="KQ1" i="1"/>
  <c r="KP1" i="2" s="1"/>
  <c r="KP1" i="1"/>
  <c r="KO1" i="2" s="1"/>
  <c r="KO1" i="1"/>
  <c r="KN1" i="2" s="1"/>
  <c r="KN1" i="1"/>
  <c r="KM1" i="2" s="1"/>
  <c r="KM1" i="1"/>
  <c r="KL1" i="2" s="1"/>
  <c r="KL1" i="1"/>
  <c r="KK1" i="2" s="1"/>
  <c r="KK1" i="1"/>
  <c r="KJ1" i="2" s="1"/>
  <c r="KJ1" i="1"/>
  <c r="KI1" i="2" s="1"/>
  <c r="KI1" i="1"/>
  <c r="KH1" i="2" s="1"/>
  <c r="KH1" i="1"/>
  <c r="KG1" i="2" s="1"/>
  <c r="KG1" i="1"/>
  <c r="KF1" i="2" s="1"/>
  <c r="KF1" i="1"/>
  <c r="KE1" i="2" s="1"/>
  <c r="KE1" i="1"/>
  <c r="KD1" i="2" s="1"/>
  <c r="KD1" i="1"/>
  <c r="KC1" i="2" s="1"/>
  <c r="KC1" i="1"/>
  <c r="KB1" i="2" s="1"/>
  <c r="KB1" i="1"/>
  <c r="KA1" i="2" s="1"/>
  <c r="KA1" i="1"/>
  <c r="JZ1" i="2" s="1"/>
  <c r="JZ1" i="1"/>
  <c r="JY1" i="2" s="1"/>
  <c r="JY1" i="1"/>
  <c r="JX1" i="2" s="1"/>
  <c r="JX1" i="1"/>
  <c r="JW1" i="2" s="1"/>
  <c r="JW1" i="1"/>
  <c r="JV1" i="2" s="1"/>
  <c r="JV1" i="1"/>
  <c r="JU1" i="2" s="1"/>
  <c r="JU1" i="1"/>
  <c r="JT1" i="2" s="1"/>
  <c r="JT1" i="1"/>
  <c r="JS1" i="2" s="1"/>
  <c r="JS1" i="1"/>
  <c r="JR1" i="2" s="1"/>
  <c r="JR1" i="1"/>
  <c r="JQ1" i="2" s="1"/>
  <c r="JQ1" i="1"/>
  <c r="JP1" i="2" s="1"/>
  <c r="JP1" i="1"/>
  <c r="JO1" i="2" s="1"/>
  <c r="JO1" i="1"/>
  <c r="JN1" i="2" s="1"/>
  <c r="JN1" i="1"/>
  <c r="JM1" i="2" s="1"/>
  <c r="JM1" i="1"/>
  <c r="JL1" i="2" s="1"/>
  <c r="JL1" i="1"/>
  <c r="JK1" i="2" s="1"/>
  <c r="JK1" i="1"/>
  <c r="JJ1" i="2" s="1"/>
  <c r="JJ1" i="1"/>
  <c r="JI1" i="2" s="1"/>
  <c r="JI1" i="1"/>
  <c r="JH1" i="2" s="1"/>
  <c r="JH1" i="1"/>
  <c r="JG1" i="2" s="1"/>
  <c r="JG1" i="1"/>
  <c r="JF1" i="2" s="1"/>
  <c r="JF1" i="1"/>
  <c r="JE1" i="2" s="1"/>
  <c r="JE1" i="1"/>
  <c r="JD1" i="2" s="1"/>
  <c r="JD1" i="1"/>
  <c r="JC1" i="2" s="1"/>
  <c r="JC1" i="1"/>
  <c r="JB1" i="2" s="1"/>
  <c r="JB1" i="1"/>
  <c r="JA1" i="2" s="1"/>
  <c r="JA1" i="1"/>
  <c r="IZ1" i="2" s="1"/>
  <c r="IZ1" i="1"/>
  <c r="IY1" i="2" s="1"/>
  <c r="IY1" i="1"/>
  <c r="IX1" i="2" s="1"/>
  <c r="IX1" i="1"/>
  <c r="IW1" i="2" s="1"/>
  <c r="IW1" i="1"/>
  <c r="IV1" i="2" s="1"/>
  <c r="IV1" i="1"/>
  <c r="IU1" i="2" s="1"/>
  <c r="IU1" i="1"/>
  <c r="IT1" i="2" s="1"/>
  <c r="IT1" i="1"/>
  <c r="IS1" i="2" s="1"/>
  <c r="IS1" i="1"/>
  <c r="IR1" i="2" s="1"/>
  <c r="IR1" i="1"/>
  <c r="IQ1" i="2" s="1"/>
  <c r="IQ1" i="1"/>
  <c r="IP1" i="2" s="1"/>
  <c r="IP1" i="1"/>
  <c r="IO1" i="2" s="1"/>
  <c r="IO1" i="1"/>
  <c r="IN1" i="2" s="1"/>
  <c r="IN1" i="1"/>
  <c r="IM1" i="2" s="1"/>
  <c r="IM1" i="1"/>
  <c r="IL1" i="2" s="1"/>
  <c r="IL1" i="1"/>
  <c r="IK1" i="2" s="1"/>
  <c r="IK1" i="1"/>
  <c r="IJ1" i="2" s="1"/>
  <c r="IJ1" i="1"/>
  <c r="II1" i="2" s="1"/>
  <c r="II1" i="1"/>
  <c r="IH1" i="2" s="1"/>
  <c r="IH1" i="1"/>
  <c r="IG1" i="2" s="1"/>
  <c r="IG1" i="1"/>
  <c r="IF1" i="2" s="1"/>
  <c r="IF1" i="1"/>
  <c r="IE1" i="2" s="1"/>
  <c r="IE1" i="1"/>
  <c r="ID1" i="2" s="1"/>
  <c r="ID1" i="1"/>
  <c r="IC1" i="2" s="1"/>
  <c r="IC1" i="1"/>
  <c r="IB1" i="2" s="1"/>
  <c r="IB1" i="1"/>
  <c r="IA1" i="2" s="1"/>
  <c r="IA1" i="1"/>
  <c r="HZ1" i="2" s="1"/>
  <c r="HZ1" i="1"/>
  <c r="HY1" i="2" s="1"/>
  <c r="HY1" i="1"/>
  <c r="HX1" i="2" s="1"/>
  <c r="HX1" i="1"/>
  <c r="HW1" i="2" s="1"/>
  <c r="HW1" i="1"/>
  <c r="HV1" i="2" s="1"/>
  <c r="HV1" i="1"/>
  <c r="HU1" i="2" s="1"/>
  <c r="HU1" i="1"/>
  <c r="HT1" i="2" s="1"/>
  <c r="HT1" i="1"/>
  <c r="HS1" i="2" s="1"/>
  <c r="HS1" i="1"/>
  <c r="HR1" i="2" s="1"/>
  <c r="HR1" i="1"/>
  <c r="HQ1" i="2" s="1"/>
  <c r="HQ1" i="1"/>
  <c r="HP1" i="2" s="1"/>
  <c r="HP1" i="1"/>
  <c r="HO1" i="2" s="1"/>
  <c r="HO1" i="1"/>
  <c r="HN1" i="2" s="1"/>
  <c r="HN1" i="1"/>
  <c r="HM1" i="2" s="1"/>
  <c r="HM1" i="1"/>
  <c r="HL1" i="2" s="1"/>
  <c r="HL1" i="1"/>
  <c r="HK1" i="2" s="1"/>
  <c r="HK1" i="1"/>
  <c r="HJ1" i="2" s="1"/>
  <c r="HJ1" i="1"/>
  <c r="HI1" i="2" s="1"/>
  <c r="HI1" i="1"/>
  <c r="HH1" i="2" s="1"/>
  <c r="HH1" i="1"/>
  <c r="HG1" i="2" s="1"/>
  <c r="HG1" i="1"/>
  <c r="HF1" i="2" s="1"/>
  <c r="HF1" i="1"/>
  <c r="HE1" i="2" s="1"/>
  <c r="HE1" i="1"/>
  <c r="HD1" i="2" s="1"/>
  <c r="HD1" i="1"/>
  <c r="HC1" i="2" s="1"/>
  <c r="HC1" i="1"/>
  <c r="HB1" i="2" s="1"/>
  <c r="HB1" i="1"/>
  <c r="HA1" i="2" s="1"/>
  <c r="HA1" i="1"/>
  <c r="GZ1" i="2" s="1"/>
  <c r="GZ1" i="1"/>
  <c r="GY1" i="2" s="1"/>
  <c r="GY1" i="1"/>
  <c r="GX1" i="2" s="1"/>
  <c r="GX1" i="1"/>
  <c r="GW1" i="2" s="1"/>
  <c r="GW1" i="1"/>
  <c r="GV1" i="2" s="1"/>
  <c r="GV1" i="1"/>
  <c r="GU1" i="2" s="1"/>
  <c r="GU1" i="1"/>
  <c r="GT1" i="2" s="1"/>
  <c r="GT1" i="1"/>
  <c r="GS1" i="2" s="1"/>
  <c r="GS1" i="1"/>
  <c r="GR1" i="2" s="1"/>
  <c r="GR1" i="1"/>
  <c r="GQ1" i="2" s="1"/>
  <c r="GQ1" i="1"/>
  <c r="GP1" i="2" s="1"/>
  <c r="GP1" i="1"/>
  <c r="GO1" i="2" s="1"/>
  <c r="GO1" i="1"/>
  <c r="GN1" i="2" s="1"/>
  <c r="GN1" i="1"/>
  <c r="GM1" i="2" s="1"/>
  <c r="GM1" i="1"/>
  <c r="GL1" i="2" s="1"/>
  <c r="GL1" i="1"/>
  <c r="GK1" i="2" s="1"/>
  <c r="GK1" i="1"/>
  <c r="GJ1" i="2" s="1"/>
  <c r="GJ1" i="1"/>
  <c r="GI1" i="2" s="1"/>
  <c r="GI1" i="1"/>
  <c r="GH1" i="2" s="1"/>
  <c r="GH1" i="1"/>
  <c r="GG1" i="2" s="1"/>
  <c r="GG1" i="1"/>
  <c r="GF1" i="2" s="1"/>
  <c r="GF1" i="1"/>
  <c r="GE1" i="2" s="1"/>
  <c r="GE1" i="1"/>
  <c r="GD1" i="2" s="1"/>
  <c r="GD1" i="1"/>
  <c r="GC1" i="2" s="1"/>
  <c r="GC1" i="1"/>
  <c r="GB1" i="2" s="1"/>
  <c r="GB1" i="1"/>
  <c r="GA1" i="2" s="1"/>
  <c r="GA1" i="1"/>
  <c r="FZ1" i="1"/>
  <c r="FY1" i="2" s="1"/>
  <c r="FY1" i="1"/>
  <c r="FX1" i="2" s="1"/>
  <c r="FX1" i="1"/>
  <c r="FW1" i="2" s="1"/>
  <c r="FW1" i="1"/>
  <c r="FV1" i="2" s="1"/>
  <c r="FV1" i="1"/>
  <c r="FU1" i="2" s="1"/>
  <c r="FU1" i="1"/>
  <c r="FT1" i="2" s="1"/>
  <c r="FT1" i="1"/>
  <c r="FS1" i="2" s="1"/>
  <c r="FS1" i="1"/>
  <c r="FR1" i="2" s="1"/>
  <c r="FR1" i="1"/>
  <c r="FQ1" i="2" s="1"/>
  <c r="FQ1" i="1"/>
  <c r="FP1" i="2" s="1"/>
  <c r="FP1" i="1"/>
  <c r="FO1" i="2" s="1"/>
  <c r="FO1" i="1"/>
  <c r="FN1" i="2" s="1"/>
  <c r="FN1" i="1"/>
  <c r="FM1" i="2" s="1"/>
  <c r="FM1" i="1"/>
  <c r="FL1" i="2" s="1"/>
  <c r="FL1" i="1"/>
  <c r="FK1" i="2" s="1"/>
  <c r="FK1" i="1"/>
  <c r="FJ1" i="2" s="1"/>
  <c r="FJ1" i="1"/>
  <c r="FI1" i="2" s="1"/>
  <c r="FI1" i="1"/>
  <c r="FH1" i="2" s="1"/>
  <c r="FH1" i="1"/>
  <c r="FG1" i="2" s="1"/>
  <c r="FG1" i="1"/>
  <c r="FF1" i="2" s="1"/>
  <c r="FF1" i="1"/>
  <c r="FE1" i="2" s="1"/>
  <c r="FE1" i="1"/>
  <c r="FD1" i="2" s="1"/>
  <c r="FD1" i="1"/>
  <c r="FC1" i="2" s="1"/>
  <c r="FC1" i="1"/>
  <c r="FB1" i="2" s="1"/>
  <c r="FB1" i="1"/>
  <c r="FA1" i="2" s="1"/>
  <c r="FA1" i="1"/>
  <c r="EZ1" i="2" s="1"/>
  <c r="EZ1" i="1"/>
  <c r="EY1" i="2" s="1"/>
  <c r="EY1" i="1"/>
  <c r="EX1" i="2" s="1"/>
  <c r="EX1" i="1"/>
  <c r="EW1" i="2" s="1"/>
  <c r="EW1" i="1"/>
  <c r="EV1" i="2" s="1"/>
  <c r="EV1" i="1"/>
  <c r="EU1" i="2" s="1"/>
  <c r="EU1" i="1"/>
  <c r="ET1" i="2" s="1"/>
  <c r="ET1" i="1"/>
  <c r="ES1" i="2" s="1"/>
  <c r="ES1" i="1"/>
  <c r="ER1" i="2" s="1"/>
  <c r="ER1" i="1"/>
  <c r="EQ1" i="2" s="1"/>
  <c r="EQ1" i="1"/>
  <c r="EP1" i="2" s="1"/>
  <c r="EP1" i="1"/>
  <c r="EO1" i="2" s="1"/>
  <c r="EO1" i="1"/>
  <c r="EN1" i="2" s="1"/>
  <c r="EN1" i="1"/>
  <c r="EM1" i="2" s="1"/>
  <c r="EM1" i="1"/>
  <c r="EL1" i="2" s="1"/>
  <c r="EL1" i="1"/>
  <c r="EK1" i="2" s="1"/>
  <c r="EK1" i="1"/>
  <c r="EJ1" i="2" s="1"/>
  <c r="EJ1" i="1"/>
  <c r="EI1" i="2" s="1"/>
  <c r="EI1" i="1"/>
  <c r="EH1" i="2" s="1"/>
  <c r="EH1" i="1"/>
  <c r="EG1" i="2" s="1"/>
  <c r="EG1" i="1"/>
  <c r="EF1" i="2" s="1"/>
  <c r="EF1" i="1"/>
  <c r="EE1" i="2" s="1"/>
  <c r="EE1" i="1"/>
  <c r="ED1" i="2" s="1"/>
  <c r="ED1" i="1"/>
  <c r="EC1" i="2" s="1"/>
  <c r="EC1" i="1"/>
  <c r="EB1" i="2" s="1"/>
  <c r="EB1" i="1"/>
  <c r="EA1" i="2" s="1"/>
  <c r="EA1" i="1"/>
  <c r="DZ1" i="2" s="1"/>
  <c r="DZ1" i="1"/>
  <c r="DY1" i="2" s="1"/>
  <c r="DY1" i="1"/>
  <c r="DX1" i="2" s="1"/>
  <c r="DX1" i="1"/>
  <c r="DW1" i="2" s="1"/>
  <c r="DW1" i="1"/>
  <c r="DV1" i="2" s="1"/>
  <c r="DV1" i="1"/>
  <c r="DU1" i="2" s="1"/>
  <c r="DU1" i="1"/>
  <c r="DT1" i="2" s="1"/>
  <c r="DT1" i="1"/>
  <c r="DS1" i="2" s="1"/>
  <c r="DS1" i="1"/>
  <c r="DR1" i="2" s="1"/>
  <c r="DR1" i="1"/>
  <c r="DQ1" i="2" s="1"/>
  <c r="DQ1" i="1"/>
  <c r="DP1" i="2" s="1"/>
  <c r="DP1" i="1"/>
  <c r="DO1" i="2" s="1"/>
  <c r="DO1" i="1"/>
  <c r="DN1" i="2" s="1"/>
  <c r="DN1" i="1"/>
  <c r="DM1" i="2" s="1"/>
  <c r="DM1" i="1"/>
  <c r="DL1" i="2" s="1"/>
  <c r="DL1" i="1"/>
  <c r="DK1" i="2" s="1"/>
  <c r="DK1" i="1"/>
  <c r="DJ1" i="2" s="1"/>
  <c r="DJ1" i="1"/>
  <c r="DI1" i="2" s="1"/>
  <c r="DI1" i="1"/>
  <c r="DH1" i="2" s="1"/>
  <c r="DH1" i="1"/>
  <c r="DG1" i="2" s="1"/>
  <c r="DG1" i="1"/>
  <c r="DF1" i="2" s="1"/>
  <c r="DF1" i="1"/>
  <c r="DE1" i="2" s="1"/>
  <c r="DE1" i="1"/>
  <c r="DD1" i="2" s="1"/>
  <c r="DD1" i="1"/>
  <c r="DC1" i="2" s="1"/>
  <c r="DC1" i="1"/>
  <c r="DB1" i="2" s="1"/>
  <c r="DB1" i="1"/>
  <c r="DA1" i="2" s="1"/>
  <c r="DA1" i="1"/>
  <c r="CZ1" i="2" s="1"/>
  <c r="CZ1" i="1"/>
  <c r="CY1" i="2" s="1"/>
  <c r="CY1" i="1"/>
  <c r="CX1" i="2" s="1"/>
  <c r="CX1" i="1"/>
  <c r="CW1" i="2" s="1"/>
  <c r="CW1" i="1"/>
  <c r="CV1" i="2" s="1"/>
  <c r="CV1" i="1"/>
  <c r="CU1" i="2" s="1"/>
  <c r="CU1" i="1"/>
  <c r="CT1" i="2" s="1"/>
  <c r="CT1" i="1"/>
  <c r="CS1" i="2" s="1"/>
  <c r="CS1" i="1"/>
  <c r="CR1" i="2" s="1"/>
  <c r="CR1" i="1"/>
  <c r="CQ1" i="2" s="1"/>
  <c r="CQ1" i="1"/>
  <c r="CP1" i="2" s="1"/>
  <c r="CP1" i="1"/>
  <c r="CO1" i="2" s="1"/>
  <c r="CO1" i="1"/>
  <c r="CN1" i="2" s="1"/>
  <c r="CN1" i="1"/>
  <c r="CM1" i="2" s="1"/>
  <c r="CM1" i="1"/>
  <c r="CL1" i="2" s="1"/>
  <c r="CL1" i="1"/>
  <c r="CK1" i="2" s="1"/>
  <c r="CK1" i="1"/>
  <c r="CJ1" i="2" s="1"/>
  <c r="CJ1" i="1"/>
  <c r="CI1" i="2" s="1"/>
  <c r="CI1" i="1"/>
  <c r="CH1" i="2" s="1"/>
  <c r="CH1" i="1"/>
  <c r="CG1" i="2" s="1"/>
  <c r="CG1" i="1"/>
  <c r="CF1" i="2" s="1"/>
  <c r="CF1" i="1"/>
  <c r="CE1" i="2" s="1"/>
  <c r="CE1" i="1"/>
  <c r="CD1" i="2" s="1"/>
  <c r="CD1" i="1"/>
  <c r="CC1" i="2" s="1"/>
  <c r="CC1" i="1"/>
  <c r="CB1" i="2" s="1"/>
  <c r="CB1" i="1"/>
  <c r="CA1" i="2" s="1"/>
  <c r="CA1" i="1"/>
  <c r="BZ1" i="2" s="1"/>
  <c r="BZ1" i="1"/>
  <c r="BY1" i="2" s="1"/>
  <c r="BY1" i="1"/>
  <c r="BX1" i="2" s="1"/>
  <c r="BX1" i="1"/>
  <c r="BW1" i="2" s="1"/>
  <c r="BW1" i="1"/>
  <c r="BV1" i="2" s="1"/>
  <c r="BV1" i="1"/>
  <c r="BU1" i="2" s="1"/>
  <c r="BU1" i="1"/>
  <c r="BT1" i="2" s="1"/>
  <c r="BT1" i="1"/>
  <c r="BS1" i="2" s="1"/>
  <c r="BS1" i="1"/>
  <c r="BR1" i="2" s="1"/>
  <c r="BR1" i="1"/>
  <c r="BQ1" i="2" s="1"/>
  <c r="BQ1" i="1"/>
  <c r="BP1" i="2" s="1"/>
  <c r="BP1" i="1"/>
  <c r="BO1" i="2" s="1"/>
  <c r="BO1" i="1"/>
  <c r="BN1" i="2" s="1"/>
  <c r="BN1" i="1"/>
  <c r="BM1" i="2" s="1"/>
  <c r="BM1" i="1"/>
  <c r="BL1" i="2" s="1"/>
  <c r="BL1" i="1"/>
  <c r="BK1" i="2" s="1"/>
  <c r="BK1" i="1"/>
  <c r="BJ1" i="2" s="1"/>
  <c r="BJ1" i="1"/>
  <c r="BI1" i="2" s="1"/>
  <c r="BI1" i="1"/>
  <c r="BH1" i="2" s="1"/>
  <c r="BH1" i="1"/>
  <c r="BG1" i="2" s="1"/>
  <c r="BG1" i="1"/>
  <c r="BF1" i="2" s="1"/>
  <c r="BF1" i="1"/>
  <c r="BE1" i="2" s="1"/>
  <c r="BE1" i="1"/>
  <c r="BD1" i="2" s="1"/>
  <c r="BD1" i="1"/>
  <c r="BC1" i="2" s="1"/>
  <c r="BC1" i="1"/>
  <c r="BB1" i="2" s="1"/>
  <c r="BB1" i="1"/>
  <c r="BA1" i="2" s="1"/>
  <c r="BA1" i="1"/>
  <c r="AZ1" i="2" s="1"/>
  <c r="AZ1" i="1"/>
  <c r="AY1" i="2" s="1"/>
  <c r="AY1" i="1"/>
  <c r="AX1" i="2" s="1"/>
  <c r="AX1" i="1"/>
  <c r="AW1" i="2" s="1"/>
  <c r="AW1" i="1"/>
  <c r="AV1" i="2" s="1"/>
  <c r="AV1" i="1"/>
  <c r="AU1" i="2" s="1"/>
  <c r="AU1" i="1"/>
  <c r="AT1" i="2" s="1"/>
  <c r="AT1" i="1"/>
  <c r="AS1" i="2" s="1"/>
  <c r="AS1" i="1"/>
  <c r="AR1" i="2" s="1"/>
  <c r="AR1" i="1"/>
  <c r="AQ1" i="2" s="1"/>
  <c r="AQ1" i="1"/>
  <c r="AP1" i="2" s="1"/>
  <c r="AP1" i="1"/>
  <c r="AO1" i="2" s="1"/>
  <c r="AO1" i="1"/>
  <c r="AN1" i="2" s="1"/>
  <c r="AN1" i="1"/>
  <c r="AM1" i="2" s="1"/>
  <c r="AM1" i="1"/>
  <c r="AL1" i="2" s="1"/>
  <c r="AL1" i="1"/>
  <c r="AK1" i="2" s="1"/>
  <c r="AK1" i="1"/>
  <c r="AJ1" i="2" s="1"/>
  <c r="AJ1" i="1"/>
  <c r="AI1" i="2" s="1"/>
  <c r="AI1" i="1"/>
  <c r="AH1" i="2" s="1"/>
  <c r="AH1" i="1"/>
  <c r="AG1" i="2" s="1"/>
  <c r="AG1" i="1"/>
  <c r="AF1" i="2" s="1"/>
  <c r="AF1" i="1"/>
  <c r="AE1" i="2" s="1"/>
  <c r="AE1" i="1"/>
  <c r="AD1" i="2" s="1"/>
  <c r="AD1" i="1"/>
  <c r="AC1" i="2" s="1"/>
  <c r="AC1" i="1"/>
  <c r="AB1" i="2" s="1"/>
  <c r="AB1" i="1"/>
  <c r="AA1" i="2" s="1"/>
  <c r="AA1" i="1"/>
  <c r="Z1" i="2" s="1"/>
  <c r="Z1" i="1"/>
  <c r="Y1" i="2" s="1"/>
  <c r="Y1" i="1"/>
  <c r="X1" i="2" s="1"/>
  <c r="X1" i="1"/>
  <c r="W1" i="2" s="1"/>
  <c r="W1" i="1"/>
  <c r="V1" i="2" s="1"/>
  <c r="V1" i="1"/>
  <c r="U1" i="2" s="1"/>
  <c r="U1" i="1"/>
  <c r="T1" i="2" s="1"/>
  <c r="T1" i="1"/>
  <c r="S1" i="2" s="1"/>
  <c r="S1" i="1"/>
  <c r="R1" i="2" s="1"/>
  <c r="R1" i="1"/>
  <c r="Q1" i="2" s="1"/>
  <c r="Q1" i="1"/>
  <c r="P1" i="2" s="1"/>
  <c r="P1" i="1"/>
  <c r="O1" i="2" s="1"/>
  <c r="O1" i="1"/>
  <c r="N1" i="2" s="1"/>
  <c r="N1" i="1"/>
  <c r="M1" i="2" s="1"/>
  <c r="M1" i="1"/>
  <c r="L1" i="2" s="1"/>
  <c r="L1" i="1"/>
  <c r="K1" i="2" s="1"/>
  <c r="K1" i="1"/>
  <c r="J1" i="2" s="1"/>
  <c r="J1" i="1"/>
  <c r="I1" i="2" s="1"/>
  <c r="I1" i="1"/>
  <c r="H1" i="2" s="1"/>
  <c r="H1" i="1"/>
  <c r="G1" i="2" s="1"/>
  <c r="F1" i="1"/>
  <c r="E1" i="2" s="1"/>
  <c r="E1" i="1"/>
  <c r="D1" i="2" s="1"/>
  <c r="D1" i="1"/>
  <c r="C1" i="2" s="1"/>
  <c r="C1" i="1"/>
  <c r="B1" i="2" s="1"/>
  <c r="G1" i="1"/>
  <c r="F1" i="2" s="1"/>
  <c r="ALM1" i="2"/>
  <c r="LV1" i="2"/>
  <c r="AJF1" i="2"/>
  <c r="AHZ1" i="2"/>
  <c r="AGL1" i="2"/>
  <c r="AFR1" i="2"/>
  <c r="ADZ1" i="2"/>
  <c r="ABZ1" i="2"/>
  <c r="ABR1" i="2"/>
  <c r="ZB1" i="2"/>
  <c r="YD1" i="2"/>
  <c r="UH1" i="2"/>
  <c r="TR1" i="2"/>
  <c r="PJ1" i="2"/>
  <c r="FZ1" i="2"/>
  <c r="ALN2" i="1"/>
  <c r="ALM2" i="2" s="1"/>
  <c r="ALM2" i="1"/>
  <c r="ALL2" i="2" s="1"/>
  <c r="ALL2" i="1"/>
  <c r="ALK2" i="2" s="1"/>
  <c r="ALK2" i="1"/>
  <c r="ALJ2" i="2" s="1"/>
  <c r="ALJ2" i="1"/>
  <c r="ALI2" i="2" s="1"/>
  <c r="ALI2" i="1"/>
  <c r="ALH2" i="2" s="1"/>
  <c r="ALH2" i="1"/>
  <c r="ALG2" i="2" s="1"/>
  <c r="ALG2" i="1"/>
  <c r="ALF2" i="2" s="1"/>
  <c r="ALF2" i="1"/>
  <c r="ALE2" i="2" s="1"/>
  <c r="ALE2" i="1"/>
  <c r="ALD2" i="2" s="1"/>
  <c r="ALD2" i="1"/>
  <c r="ALC2" i="2" s="1"/>
  <c r="ALC2" i="1"/>
  <c r="ALB2" i="2" s="1"/>
  <c r="ALB2" i="1"/>
  <c r="ALA2" i="2" s="1"/>
  <c r="ALA2" i="1"/>
  <c r="AKZ2" i="2" s="1"/>
  <c r="AKZ2" i="1"/>
  <c r="AKY2" i="2" s="1"/>
  <c r="AKY2" i="1"/>
  <c r="AKX2" i="2" s="1"/>
  <c r="AKX2" i="1"/>
  <c r="AKW2" i="2" s="1"/>
  <c r="AKW2" i="1"/>
  <c r="AKV2" i="2" s="1"/>
  <c r="AKV2" i="1"/>
  <c r="AKU2" i="2" s="1"/>
  <c r="AKU2" i="1"/>
  <c r="AKT2" i="2" s="1"/>
  <c r="AKT2" i="1"/>
  <c r="AKS2" i="2" s="1"/>
  <c r="AKS2" i="1"/>
  <c r="AKR2" i="2" s="1"/>
  <c r="AKR2" i="1"/>
  <c r="AKQ2" i="2" s="1"/>
  <c r="AKQ2" i="1"/>
  <c r="AKP2" i="2" s="1"/>
  <c r="AKP2" i="1"/>
  <c r="AKO2" i="2" s="1"/>
  <c r="AKO2" i="1"/>
  <c r="AKN2" i="2" s="1"/>
  <c r="AKN2" i="1"/>
  <c r="AKM2" i="2" s="1"/>
  <c r="AKM2" i="1"/>
  <c r="AKL2" i="2" s="1"/>
  <c r="AKL2" i="1"/>
  <c r="AKK2" i="2" s="1"/>
  <c r="AKK2" i="1"/>
  <c r="AKJ2" i="2" s="1"/>
  <c r="AKJ2" i="1"/>
  <c r="AKI2" i="2" s="1"/>
  <c r="AKI2" i="1"/>
  <c r="AKH2" i="2" s="1"/>
  <c r="AKH2" i="1"/>
  <c r="AKG2" i="2" s="1"/>
  <c r="AKG2" i="1"/>
  <c r="AKF2" i="2" s="1"/>
  <c r="AKF2" i="1"/>
  <c r="AKE2" i="2" s="1"/>
  <c r="AKE2" i="1"/>
  <c r="AKD2" i="2" s="1"/>
  <c r="AKD2" i="1"/>
  <c r="AKC2" i="2" s="1"/>
  <c r="AKC2" i="1"/>
  <c r="AKB2" i="2" s="1"/>
  <c r="AKB2" i="1"/>
  <c r="AKA2" i="2" s="1"/>
  <c r="AKA2" i="1"/>
  <c r="AJZ2" i="2" s="1"/>
  <c r="AJZ2" i="1"/>
  <c r="AJY2" i="2" s="1"/>
  <c r="AJY2" i="1"/>
  <c r="AJX2" i="2" s="1"/>
  <c r="AJX2" i="1"/>
  <c r="AJW2" i="2" s="1"/>
  <c r="AJW2" i="1"/>
  <c r="AJV2" i="2" s="1"/>
  <c r="AJV2" i="1"/>
  <c r="AJU2" i="2" s="1"/>
  <c r="AJU2" i="1"/>
  <c r="AJT2" i="2" s="1"/>
  <c r="AJT2" i="1"/>
  <c r="AJS2" i="2" s="1"/>
  <c r="AJS2" i="1"/>
  <c r="AJR2" i="2" s="1"/>
  <c r="AJR2" i="1"/>
  <c r="AJQ2" i="2" s="1"/>
  <c r="AJQ2" i="1"/>
  <c r="AJP2" i="2" s="1"/>
  <c r="AJP2" i="1"/>
  <c r="AJO2" i="2" s="1"/>
  <c r="AJO2" i="1"/>
  <c r="AJN2" i="2" s="1"/>
  <c r="AJN2" i="1"/>
  <c r="AJM2" i="2" s="1"/>
  <c r="AJM2" i="1"/>
  <c r="AJL2" i="2" s="1"/>
  <c r="AJL2" i="1"/>
  <c r="AJK2" i="2" s="1"/>
  <c r="AJK2" i="1"/>
  <c r="AJJ2" i="2" s="1"/>
  <c r="AJJ2" i="1"/>
  <c r="AJI2" i="2" s="1"/>
  <c r="AJI2" i="1"/>
  <c r="AJH2" i="2" s="1"/>
  <c r="AJH2" i="1"/>
  <c r="AJG2" i="2" s="1"/>
  <c r="AJG2" i="1"/>
  <c r="AJF2" i="2" s="1"/>
  <c r="AJF2" i="1"/>
  <c r="AJE2" i="2" s="1"/>
  <c r="AJE2" i="1"/>
  <c r="AJD2" i="2" s="1"/>
  <c r="AJD2" i="1"/>
  <c r="AJC2" i="2" s="1"/>
  <c r="AJC2" i="1"/>
  <c r="AJB2" i="2" s="1"/>
  <c r="AJB2" i="1"/>
  <c r="AJA2" i="2" s="1"/>
  <c r="AJA2" i="1"/>
  <c r="AIZ2" i="2" s="1"/>
  <c r="AIZ2" i="1"/>
  <c r="AIY2" i="2" s="1"/>
  <c r="AIY2" i="1"/>
  <c r="AIX2" i="2" s="1"/>
  <c r="AIX2" i="1"/>
  <c r="AIW2" i="2" s="1"/>
  <c r="AIW2" i="1"/>
  <c r="AIV2" i="2" s="1"/>
  <c r="AIV2" i="1"/>
  <c r="AIU2" i="2" s="1"/>
  <c r="AIU2" i="1"/>
  <c r="AIT2" i="2" s="1"/>
  <c r="AIT2" i="1"/>
  <c r="AIS2" i="2" s="1"/>
  <c r="AIS2" i="1"/>
  <c r="AIR2" i="2" s="1"/>
  <c r="AIR2" i="1"/>
  <c r="AIQ2" i="2" s="1"/>
  <c r="AIQ2" i="1"/>
  <c r="AIP2" i="2" s="1"/>
  <c r="AIP2" i="1"/>
  <c r="AIO2" i="2" s="1"/>
  <c r="AIO2" i="1"/>
  <c r="AIN2" i="2" s="1"/>
  <c r="AIN2" i="1"/>
  <c r="AIM2" i="2" s="1"/>
  <c r="AIM2" i="1"/>
  <c r="AIL2" i="2" s="1"/>
  <c r="AIL2" i="1"/>
  <c r="AIK2" i="2" s="1"/>
  <c r="AIK2" i="1"/>
  <c r="AIJ2" i="2" s="1"/>
  <c r="AIJ2" i="1"/>
  <c r="AII2" i="2" s="1"/>
  <c r="AII2" i="1"/>
  <c r="AIH2" i="2" s="1"/>
  <c r="AIH2" i="1"/>
  <c r="AIG2" i="2" s="1"/>
  <c r="AIG2" i="1"/>
  <c r="AIF2" i="2" s="1"/>
  <c r="AIF2" i="1"/>
  <c r="AIE2" i="2" s="1"/>
  <c r="AIE2" i="1"/>
  <c r="AID2" i="2" s="1"/>
  <c r="AID2" i="1"/>
  <c r="AIC2" i="2" s="1"/>
  <c r="AIC2" i="1"/>
  <c r="AIB2" i="2" s="1"/>
  <c r="AIB2" i="1"/>
  <c r="AIA2" i="2" s="1"/>
  <c r="AIA2" i="1"/>
  <c r="AHZ2" i="2" s="1"/>
  <c r="AHZ2" i="1"/>
  <c r="AHY2" i="2" s="1"/>
  <c r="AHY2" i="1"/>
  <c r="AHX2" i="2" s="1"/>
  <c r="AHX2" i="1"/>
  <c r="AHW2" i="2" s="1"/>
  <c r="AHW2" i="1"/>
  <c r="AHV2" i="2" s="1"/>
  <c r="AHV2" i="1"/>
  <c r="AHU2" i="2" s="1"/>
  <c r="AHU2" i="1"/>
  <c r="AHT2" i="2" s="1"/>
  <c r="AHT2" i="1"/>
  <c r="AHS2" i="2" s="1"/>
  <c r="AHS2" i="1"/>
  <c r="AHR2" i="2" s="1"/>
  <c r="AHR2" i="1"/>
  <c r="AHQ2" i="2" s="1"/>
  <c r="AHQ2" i="1"/>
  <c r="AHP2" i="2" s="1"/>
  <c r="AHP2" i="1"/>
  <c r="AHO2" i="2" s="1"/>
  <c r="AHO2" i="1"/>
  <c r="AHN2" i="2" s="1"/>
  <c r="AHN2" i="1"/>
  <c r="AHM2" i="2" s="1"/>
  <c r="AHM2" i="1"/>
  <c r="AHL2" i="2" s="1"/>
  <c r="AHL2" i="1"/>
  <c r="AHK2" i="2" s="1"/>
  <c r="AHK2" i="1"/>
  <c r="AHJ2" i="2" s="1"/>
  <c r="AHJ2" i="1"/>
  <c r="AHI2" i="2" s="1"/>
  <c r="AHI2" i="1"/>
  <c r="AHH2" i="2" s="1"/>
  <c r="AHH2" i="1"/>
  <c r="AHG2" i="2" s="1"/>
  <c r="AHG2" i="1"/>
  <c r="AHF2" i="2" s="1"/>
  <c r="AHF2" i="1"/>
  <c r="AHE2" i="2" s="1"/>
  <c r="AHE2" i="1"/>
  <c r="AHD2" i="2" s="1"/>
  <c r="AHD2" i="1"/>
  <c r="AHC2" i="2" s="1"/>
  <c r="AHC2" i="1"/>
  <c r="AHB2" i="2" s="1"/>
  <c r="AHB2" i="1"/>
  <c r="AHA2" i="2" s="1"/>
  <c r="AHA2" i="1"/>
  <c r="AGZ2" i="2" s="1"/>
  <c r="AGZ2" i="1"/>
  <c r="AGY2" i="2" s="1"/>
  <c r="AGY2" i="1"/>
  <c r="AGX2" i="2" s="1"/>
  <c r="AGX2" i="1"/>
  <c r="AGW2" i="2" s="1"/>
  <c r="AGW2" i="1"/>
  <c r="AGV2" i="2" s="1"/>
  <c r="AGV2" i="1"/>
  <c r="AGU2" i="2" s="1"/>
  <c r="AGU2" i="1"/>
  <c r="AGT2" i="2" s="1"/>
  <c r="AGT2" i="1"/>
  <c r="AGS2" i="2" s="1"/>
  <c r="AGS2" i="1"/>
  <c r="AGR2" i="2" s="1"/>
  <c r="AGR2" i="1"/>
  <c r="AGQ2" i="2" s="1"/>
  <c r="AGQ2" i="1"/>
  <c r="AGP2" i="2" s="1"/>
  <c r="AGP2" i="1"/>
  <c r="AGO2" i="2" s="1"/>
  <c r="AGO2" i="1"/>
  <c r="AGN2" i="2" s="1"/>
  <c r="AGN2" i="1"/>
  <c r="AGM2" i="2" s="1"/>
  <c r="AGM2" i="1"/>
  <c r="AGL2" i="2" s="1"/>
  <c r="AGL2" i="1"/>
  <c r="AGK2" i="2" s="1"/>
  <c r="AGK2" i="1"/>
  <c r="AGJ2" i="2" s="1"/>
  <c r="AGJ2" i="1"/>
  <c r="AGI2" i="2" s="1"/>
  <c r="AGI2" i="1"/>
  <c r="AGH2" i="2" s="1"/>
  <c r="AGH2" i="1"/>
  <c r="AGG2" i="2" s="1"/>
  <c r="AGG2" i="1"/>
  <c r="AGF2" i="2" s="1"/>
  <c r="AGF2" i="1"/>
  <c r="AGE2" i="2" s="1"/>
  <c r="AGE2" i="1"/>
  <c r="AGD2" i="2" s="1"/>
  <c r="AGD2" i="1"/>
  <c r="AGC2" i="2" s="1"/>
  <c r="AGC2" i="1"/>
  <c r="AGB2" i="2" s="1"/>
  <c r="AGB2" i="1"/>
  <c r="AGA2" i="2" s="1"/>
  <c r="AGA2" i="1"/>
  <c r="AFZ2" i="2" s="1"/>
  <c r="AFZ2" i="1"/>
  <c r="AFY2" i="2" s="1"/>
  <c r="AFY2" i="1"/>
  <c r="AFX2" i="2" s="1"/>
  <c r="AFX2" i="1"/>
  <c r="AFW2" i="2" s="1"/>
  <c r="AFW2" i="1"/>
  <c r="AFV2" i="2" s="1"/>
  <c r="AFV2" i="1"/>
  <c r="AFU2" i="2" s="1"/>
  <c r="AFU2" i="1"/>
  <c r="AFT2" i="2" s="1"/>
  <c r="AFT2" i="1"/>
  <c r="AFS2" i="2" s="1"/>
  <c r="AFS2" i="1"/>
  <c r="AFR2" i="2" s="1"/>
  <c r="AFR2" i="1"/>
  <c r="AFQ2" i="2" s="1"/>
  <c r="AFQ2" i="1"/>
  <c r="AFP2" i="2" s="1"/>
  <c r="AFP2" i="1"/>
  <c r="AFO2" i="2" s="1"/>
  <c r="AFO2" i="1"/>
  <c r="AFN2" i="2" s="1"/>
  <c r="AFN2" i="1"/>
  <c r="AFM2" i="2" s="1"/>
  <c r="AFM2" i="1"/>
  <c r="AFL2" i="2" s="1"/>
  <c r="AFL2" i="1"/>
  <c r="AFK2" i="2" s="1"/>
  <c r="AFK2" i="1"/>
  <c r="AFJ2" i="2" s="1"/>
  <c r="AFJ2" i="1"/>
  <c r="AFI2" i="2" s="1"/>
  <c r="AFI2" i="1"/>
  <c r="AFH2" i="2" s="1"/>
  <c r="AFH2" i="1"/>
  <c r="AFG2" i="2" s="1"/>
  <c r="AFG2" i="1"/>
  <c r="AFF2" i="2" s="1"/>
  <c r="AFF2" i="1"/>
  <c r="AFE2" i="2" s="1"/>
  <c r="AFE2" i="1"/>
  <c r="AFD2" i="2" s="1"/>
  <c r="AFD2" i="1"/>
  <c r="AFC2" i="2" s="1"/>
  <c r="AFC2" i="1"/>
  <c r="AFB2" i="2" s="1"/>
  <c r="AFB2" i="1"/>
  <c r="AFA2" i="2" s="1"/>
  <c r="AFA2" i="1"/>
  <c r="AEZ2" i="2" s="1"/>
  <c r="AEZ2" i="1"/>
  <c r="AEY2" i="2" s="1"/>
  <c r="AEY2" i="1"/>
  <c r="AEX2" i="2" s="1"/>
  <c r="AEX2" i="1"/>
  <c r="AEW2" i="2" s="1"/>
  <c r="AEW2" i="1"/>
  <c r="AEV2" i="2" s="1"/>
  <c r="AEV2" i="1"/>
  <c r="AEU2" i="2" s="1"/>
  <c r="AEU2" i="1"/>
  <c r="AET2" i="2" s="1"/>
  <c r="AET2" i="1"/>
  <c r="AES2" i="2" s="1"/>
  <c r="AES2" i="1"/>
  <c r="AER2" i="2" s="1"/>
  <c r="AER2" i="1"/>
  <c r="AEQ2" i="2" s="1"/>
  <c r="AEQ2" i="1"/>
  <c r="AEP2" i="2" s="1"/>
  <c r="AEP2" i="1"/>
  <c r="AEO2" i="2" s="1"/>
  <c r="AEO2" i="1"/>
  <c r="AEN2" i="2" s="1"/>
  <c r="AEN2" i="1"/>
  <c r="AEM2" i="2" s="1"/>
  <c r="AEM2" i="1"/>
  <c r="AEL2" i="2" s="1"/>
  <c r="AEL2" i="1"/>
  <c r="AEK2" i="2" s="1"/>
  <c r="AEK2" i="1"/>
  <c r="AEJ2" i="2" s="1"/>
  <c r="AEJ2" i="1"/>
  <c r="AEI2" i="2" s="1"/>
  <c r="AEI2" i="1"/>
  <c r="AEH2" i="2" s="1"/>
  <c r="AEH2" i="1"/>
  <c r="AEG2" i="2" s="1"/>
  <c r="AEG2" i="1"/>
  <c r="AEF2" i="2" s="1"/>
  <c r="AEF2" i="1"/>
  <c r="AEE2" i="2" s="1"/>
  <c r="AEE2" i="1"/>
  <c r="AED2" i="2" s="1"/>
  <c r="AED2" i="1"/>
  <c r="AEC2" i="2" s="1"/>
  <c r="AEC2" i="1"/>
  <c r="AEB2" i="2" s="1"/>
  <c r="AEB2" i="1"/>
  <c r="AEA2" i="2" s="1"/>
  <c r="AEA2" i="1"/>
  <c r="ADZ2" i="2" s="1"/>
  <c r="ADZ2" i="1"/>
  <c r="ADY2" i="2" s="1"/>
  <c r="ADY2" i="1"/>
  <c r="ADX2" i="2" s="1"/>
  <c r="ADX2" i="1"/>
  <c r="ADW2" i="2" s="1"/>
  <c r="ADW2" i="1"/>
  <c r="ADV2" i="2" s="1"/>
  <c r="ADV2" i="1"/>
  <c r="ADU2" i="2" s="1"/>
  <c r="ADU2" i="1"/>
  <c r="ADT2" i="2" s="1"/>
  <c r="ADT2" i="1"/>
  <c r="ADS2" i="2" s="1"/>
  <c r="ADS2" i="1"/>
  <c r="ADR2" i="2" s="1"/>
  <c r="ADR2" i="1"/>
  <c r="ADQ2" i="2" s="1"/>
  <c r="ADQ2" i="1"/>
  <c r="ADP2" i="2" s="1"/>
  <c r="ADP2" i="1"/>
  <c r="ADO2" i="2" s="1"/>
  <c r="ADO2" i="1"/>
  <c r="ADN2" i="2" s="1"/>
  <c r="ADN2" i="1"/>
  <c r="ADM2" i="2" s="1"/>
  <c r="ADM2" i="1"/>
  <c r="ADL2" i="2" s="1"/>
  <c r="ADL2" i="1"/>
  <c r="ADK2" i="2" s="1"/>
  <c r="ADK2" i="1"/>
  <c r="ADJ2" i="2" s="1"/>
  <c r="ADJ2" i="1"/>
  <c r="ADI2" i="2" s="1"/>
  <c r="ADI2" i="1"/>
  <c r="ADH2" i="2" s="1"/>
  <c r="ADH2" i="1"/>
  <c r="ADG2" i="2" s="1"/>
  <c r="ADG2" i="1"/>
  <c r="ADF2" i="2" s="1"/>
  <c r="ADF2" i="1"/>
  <c r="ADE2" i="2" s="1"/>
  <c r="ADE2" i="1"/>
  <c r="ADD2" i="2" s="1"/>
  <c r="ADD2" i="1"/>
  <c r="ADC2" i="2" s="1"/>
  <c r="ADC2" i="1"/>
  <c r="ADB2" i="2" s="1"/>
  <c r="ADB2" i="1"/>
  <c r="ADA2" i="2" s="1"/>
  <c r="ADA2" i="1"/>
  <c r="ACZ2" i="2" s="1"/>
  <c r="ACZ2" i="1"/>
  <c r="ACY2" i="2" s="1"/>
  <c r="ACY2" i="1"/>
  <c r="ACX2" i="2" s="1"/>
  <c r="ACX2" i="1"/>
  <c r="ACW2" i="2" s="1"/>
  <c r="ACW2" i="1"/>
  <c r="ACV2" i="2" s="1"/>
  <c r="ACV2" i="1"/>
  <c r="ACU2" i="2" s="1"/>
  <c r="ACU2" i="1"/>
  <c r="ACT2" i="2" s="1"/>
  <c r="ACT2" i="1"/>
  <c r="ACS2" i="2" s="1"/>
  <c r="ACS2" i="1"/>
  <c r="ACR2" i="2" s="1"/>
  <c r="ACR2" i="1"/>
  <c r="ACQ2" i="2" s="1"/>
  <c r="ACQ2" i="1"/>
  <c r="ACP2" i="2" s="1"/>
  <c r="ACP2" i="1"/>
  <c r="ACO2" i="2" s="1"/>
  <c r="ACO2" i="1"/>
  <c r="ACN2" i="2" s="1"/>
  <c r="ACN2" i="1"/>
  <c r="ACM2" i="2" s="1"/>
  <c r="ACM2" i="1"/>
  <c r="ACL2" i="2" s="1"/>
  <c r="ACL2" i="1"/>
  <c r="ACK2" i="2" s="1"/>
  <c r="ACK2" i="1"/>
  <c r="ACJ2" i="2" s="1"/>
  <c r="ACJ2" i="1"/>
  <c r="ACI2" i="2" s="1"/>
  <c r="ACI2" i="1"/>
  <c r="ACH2" i="2" s="1"/>
  <c r="ACH2" i="1"/>
  <c r="ACG2" i="2" s="1"/>
  <c r="ACG2" i="1"/>
  <c r="ACF2" i="2" s="1"/>
  <c r="ACF2" i="1"/>
  <c r="ACE2" i="2" s="1"/>
  <c r="ACE2" i="1"/>
  <c r="ACD2" i="2" s="1"/>
  <c r="ACD2" i="1"/>
  <c r="ACC2" i="2" s="1"/>
  <c r="ACC2" i="1"/>
  <c r="ACB2" i="2" s="1"/>
  <c r="ACB2" i="1"/>
  <c r="ACA2" i="2" s="1"/>
  <c r="ACA2" i="1"/>
  <c r="ABZ2" i="2" s="1"/>
  <c r="ABZ2" i="1"/>
  <c r="ABY2" i="2" s="1"/>
  <c r="ABY2" i="1"/>
  <c r="ABX2" i="2" s="1"/>
  <c r="ABX2" i="1"/>
  <c r="ABW2" i="2" s="1"/>
  <c r="ABW2" i="1"/>
  <c r="ABV2" i="2" s="1"/>
  <c r="ABV2" i="1"/>
  <c r="ABU2" i="2" s="1"/>
  <c r="ABU2" i="1"/>
  <c r="ABT2" i="2" s="1"/>
  <c r="ABT2" i="1"/>
  <c r="ABS2" i="2" s="1"/>
  <c r="ABS2" i="1"/>
  <c r="ABR2" i="2" s="1"/>
  <c r="ABR2" i="1"/>
  <c r="ABQ2" i="2" s="1"/>
  <c r="ABQ2" i="1"/>
  <c r="ABP2" i="2" s="1"/>
  <c r="ABP2" i="1"/>
  <c r="ABO2" i="2" s="1"/>
  <c r="ABO2" i="1"/>
  <c r="ABN2" i="2" s="1"/>
  <c r="ABN2" i="1"/>
  <c r="ABM2" i="2" s="1"/>
  <c r="ABM2" i="1"/>
  <c r="ABL2" i="2" s="1"/>
  <c r="ABL2" i="1"/>
  <c r="ABK2" i="2" s="1"/>
  <c r="ABK2" i="1"/>
  <c r="ABJ2" i="2" s="1"/>
  <c r="ABJ2" i="1"/>
  <c r="ABI2" i="2" s="1"/>
  <c r="ABI2" i="1"/>
  <c r="ABH2" i="2" s="1"/>
  <c r="ABH2" i="1"/>
  <c r="ABG2" i="2" s="1"/>
  <c r="ABG2" i="1"/>
  <c r="ABF2" i="2" s="1"/>
  <c r="ABF2" i="1"/>
  <c r="ABE2" i="2" s="1"/>
  <c r="ABE2" i="1"/>
  <c r="ABD2" i="2" s="1"/>
  <c r="ABD2" i="1"/>
  <c r="ABC2" i="2" s="1"/>
  <c r="ABC2" i="1"/>
  <c r="ABB2" i="2" s="1"/>
  <c r="ABB2" i="1"/>
  <c r="ABA2" i="2" s="1"/>
  <c r="ABA2" i="1"/>
  <c r="AAZ2" i="2" s="1"/>
  <c r="AAZ2" i="1"/>
  <c r="AAY2" i="2" s="1"/>
  <c r="AAY2" i="1"/>
  <c r="AAX2" i="2" s="1"/>
  <c r="AAX2" i="1"/>
  <c r="AAW2" i="2" s="1"/>
  <c r="AAW2" i="1"/>
  <c r="AAV2" i="2" s="1"/>
  <c r="AAV2" i="1"/>
  <c r="AAU2" i="2" s="1"/>
  <c r="AAU2" i="1"/>
  <c r="AAT2" i="2" s="1"/>
  <c r="AAT2" i="1"/>
  <c r="AAS2" i="2" s="1"/>
  <c r="AAS2" i="1"/>
  <c r="AAR2" i="2" s="1"/>
  <c r="AAR2" i="1"/>
  <c r="AAQ2" i="2" s="1"/>
  <c r="AAQ2" i="1"/>
  <c r="AAP2" i="2" s="1"/>
  <c r="AAP2" i="1"/>
  <c r="AAO2" i="2" s="1"/>
  <c r="AAO2" i="1"/>
  <c r="AAN2" i="2" s="1"/>
  <c r="AAN2" i="1"/>
  <c r="AAM2" i="2" s="1"/>
  <c r="AAM2" i="1"/>
  <c r="AAL2" i="2" s="1"/>
  <c r="AAL2" i="1"/>
  <c r="AAK2" i="2" s="1"/>
  <c r="AAK2" i="1"/>
  <c r="AAJ2" i="2" s="1"/>
  <c r="AAJ2" i="1"/>
  <c r="AAI2" i="2" s="1"/>
  <c r="AAI2" i="1"/>
  <c r="AAH2" i="2" s="1"/>
  <c r="AAH2" i="1"/>
  <c r="AAG2" i="2" s="1"/>
  <c r="AAG2" i="1"/>
  <c r="AAF2" i="2" s="1"/>
  <c r="AAF2" i="1"/>
  <c r="AAE2" i="2" s="1"/>
  <c r="AAE2" i="1"/>
  <c r="AAD2" i="2" s="1"/>
  <c r="AAD2" i="1"/>
  <c r="AAC2" i="2" s="1"/>
  <c r="AAC2" i="1"/>
  <c r="AAB2" i="2" s="1"/>
  <c r="AAB2" i="1"/>
  <c r="AAA2" i="2" s="1"/>
  <c r="AAA2" i="1"/>
  <c r="ZZ2" i="2" s="1"/>
  <c r="ZZ2" i="1"/>
  <c r="ZY2" i="2" s="1"/>
  <c r="ZY2" i="1"/>
  <c r="ZX2" i="2" s="1"/>
  <c r="ZX2" i="1"/>
  <c r="ZW2" i="2" s="1"/>
  <c r="ZW2" i="1"/>
  <c r="ZV2" i="2" s="1"/>
  <c r="ZV2" i="1"/>
  <c r="ZU2" i="2" s="1"/>
  <c r="ZU2" i="1"/>
  <c r="ZT2" i="2" s="1"/>
  <c r="ZT2" i="1"/>
  <c r="ZS2" i="2" s="1"/>
  <c r="ZS2" i="1"/>
  <c r="ZR2" i="2" s="1"/>
  <c r="ZR2" i="1"/>
  <c r="ZQ2" i="2" s="1"/>
  <c r="ZQ2" i="1"/>
  <c r="ZP2" i="2" s="1"/>
  <c r="ZP2" i="1"/>
  <c r="ZO2" i="2" s="1"/>
  <c r="ZO2" i="1"/>
  <c r="ZN2" i="2" s="1"/>
  <c r="ZN2" i="1"/>
  <c r="ZM2" i="2" s="1"/>
  <c r="ZM2" i="1"/>
  <c r="ZL2" i="2" s="1"/>
  <c r="ZL2" i="1"/>
  <c r="ZK2" i="2" s="1"/>
  <c r="ZK2" i="1"/>
  <c r="ZJ2" i="2" s="1"/>
  <c r="ZJ2" i="1"/>
  <c r="ZI2" i="2" s="1"/>
  <c r="ZI2" i="1"/>
  <c r="ZH2" i="2" s="1"/>
  <c r="ZH2" i="1"/>
  <c r="ZG2" i="2" s="1"/>
  <c r="ZG2" i="1"/>
  <c r="ZF2" i="2" s="1"/>
  <c r="ZF2" i="1"/>
  <c r="ZE2" i="2" s="1"/>
  <c r="ZE2" i="1"/>
  <c r="ZD2" i="2" s="1"/>
  <c r="ZD2" i="1"/>
  <c r="ZC2" i="2" s="1"/>
  <c r="ZC2" i="1"/>
  <c r="ZB2" i="2" s="1"/>
  <c r="ZB2" i="1"/>
  <c r="ZA2" i="2" s="1"/>
  <c r="ZA2" i="1"/>
  <c r="YZ2" i="2" s="1"/>
  <c r="YZ2" i="1"/>
  <c r="YY2" i="2" s="1"/>
  <c r="YY2" i="1"/>
  <c r="YX2" i="2" s="1"/>
  <c r="YX2" i="1"/>
  <c r="YW2" i="2" s="1"/>
  <c r="YW2" i="1"/>
  <c r="YV2" i="2" s="1"/>
  <c r="YV2" i="1"/>
  <c r="YU2" i="2" s="1"/>
  <c r="YU2" i="1"/>
  <c r="YT2" i="2" s="1"/>
  <c r="YT2" i="1"/>
  <c r="YS2" i="2" s="1"/>
  <c r="YS2" i="1"/>
  <c r="YR2" i="2" s="1"/>
  <c r="YR2" i="1"/>
  <c r="YQ2" i="2" s="1"/>
  <c r="YQ2" i="1"/>
  <c r="YP2" i="2" s="1"/>
  <c r="YP2" i="1"/>
  <c r="YO2" i="2" s="1"/>
  <c r="YO2" i="1"/>
  <c r="YN2" i="2" s="1"/>
  <c r="YN2" i="1"/>
  <c r="YM2" i="2" s="1"/>
  <c r="YM2" i="1"/>
  <c r="YL2" i="2" s="1"/>
  <c r="YL2" i="1"/>
  <c r="YK2" i="2" s="1"/>
  <c r="YK2" i="1"/>
  <c r="YJ2" i="2" s="1"/>
  <c r="YJ2" i="1"/>
  <c r="YI2" i="2" s="1"/>
  <c r="YI2" i="1"/>
  <c r="YH2" i="2" s="1"/>
  <c r="YH2" i="1"/>
  <c r="YG2" i="2" s="1"/>
  <c r="YG2" i="1"/>
  <c r="YF2" i="2" s="1"/>
  <c r="YF2" i="1"/>
  <c r="YE2" i="2" s="1"/>
  <c r="YE2" i="1"/>
  <c r="YD2" i="2" s="1"/>
  <c r="YD2" i="1"/>
  <c r="YC2" i="2" s="1"/>
  <c r="YC2" i="1"/>
  <c r="YB2" i="2" s="1"/>
  <c r="YB2" i="1"/>
  <c r="YA2" i="2" s="1"/>
  <c r="YA2" i="1"/>
  <c r="XZ2" i="2" s="1"/>
  <c r="XZ2" i="1"/>
  <c r="XY2" i="2" s="1"/>
  <c r="XY2" i="1"/>
  <c r="XX2" i="2" s="1"/>
  <c r="XX2" i="1"/>
  <c r="XW2" i="2" s="1"/>
  <c r="XW2" i="1"/>
  <c r="XV2" i="2" s="1"/>
  <c r="XV2" i="1"/>
  <c r="XU2" i="2" s="1"/>
  <c r="XU2" i="1"/>
  <c r="XT2" i="2" s="1"/>
  <c r="XT2" i="1"/>
  <c r="XS2" i="2" s="1"/>
  <c r="XS2" i="1"/>
  <c r="XR2" i="2" s="1"/>
  <c r="XR2" i="1"/>
  <c r="XQ2" i="2" s="1"/>
  <c r="XQ2" i="1"/>
  <c r="XP2" i="2" s="1"/>
  <c r="XP2" i="1"/>
  <c r="XO2" i="2" s="1"/>
  <c r="XO2" i="1"/>
  <c r="XN2" i="2" s="1"/>
  <c r="XN2" i="1"/>
  <c r="XM2" i="2" s="1"/>
  <c r="XM2" i="1"/>
  <c r="XL2" i="2" s="1"/>
  <c r="XL2" i="1"/>
  <c r="XK2" i="2" s="1"/>
  <c r="XK2" i="1"/>
  <c r="XJ2" i="2" s="1"/>
  <c r="XJ2" i="1"/>
  <c r="XI2" i="2" s="1"/>
  <c r="XI2" i="1"/>
  <c r="XH2" i="2" s="1"/>
  <c r="XH2" i="1"/>
  <c r="XG2" i="2" s="1"/>
  <c r="XG2" i="1"/>
  <c r="XF2" i="2" s="1"/>
  <c r="XF2" i="1"/>
  <c r="XE2" i="2" s="1"/>
  <c r="XE2" i="1"/>
  <c r="XD2" i="2" s="1"/>
  <c r="XD2" i="1"/>
  <c r="XC2" i="2" s="1"/>
  <c r="XC2" i="1"/>
  <c r="XB2" i="2" s="1"/>
  <c r="XB2" i="1"/>
  <c r="XA2" i="2" s="1"/>
  <c r="XA2" i="1"/>
  <c r="WZ2" i="2" s="1"/>
  <c r="WZ2" i="1"/>
  <c r="WY2" i="2" s="1"/>
  <c r="WY2" i="1"/>
  <c r="WX2" i="2" s="1"/>
  <c r="WX2" i="1"/>
  <c r="WW2" i="2" s="1"/>
  <c r="WW2" i="1"/>
  <c r="WV2" i="2" s="1"/>
  <c r="WV2" i="1"/>
  <c r="WU2" i="2" s="1"/>
  <c r="WU2" i="1"/>
  <c r="WT2" i="2" s="1"/>
  <c r="WT2" i="1"/>
  <c r="WS2" i="2" s="1"/>
  <c r="WS2" i="1"/>
  <c r="WR2" i="2" s="1"/>
  <c r="WR2" i="1"/>
  <c r="WQ2" i="2" s="1"/>
  <c r="WQ2" i="1"/>
  <c r="WP2" i="2" s="1"/>
  <c r="WP2" i="1"/>
  <c r="WO2" i="2" s="1"/>
  <c r="WO2" i="1"/>
  <c r="WN2" i="2" s="1"/>
  <c r="WN2" i="1"/>
  <c r="WM2" i="2" s="1"/>
  <c r="WM2" i="1"/>
  <c r="WL2" i="2" s="1"/>
  <c r="WL2" i="1"/>
  <c r="WK2" i="2" s="1"/>
  <c r="WK2" i="1"/>
  <c r="WJ2" i="2" s="1"/>
  <c r="WJ2" i="1"/>
  <c r="WI2" i="2" s="1"/>
  <c r="WI2" i="1"/>
  <c r="WH2" i="2" s="1"/>
  <c r="WH2" i="1"/>
  <c r="WG2" i="2" s="1"/>
  <c r="WG2" i="1"/>
  <c r="WF2" i="2" s="1"/>
  <c r="WF2" i="1"/>
  <c r="WE2" i="2" s="1"/>
  <c r="WE2" i="1"/>
  <c r="WD2" i="2" s="1"/>
  <c r="WD2" i="1"/>
  <c r="WC2" i="2" s="1"/>
  <c r="WC2" i="1"/>
  <c r="WB2" i="2" s="1"/>
  <c r="WB2" i="1"/>
  <c r="WA2" i="2" s="1"/>
  <c r="WA2" i="1"/>
  <c r="VZ2" i="2" s="1"/>
  <c r="VZ2" i="1"/>
  <c r="VY2" i="2" s="1"/>
  <c r="VY2" i="1"/>
  <c r="VX2" i="2" s="1"/>
  <c r="VX2" i="1"/>
  <c r="VW2" i="2" s="1"/>
  <c r="VW2" i="1"/>
  <c r="VV2" i="2" s="1"/>
  <c r="VV2" i="1"/>
  <c r="VU2" i="2" s="1"/>
  <c r="VU2" i="1"/>
  <c r="VT2" i="2" s="1"/>
  <c r="VT2" i="1"/>
  <c r="VS2" i="2" s="1"/>
  <c r="VS2" i="1"/>
  <c r="VR2" i="2" s="1"/>
  <c r="VR2" i="1"/>
  <c r="VQ2" i="2" s="1"/>
  <c r="VQ2" i="1"/>
  <c r="VP2" i="2" s="1"/>
  <c r="VP2" i="1"/>
  <c r="VO2" i="2" s="1"/>
  <c r="VO2" i="1"/>
  <c r="VN2" i="2" s="1"/>
  <c r="VN2" i="1"/>
  <c r="VM2" i="2" s="1"/>
  <c r="VM2" i="1"/>
  <c r="VL2" i="2" s="1"/>
  <c r="VL2" i="1"/>
  <c r="VK2" i="2" s="1"/>
  <c r="VK2" i="1"/>
  <c r="VJ2" i="2" s="1"/>
  <c r="VJ2" i="1"/>
  <c r="VI2" i="2" s="1"/>
  <c r="VI2" i="1"/>
  <c r="VH2" i="2" s="1"/>
  <c r="VH2" i="1"/>
  <c r="VG2" i="2" s="1"/>
  <c r="VG2" i="1"/>
  <c r="VF2" i="2" s="1"/>
  <c r="VF2" i="1"/>
  <c r="VE2" i="2" s="1"/>
  <c r="VE2" i="1"/>
  <c r="VD2" i="2" s="1"/>
  <c r="VD2" i="1"/>
  <c r="VC2" i="2" s="1"/>
  <c r="VC2" i="1"/>
  <c r="VB2" i="2" s="1"/>
  <c r="VB2" i="1"/>
  <c r="VA2" i="2" s="1"/>
  <c r="VA2" i="1"/>
  <c r="UZ2" i="2" s="1"/>
  <c r="UZ2" i="1"/>
  <c r="UY2" i="2" s="1"/>
  <c r="UY2" i="1"/>
  <c r="UX2" i="2" s="1"/>
  <c r="UX2" i="1"/>
  <c r="UW2" i="2" s="1"/>
  <c r="UW2" i="1"/>
  <c r="UV2" i="2" s="1"/>
  <c r="UV2" i="1"/>
  <c r="UU2" i="2" s="1"/>
  <c r="UU2" i="1"/>
  <c r="UT2" i="2" s="1"/>
  <c r="UT2" i="1"/>
  <c r="US2" i="2" s="1"/>
  <c r="US2" i="1"/>
  <c r="UR2" i="2" s="1"/>
  <c r="UR2" i="1"/>
  <c r="UQ2" i="2" s="1"/>
  <c r="UQ2" i="1"/>
  <c r="UP2" i="2" s="1"/>
  <c r="UP2" i="1"/>
  <c r="UO2" i="2" s="1"/>
  <c r="UO2" i="1"/>
  <c r="UN2" i="2" s="1"/>
  <c r="UN2" i="1"/>
  <c r="UM2" i="2" s="1"/>
  <c r="UM2" i="1"/>
  <c r="UL2" i="2" s="1"/>
  <c r="UL2" i="1"/>
  <c r="UK2" i="2" s="1"/>
  <c r="UK2" i="1"/>
  <c r="UJ2" i="2" s="1"/>
  <c r="UJ2" i="1"/>
  <c r="UI2" i="2" s="1"/>
  <c r="UI2" i="1"/>
  <c r="UH2" i="2" s="1"/>
  <c r="UH2" i="1"/>
  <c r="UG2" i="2" s="1"/>
  <c r="UG2" i="1"/>
  <c r="UF2" i="2" s="1"/>
  <c r="UF2" i="1"/>
  <c r="UE2" i="2" s="1"/>
  <c r="UE2" i="1"/>
  <c r="UD2" i="2" s="1"/>
  <c r="UD2" i="1"/>
  <c r="UC2" i="2" s="1"/>
  <c r="UC2" i="1"/>
  <c r="UB2" i="2" s="1"/>
  <c r="UB2" i="1"/>
  <c r="UA2" i="2" s="1"/>
  <c r="UA2" i="1"/>
  <c r="TZ2" i="2" s="1"/>
  <c r="TZ2" i="1"/>
  <c r="TY2" i="2" s="1"/>
  <c r="TY2" i="1"/>
  <c r="TX2" i="2" s="1"/>
  <c r="TX2" i="1"/>
  <c r="TW2" i="2" s="1"/>
  <c r="TW2" i="1"/>
  <c r="TV2" i="2" s="1"/>
  <c r="TV2" i="1"/>
  <c r="TU2" i="2" s="1"/>
  <c r="TU2" i="1"/>
  <c r="TT2" i="2" s="1"/>
  <c r="TT2" i="1"/>
  <c r="TS2" i="2" s="1"/>
  <c r="TS2" i="1"/>
  <c r="TR2" i="2" s="1"/>
  <c r="TR2" i="1"/>
  <c r="TQ2" i="2" s="1"/>
  <c r="TQ2" i="1"/>
  <c r="TP2" i="2" s="1"/>
  <c r="TP2" i="1"/>
  <c r="TO2" i="2" s="1"/>
  <c r="TO2" i="1"/>
  <c r="TN2" i="2" s="1"/>
  <c r="TN2" i="1"/>
  <c r="TM2" i="2" s="1"/>
  <c r="TM2" i="1"/>
  <c r="TL2" i="2" s="1"/>
  <c r="TL2" i="1"/>
  <c r="TK2" i="2" s="1"/>
  <c r="TK2" i="1"/>
  <c r="TJ2" i="2" s="1"/>
  <c r="TJ2" i="1"/>
  <c r="TI2" i="2" s="1"/>
  <c r="TI2" i="1"/>
  <c r="TH2" i="2" s="1"/>
  <c r="TH2" i="1"/>
  <c r="TG2" i="2" s="1"/>
  <c r="TG2" i="1"/>
  <c r="TF2" i="2" s="1"/>
  <c r="TF2" i="1"/>
  <c r="TE2" i="2" s="1"/>
  <c r="TE2" i="1"/>
  <c r="TD2" i="2" s="1"/>
  <c r="TD2" i="1"/>
  <c r="TC2" i="2" s="1"/>
  <c r="TC2" i="1"/>
  <c r="TB2" i="2" s="1"/>
  <c r="TB2" i="1"/>
  <c r="TA2" i="2" s="1"/>
  <c r="TA2" i="1"/>
  <c r="SZ2" i="2" s="1"/>
  <c r="SZ2" i="1"/>
  <c r="SY2" i="2" s="1"/>
  <c r="SY2" i="1"/>
  <c r="SX2" i="2" s="1"/>
  <c r="SX2" i="1"/>
  <c r="SW2" i="2" s="1"/>
  <c r="SW2" i="1"/>
  <c r="SV2" i="2" s="1"/>
  <c r="SV2" i="1"/>
  <c r="SU2" i="2" s="1"/>
  <c r="SU2" i="1"/>
  <c r="ST2" i="2" s="1"/>
  <c r="ST2" i="1"/>
  <c r="SS2" i="2" s="1"/>
  <c r="SS2" i="1"/>
  <c r="SR2" i="2" s="1"/>
  <c r="SR2" i="1"/>
  <c r="SQ2" i="2" s="1"/>
  <c r="SQ2" i="1"/>
  <c r="SP2" i="2" s="1"/>
  <c r="SP2" i="1"/>
  <c r="SO2" i="2" s="1"/>
  <c r="SO2" i="1"/>
  <c r="SN2" i="2" s="1"/>
  <c r="SN2" i="1"/>
  <c r="SM2" i="2" s="1"/>
  <c r="SM2" i="1"/>
  <c r="SL2" i="2" s="1"/>
  <c r="SL2" i="1"/>
  <c r="SK2" i="2" s="1"/>
  <c r="SK2" i="1"/>
  <c r="SJ2" i="2" s="1"/>
  <c r="SJ2" i="1"/>
  <c r="SI2" i="2" s="1"/>
  <c r="SI2" i="1"/>
  <c r="SH2" i="2" s="1"/>
  <c r="SH2" i="1"/>
  <c r="SG2" i="2" s="1"/>
  <c r="SG2" i="1"/>
  <c r="SF2" i="2" s="1"/>
  <c r="SF2" i="1"/>
  <c r="SE2" i="2" s="1"/>
  <c r="SE2" i="1"/>
  <c r="SD2" i="2" s="1"/>
  <c r="SD2" i="1"/>
  <c r="SC2" i="2" s="1"/>
  <c r="SC2" i="1"/>
  <c r="SB2" i="2" s="1"/>
  <c r="SB2" i="1"/>
  <c r="SA2" i="2" s="1"/>
  <c r="SA2" i="1"/>
  <c r="RZ2" i="2" s="1"/>
  <c r="RZ2" i="1"/>
  <c r="RY2" i="2" s="1"/>
  <c r="RY2" i="1"/>
  <c r="RX2" i="2" s="1"/>
  <c r="RX2" i="1"/>
  <c r="RW2" i="2" s="1"/>
  <c r="RW2" i="1"/>
  <c r="RV2" i="2" s="1"/>
  <c r="RV2" i="1"/>
  <c r="RU2" i="2" s="1"/>
  <c r="RU2" i="1"/>
  <c r="RT2" i="2" s="1"/>
  <c r="RT2" i="1"/>
  <c r="RS2" i="2" s="1"/>
  <c r="RS2" i="1"/>
  <c r="RR2" i="2" s="1"/>
  <c r="RR2" i="1"/>
  <c r="RQ2" i="2" s="1"/>
  <c r="RQ2" i="1"/>
  <c r="RP2" i="2" s="1"/>
  <c r="RP2" i="1"/>
  <c r="RO2" i="2" s="1"/>
  <c r="RO2" i="1"/>
  <c r="RN2" i="2" s="1"/>
  <c r="RN2" i="1"/>
  <c r="RM2" i="2" s="1"/>
  <c r="RM2" i="1"/>
  <c r="RL2" i="2" s="1"/>
  <c r="RL2" i="1"/>
  <c r="RK2" i="2" s="1"/>
  <c r="RK2" i="1"/>
  <c r="RJ2" i="2" s="1"/>
  <c r="RJ2" i="1"/>
  <c r="RI2" i="2" s="1"/>
  <c r="RI2" i="1"/>
  <c r="RH2" i="2" s="1"/>
  <c r="RH2" i="1"/>
  <c r="RG2" i="2" s="1"/>
  <c r="RG2" i="1"/>
  <c r="RF2" i="2" s="1"/>
  <c r="RF2" i="1"/>
  <c r="RE2" i="2" s="1"/>
  <c r="RE2" i="1"/>
  <c r="RD2" i="2" s="1"/>
  <c r="RD2" i="1"/>
  <c r="RC2" i="2" s="1"/>
  <c r="RC2" i="1"/>
  <c r="RB2" i="2" s="1"/>
  <c r="RB2" i="1"/>
  <c r="RA2" i="2" s="1"/>
  <c r="RA2" i="1"/>
  <c r="QZ2" i="2" s="1"/>
  <c r="QZ2" i="1"/>
  <c r="QY2" i="2" s="1"/>
  <c r="QY2" i="1"/>
  <c r="QX2" i="2" s="1"/>
  <c r="QX2" i="1"/>
  <c r="QW2" i="2" s="1"/>
  <c r="QW2" i="1"/>
  <c r="QV2" i="2" s="1"/>
  <c r="QV2" i="1"/>
  <c r="QU2" i="2" s="1"/>
  <c r="QU2" i="1"/>
  <c r="QT2" i="2" s="1"/>
  <c r="QT2" i="1"/>
  <c r="QS2" i="2" s="1"/>
  <c r="QS2" i="1"/>
  <c r="QR2" i="2" s="1"/>
  <c r="QR2" i="1"/>
  <c r="QQ2" i="2" s="1"/>
  <c r="QQ2" i="1"/>
  <c r="QP2" i="2" s="1"/>
  <c r="QP2" i="1"/>
  <c r="QO2" i="2" s="1"/>
  <c r="QO2" i="1"/>
  <c r="QN2" i="2" s="1"/>
  <c r="QN2" i="1"/>
  <c r="QM2" i="2" s="1"/>
  <c r="QM2" i="1"/>
  <c r="QL2" i="2" s="1"/>
  <c r="QL2" i="1"/>
  <c r="QK2" i="2" s="1"/>
  <c r="QK2" i="1"/>
  <c r="QJ2" i="2" s="1"/>
  <c r="QJ2" i="1"/>
  <c r="QI2" i="2" s="1"/>
  <c r="QI2" i="1"/>
  <c r="QH2" i="2" s="1"/>
  <c r="QH2" i="1"/>
  <c r="QG2" i="2" s="1"/>
  <c r="QG2" i="1"/>
  <c r="QF2" i="2" s="1"/>
  <c r="QF2" i="1"/>
  <c r="QE2" i="2" s="1"/>
  <c r="QE2" i="1"/>
  <c r="QD2" i="2" s="1"/>
  <c r="QD2" i="1"/>
  <c r="QC2" i="2" s="1"/>
  <c r="QC2" i="1"/>
  <c r="QB2" i="2" s="1"/>
  <c r="QB2" i="1"/>
  <c r="QA2" i="2" s="1"/>
  <c r="QA2" i="1"/>
  <c r="PZ2" i="2" s="1"/>
  <c r="PZ2" i="1"/>
  <c r="PY2" i="2" s="1"/>
  <c r="PY2" i="1"/>
  <c r="PX2" i="2" s="1"/>
  <c r="PX2" i="1"/>
  <c r="PW2" i="2" s="1"/>
  <c r="PW2" i="1"/>
  <c r="PV2" i="2" s="1"/>
  <c r="PV2" i="1"/>
  <c r="PU2" i="2" s="1"/>
  <c r="PU2" i="1"/>
  <c r="PT2" i="2" s="1"/>
  <c r="PT2" i="1"/>
  <c r="PS2" i="2" s="1"/>
  <c r="PS2" i="1"/>
  <c r="PR2" i="2" s="1"/>
  <c r="PR2" i="1"/>
  <c r="PQ2" i="2" s="1"/>
  <c r="PQ2" i="1"/>
  <c r="PP2" i="2" s="1"/>
  <c r="PP2" i="1"/>
  <c r="PO2" i="2" s="1"/>
  <c r="PO2" i="1"/>
  <c r="PN2" i="2" s="1"/>
  <c r="PN2" i="1"/>
  <c r="PM2" i="2" s="1"/>
  <c r="PM2" i="1"/>
  <c r="PL2" i="2" s="1"/>
  <c r="PL2" i="1"/>
  <c r="PK2" i="2" s="1"/>
  <c r="PK2" i="1"/>
  <c r="PJ2" i="2" s="1"/>
  <c r="PJ2" i="1"/>
  <c r="PI2" i="2" s="1"/>
  <c r="PI2" i="1"/>
  <c r="PH2" i="2" s="1"/>
  <c r="PH2" i="1"/>
  <c r="PG2" i="2" s="1"/>
  <c r="PG2" i="1"/>
  <c r="PF2" i="2" s="1"/>
  <c r="PF2" i="1"/>
  <c r="PE2" i="2" s="1"/>
  <c r="PE2" i="1"/>
  <c r="PD2" i="2" s="1"/>
  <c r="PD2" i="1"/>
  <c r="PC2" i="2" s="1"/>
  <c r="PC2" i="1"/>
  <c r="PB2" i="2" s="1"/>
  <c r="PB2" i="1"/>
  <c r="PA2" i="2" s="1"/>
  <c r="PA2" i="1"/>
  <c r="OZ2" i="2" s="1"/>
  <c r="OZ2" i="1"/>
  <c r="OY2" i="2" s="1"/>
  <c r="OY2" i="1"/>
  <c r="OX2" i="2" s="1"/>
  <c r="OX2" i="1"/>
  <c r="OW2" i="2" s="1"/>
  <c r="OW2" i="1"/>
  <c r="OV2" i="2" s="1"/>
  <c r="OV2" i="1"/>
  <c r="OU2" i="2" s="1"/>
  <c r="OU2" i="1"/>
  <c r="OT2" i="2" s="1"/>
  <c r="OT2" i="1"/>
  <c r="OS2" i="2" s="1"/>
  <c r="OS2" i="1"/>
  <c r="OR2" i="2" s="1"/>
  <c r="OR2" i="1"/>
  <c r="OQ2" i="2" s="1"/>
  <c r="OQ2" i="1"/>
  <c r="OP2" i="2" s="1"/>
  <c r="OP2" i="1"/>
  <c r="OO2" i="2" s="1"/>
  <c r="OO2" i="1"/>
  <c r="ON2" i="2" s="1"/>
  <c r="ON2" i="1"/>
  <c r="OM2" i="2" s="1"/>
  <c r="OM2" i="1"/>
  <c r="OL2" i="2" s="1"/>
  <c r="OL2" i="1"/>
  <c r="OK2" i="2" s="1"/>
  <c r="OK2" i="1"/>
  <c r="OJ2" i="2" s="1"/>
  <c r="OJ2" i="1"/>
  <c r="OI2" i="2" s="1"/>
  <c r="OI2" i="1"/>
  <c r="OH2" i="2" s="1"/>
  <c r="OH2" i="1"/>
  <c r="OG2" i="2" s="1"/>
  <c r="OG2" i="1"/>
  <c r="OF2" i="2" s="1"/>
  <c r="OF2" i="1"/>
  <c r="OE2" i="2" s="1"/>
  <c r="OE2" i="1"/>
  <c r="OD2" i="2" s="1"/>
  <c r="OD2" i="1"/>
  <c r="OC2" i="2" s="1"/>
  <c r="OC2" i="1"/>
  <c r="OB2" i="2" s="1"/>
  <c r="OB2" i="1"/>
  <c r="OA2" i="2" s="1"/>
  <c r="OA2" i="1"/>
  <c r="NZ2" i="2" s="1"/>
  <c r="NZ2" i="1"/>
  <c r="NY2" i="2" s="1"/>
  <c r="NY2" i="1"/>
  <c r="NX2" i="2" s="1"/>
  <c r="NX2" i="1"/>
  <c r="NW2" i="2" s="1"/>
  <c r="NW2" i="1"/>
  <c r="NV2" i="2" s="1"/>
  <c r="NV2" i="1"/>
  <c r="NU2" i="2" s="1"/>
  <c r="NU2" i="1"/>
  <c r="NT2" i="2" s="1"/>
  <c r="NT2" i="1"/>
  <c r="NS2" i="2" s="1"/>
  <c r="NS2" i="1"/>
  <c r="NR2" i="2" s="1"/>
  <c r="NR2" i="1"/>
  <c r="NQ2" i="2" s="1"/>
  <c r="NQ2" i="1"/>
  <c r="NP2" i="2" s="1"/>
  <c r="NP2" i="1"/>
  <c r="NO2" i="2" s="1"/>
  <c r="NO2" i="1"/>
  <c r="NN2" i="2" s="1"/>
  <c r="NN2" i="1"/>
  <c r="NM2" i="2" s="1"/>
  <c r="NM2" i="1"/>
  <c r="NL2" i="2" s="1"/>
  <c r="NL2" i="1"/>
  <c r="NK2" i="2" s="1"/>
  <c r="NK2" i="1"/>
  <c r="NJ2" i="2" s="1"/>
  <c r="NJ2" i="1"/>
  <c r="NI2" i="2" s="1"/>
  <c r="NI2" i="1"/>
  <c r="NH2" i="2" s="1"/>
  <c r="NH2" i="1"/>
  <c r="NG2" i="2" s="1"/>
  <c r="NG2" i="1"/>
  <c r="NF2" i="2" s="1"/>
  <c r="NF2" i="1"/>
  <c r="NE2" i="2" s="1"/>
  <c r="NE2" i="1"/>
  <c r="ND2" i="2" s="1"/>
  <c r="ND2" i="1"/>
  <c r="NC2" i="2" s="1"/>
  <c r="NC2" i="1"/>
  <c r="NB2" i="2" s="1"/>
  <c r="NB2" i="1"/>
  <c r="NA2" i="2" s="1"/>
  <c r="NA2" i="1"/>
  <c r="MZ2" i="2" s="1"/>
  <c r="MZ2" i="1"/>
  <c r="MY2" i="2" s="1"/>
  <c r="MY2" i="1"/>
  <c r="MX2" i="2" s="1"/>
  <c r="MX2" i="1"/>
  <c r="MW2" i="2" s="1"/>
  <c r="MW2" i="1"/>
  <c r="MV2" i="2" s="1"/>
  <c r="MV2" i="1"/>
  <c r="MU2" i="2" s="1"/>
  <c r="MU2" i="1"/>
  <c r="MT2" i="2" s="1"/>
  <c r="MT2" i="1"/>
  <c r="MS2" i="2" s="1"/>
  <c r="MS2" i="1"/>
  <c r="MR2" i="2" s="1"/>
  <c r="MR2" i="1"/>
  <c r="MQ2" i="2" s="1"/>
  <c r="MQ2" i="1"/>
  <c r="MP2" i="2" s="1"/>
  <c r="MP2" i="1"/>
  <c r="MO2" i="2" s="1"/>
  <c r="MO2" i="1"/>
  <c r="MN2" i="2" s="1"/>
  <c r="MN2" i="1"/>
  <c r="MM2" i="2" s="1"/>
  <c r="MM2" i="1"/>
  <c r="ML2" i="2" s="1"/>
  <c r="ML2" i="1"/>
  <c r="MK2" i="2" s="1"/>
  <c r="MK2" i="1"/>
  <c r="MJ2" i="2" s="1"/>
  <c r="MJ2" i="1"/>
  <c r="MI2" i="2" s="1"/>
  <c r="MI2" i="1"/>
  <c r="MH2" i="2" s="1"/>
  <c r="MH2" i="1"/>
  <c r="MG2" i="2" s="1"/>
  <c r="MG2" i="1"/>
  <c r="MF2" i="2" s="1"/>
  <c r="MF2" i="1"/>
  <c r="ME2" i="2" s="1"/>
  <c r="ME2" i="1"/>
  <c r="MD2" i="2" s="1"/>
  <c r="MD2" i="1"/>
  <c r="MC2" i="2" s="1"/>
  <c r="MC2" i="1"/>
  <c r="MB2" i="2" s="1"/>
  <c r="MB2" i="1"/>
  <c r="MA2" i="2" s="1"/>
  <c r="MA2" i="1"/>
  <c r="LZ2" i="2" s="1"/>
  <c r="LZ2" i="1"/>
  <c r="LY2" i="2" s="1"/>
  <c r="LY2" i="1"/>
  <c r="LX2" i="2" s="1"/>
  <c r="LX2" i="1"/>
  <c r="LW2" i="2" s="1"/>
  <c r="LW2" i="1"/>
  <c r="LV2" i="2" s="1"/>
  <c r="LV2" i="1"/>
  <c r="LU2" i="2" s="1"/>
  <c r="LU2" i="1"/>
  <c r="LT2" i="2" s="1"/>
  <c r="LT2" i="1"/>
  <c r="LS2" i="2" s="1"/>
  <c r="LS2" i="1"/>
  <c r="LR2" i="2" s="1"/>
  <c r="LR2" i="1"/>
  <c r="LQ2" i="2" s="1"/>
  <c r="LQ2" i="1"/>
  <c r="LP2" i="2" s="1"/>
  <c r="LP2" i="1"/>
  <c r="LO2" i="2" s="1"/>
  <c r="LO2" i="1"/>
  <c r="LN2" i="2" s="1"/>
  <c r="LN2" i="1"/>
  <c r="LM2" i="2" s="1"/>
  <c r="LM2" i="1"/>
  <c r="LL2" i="2" s="1"/>
  <c r="LL2" i="1"/>
  <c r="LK2" i="2" s="1"/>
  <c r="LK2" i="1"/>
  <c r="LJ2" i="2" s="1"/>
  <c r="LJ2" i="1"/>
  <c r="LI2" i="2" s="1"/>
  <c r="LI2" i="1"/>
  <c r="LH2" i="2" s="1"/>
  <c r="LH2" i="1"/>
  <c r="LG2" i="2" s="1"/>
  <c r="LG2" i="1"/>
  <c r="LF2" i="2" s="1"/>
  <c r="LF2" i="1"/>
  <c r="LE2" i="2" s="1"/>
  <c r="LE2" i="1"/>
  <c r="LD2" i="2" s="1"/>
  <c r="LD2" i="1"/>
  <c r="LC2" i="2" s="1"/>
  <c r="LC2" i="1"/>
  <c r="LB2" i="2" s="1"/>
  <c r="LB2" i="1"/>
  <c r="LA2" i="2" s="1"/>
  <c r="LA2" i="1"/>
  <c r="KZ2" i="2" s="1"/>
  <c r="KZ2" i="1"/>
  <c r="KY2" i="2" s="1"/>
  <c r="KY2" i="1"/>
  <c r="KX2" i="2" s="1"/>
  <c r="KX2" i="1"/>
  <c r="KW2" i="2" s="1"/>
  <c r="KW2" i="1"/>
  <c r="KV2" i="2" s="1"/>
  <c r="KV2" i="1"/>
  <c r="KU2" i="2" s="1"/>
  <c r="KU2" i="1"/>
  <c r="KT2" i="2" s="1"/>
  <c r="KT2" i="1"/>
  <c r="KS2" i="2" s="1"/>
  <c r="KS2" i="1"/>
  <c r="KR2" i="2" s="1"/>
  <c r="KR2" i="1"/>
  <c r="KQ2" i="2" s="1"/>
  <c r="KQ2" i="1"/>
  <c r="KP2" i="2" s="1"/>
  <c r="KP2" i="1"/>
  <c r="KO2" i="2" s="1"/>
  <c r="KO2" i="1"/>
  <c r="KN2" i="2" s="1"/>
  <c r="KN2" i="1"/>
  <c r="KM2" i="2" s="1"/>
  <c r="KM2" i="1"/>
  <c r="KL2" i="2" s="1"/>
  <c r="KL2" i="1"/>
  <c r="KK2" i="2" s="1"/>
  <c r="KK2" i="1"/>
  <c r="KJ2" i="2" s="1"/>
  <c r="KJ2" i="1"/>
  <c r="KI2" i="2" s="1"/>
  <c r="KI2" i="1"/>
  <c r="KH2" i="2" s="1"/>
  <c r="KH2" i="1"/>
  <c r="KG2" i="2" s="1"/>
  <c r="KG2" i="1"/>
  <c r="KF2" i="2" s="1"/>
  <c r="KF2" i="1"/>
  <c r="KE2" i="2" s="1"/>
  <c r="KE2" i="1"/>
  <c r="KD2" i="2" s="1"/>
  <c r="KD2" i="1"/>
  <c r="KC2" i="2" s="1"/>
  <c r="KC2" i="1"/>
  <c r="KB2" i="2" s="1"/>
  <c r="KB2" i="1"/>
  <c r="KA2" i="2" s="1"/>
  <c r="KA2" i="1"/>
  <c r="JZ2" i="2" s="1"/>
  <c r="JZ2" i="1"/>
  <c r="JY2" i="2" s="1"/>
  <c r="JY2" i="1"/>
  <c r="JX2" i="2" s="1"/>
  <c r="JX2" i="1"/>
  <c r="JW2" i="2" s="1"/>
  <c r="JW2" i="1"/>
  <c r="JV2" i="2" s="1"/>
  <c r="JV2" i="1"/>
  <c r="JU2" i="2" s="1"/>
  <c r="JU2" i="1"/>
  <c r="JT2" i="2" s="1"/>
  <c r="JT2" i="1"/>
  <c r="JS2" i="2" s="1"/>
  <c r="JS2" i="1"/>
  <c r="JR2" i="2" s="1"/>
  <c r="JR2" i="1"/>
  <c r="JQ2" i="2" s="1"/>
  <c r="JQ2" i="1"/>
  <c r="JP2" i="2" s="1"/>
  <c r="JP2" i="1"/>
  <c r="JO2" i="2" s="1"/>
  <c r="JO2" i="1"/>
  <c r="JN2" i="2" s="1"/>
  <c r="JN2" i="1"/>
  <c r="JM2" i="2" s="1"/>
  <c r="JM2" i="1"/>
  <c r="JL2" i="2" s="1"/>
  <c r="JL2" i="1"/>
  <c r="JK2" i="2" s="1"/>
  <c r="JK2" i="1"/>
  <c r="JJ2" i="2" s="1"/>
  <c r="JJ2" i="1"/>
  <c r="JI2" i="2" s="1"/>
  <c r="JI2" i="1"/>
  <c r="JH2" i="2" s="1"/>
  <c r="JH2" i="1"/>
  <c r="JG2" i="2" s="1"/>
  <c r="JG2" i="1"/>
  <c r="JF2" i="2" s="1"/>
  <c r="JF2" i="1"/>
  <c r="JE2" i="2" s="1"/>
  <c r="JE2" i="1"/>
  <c r="JD2" i="2" s="1"/>
  <c r="JD2" i="1"/>
  <c r="JC2" i="2" s="1"/>
  <c r="JC2" i="1"/>
  <c r="JB2" i="2" s="1"/>
  <c r="JB2" i="1"/>
  <c r="JA2" i="2" s="1"/>
  <c r="JA2" i="1"/>
  <c r="IZ2" i="2" s="1"/>
  <c r="IZ2" i="1"/>
  <c r="IY2" i="2" s="1"/>
  <c r="IY2" i="1"/>
  <c r="IX2" i="2" s="1"/>
  <c r="IX2" i="1"/>
  <c r="IW2" i="2" s="1"/>
  <c r="IW2" i="1"/>
  <c r="IV2" i="2" s="1"/>
  <c r="IV2" i="1"/>
  <c r="IU2" i="2" s="1"/>
  <c r="IU2" i="1"/>
  <c r="IT2" i="2" s="1"/>
  <c r="IT2" i="1"/>
  <c r="IS2" i="2" s="1"/>
  <c r="IS2" i="1"/>
  <c r="IR2" i="2" s="1"/>
  <c r="IR2" i="1"/>
  <c r="IQ2" i="2" s="1"/>
  <c r="IQ2" i="1"/>
  <c r="IP2" i="2" s="1"/>
  <c r="IP2" i="1"/>
  <c r="IO2" i="2" s="1"/>
  <c r="IO2" i="1"/>
  <c r="IN2" i="2" s="1"/>
  <c r="IN2" i="1"/>
  <c r="IM2" i="2" s="1"/>
  <c r="IM2" i="1"/>
  <c r="IL2" i="2" s="1"/>
  <c r="IL2" i="1"/>
  <c r="IK2" i="2" s="1"/>
  <c r="IK2" i="1"/>
  <c r="IJ2" i="2" s="1"/>
  <c r="IJ2" i="1"/>
  <c r="II2" i="2" s="1"/>
  <c r="II2" i="1"/>
  <c r="IH2" i="2" s="1"/>
  <c r="IH2" i="1"/>
  <c r="IG2" i="2" s="1"/>
  <c r="IG2" i="1"/>
  <c r="IF2" i="2" s="1"/>
  <c r="IF2" i="1"/>
  <c r="IE2" i="2" s="1"/>
  <c r="IE2" i="1"/>
  <c r="ID2" i="2" s="1"/>
  <c r="ID2" i="1"/>
  <c r="IC2" i="2" s="1"/>
  <c r="IC2" i="1"/>
  <c r="IB2" i="2" s="1"/>
  <c r="IB2" i="1"/>
  <c r="IA2" i="2" s="1"/>
  <c r="IA2" i="1"/>
  <c r="HZ2" i="2" s="1"/>
  <c r="HZ2" i="1"/>
  <c r="HY2" i="2" s="1"/>
  <c r="HY2" i="1"/>
  <c r="HX2" i="2" s="1"/>
  <c r="HX2" i="1"/>
  <c r="HW2" i="2" s="1"/>
  <c r="HW2" i="1"/>
  <c r="HV2" i="2" s="1"/>
  <c r="HV2" i="1"/>
  <c r="HU2" i="2" s="1"/>
  <c r="HU2" i="1"/>
  <c r="HT2" i="2" s="1"/>
  <c r="HT2" i="1"/>
  <c r="HS2" i="2" s="1"/>
  <c r="HS2" i="1"/>
  <c r="HR2" i="2" s="1"/>
  <c r="HR2" i="1"/>
  <c r="HQ2" i="2" s="1"/>
  <c r="HQ2" i="1"/>
  <c r="HP2" i="2" s="1"/>
  <c r="HP2" i="1"/>
  <c r="HO2" i="2" s="1"/>
  <c r="HO2" i="1"/>
  <c r="HN2" i="2" s="1"/>
  <c r="HN2" i="1"/>
  <c r="HM2" i="2" s="1"/>
  <c r="HM2" i="1"/>
  <c r="HL2" i="2" s="1"/>
  <c r="HL2" i="1"/>
  <c r="HK2" i="2" s="1"/>
  <c r="HK2" i="1"/>
  <c r="HJ2" i="2" s="1"/>
  <c r="HJ2" i="1"/>
  <c r="HI2" i="2" s="1"/>
  <c r="HI2" i="1"/>
  <c r="HH2" i="2" s="1"/>
  <c r="HH2" i="1"/>
  <c r="HG2" i="2" s="1"/>
  <c r="HG2" i="1"/>
  <c r="HF2" i="2" s="1"/>
  <c r="HF2" i="1"/>
  <c r="HE2" i="2" s="1"/>
  <c r="HE2" i="1"/>
  <c r="HD2" i="2" s="1"/>
  <c r="HD2" i="1"/>
  <c r="HC2" i="2" s="1"/>
  <c r="HC2" i="1"/>
  <c r="HB2" i="2" s="1"/>
  <c r="HB2" i="1"/>
  <c r="HA2" i="2" s="1"/>
  <c r="HA2" i="1"/>
  <c r="GZ2" i="2" s="1"/>
  <c r="GZ2" i="1"/>
  <c r="GY2" i="2" s="1"/>
  <c r="GY2" i="1"/>
  <c r="GX2" i="2" s="1"/>
  <c r="GX2" i="1"/>
  <c r="GW2" i="2" s="1"/>
  <c r="GW2" i="1"/>
  <c r="GV2" i="2" s="1"/>
  <c r="GV2" i="1"/>
  <c r="GU2" i="2" s="1"/>
  <c r="GU2" i="1"/>
  <c r="GT2" i="2" s="1"/>
  <c r="GT2" i="1"/>
  <c r="GS2" i="2" s="1"/>
  <c r="GS2" i="1"/>
  <c r="GR2" i="2" s="1"/>
  <c r="GR2" i="1"/>
  <c r="GQ2" i="2" s="1"/>
  <c r="GQ2" i="1"/>
  <c r="GP2" i="2" s="1"/>
  <c r="GP2" i="1"/>
  <c r="GO2" i="2" s="1"/>
  <c r="GO2" i="1"/>
  <c r="GN2" i="2" s="1"/>
  <c r="GN2" i="1"/>
  <c r="GM2" i="2" s="1"/>
  <c r="GM2" i="1"/>
  <c r="GL2" i="2" s="1"/>
  <c r="GL2" i="1"/>
  <c r="GK2" i="2" s="1"/>
  <c r="GK2" i="1"/>
  <c r="GJ2" i="2" s="1"/>
  <c r="GJ2" i="1"/>
  <c r="GI2" i="2" s="1"/>
  <c r="GI2" i="1"/>
  <c r="GH2" i="2" s="1"/>
  <c r="GH2" i="1"/>
  <c r="GG2" i="2" s="1"/>
  <c r="GG2" i="1"/>
  <c r="GF2" i="2" s="1"/>
  <c r="GF2" i="1"/>
  <c r="GE2" i="2" s="1"/>
  <c r="GE2" i="1"/>
  <c r="GD2" i="2" s="1"/>
  <c r="GD2" i="1"/>
  <c r="GC2" i="2" s="1"/>
  <c r="GC2" i="1"/>
  <c r="GB2" i="2" s="1"/>
  <c r="GB2" i="1"/>
  <c r="GA2" i="2" s="1"/>
  <c r="GA2" i="1"/>
  <c r="FZ2" i="2" s="1"/>
  <c r="FZ2" i="1"/>
  <c r="FY2" i="2" s="1"/>
  <c r="FY2" i="1"/>
  <c r="FX2" i="2" s="1"/>
  <c r="FX2" i="1"/>
  <c r="FW2" i="2" s="1"/>
  <c r="FW2" i="1"/>
  <c r="FV2" i="2" s="1"/>
  <c r="FV2" i="1"/>
  <c r="FU2" i="2" s="1"/>
  <c r="FU2" i="1"/>
  <c r="FT2" i="2" s="1"/>
  <c r="FT2" i="1"/>
  <c r="FS2" i="2" s="1"/>
  <c r="FS2" i="1"/>
  <c r="FR2" i="2" s="1"/>
  <c r="FR2" i="1"/>
  <c r="FQ2" i="2" s="1"/>
  <c r="FQ2" i="1"/>
  <c r="FP2" i="2" s="1"/>
  <c r="FP2" i="1"/>
  <c r="FO2" i="2" s="1"/>
  <c r="FO2" i="1"/>
  <c r="FN2" i="2" s="1"/>
  <c r="FN2" i="1"/>
  <c r="FM2" i="2" s="1"/>
  <c r="FM2" i="1"/>
  <c r="FL2" i="2" s="1"/>
  <c r="FL2" i="1"/>
  <c r="FK2" i="2" s="1"/>
  <c r="FK2" i="1"/>
  <c r="FJ2" i="2" s="1"/>
  <c r="FJ2" i="1"/>
  <c r="FI2" i="2" s="1"/>
  <c r="FI2" i="1"/>
  <c r="FH2" i="2" s="1"/>
  <c r="FH2" i="1"/>
  <c r="FG2" i="2" s="1"/>
  <c r="FG2" i="1"/>
  <c r="FF2" i="2" s="1"/>
  <c r="FF2" i="1"/>
  <c r="FE2" i="2" s="1"/>
  <c r="FE2" i="1"/>
  <c r="FD2" i="2" s="1"/>
  <c r="FD2" i="1"/>
  <c r="FC2" i="2" s="1"/>
  <c r="FC2" i="1"/>
  <c r="FB2" i="2" s="1"/>
  <c r="FB2" i="1"/>
  <c r="FA2" i="2" s="1"/>
  <c r="FA2" i="1"/>
  <c r="EZ2" i="2" s="1"/>
  <c r="EZ2" i="1"/>
  <c r="EY2" i="2" s="1"/>
  <c r="EY2" i="1"/>
  <c r="EX2" i="2" s="1"/>
  <c r="EX2" i="1"/>
  <c r="EW2" i="2" s="1"/>
  <c r="EW2" i="1"/>
  <c r="EV2" i="2" s="1"/>
  <c r="EV2" i="1"/>
  <c r="EU2" i="2" s="1"/>
  <c r="EU2" i="1"/>
  <c r="ET2" i="2" s="1"/>
  <c r="ET2" i="1"/>
  <c r="ES2" i="2" s="1"/>
  <c r="ES2" i="1"/>
  <c r="ER2" i="2" s="1"/>
  <c r="ER2" i="1"/>
  <c r="EQ2" i="2" s="1"/>
  <c r="EQ2" i="1"/>
  <c r="EP2" i="2" s="1"/>
  <c r="EP2" i="1"/>
  <c r="EO2" i="2" s="1"/>
  <c r="EO2" i="1"/>
  <c r="EN2" i="2" s="1"/>
  <c r="EN2" i="1"/>
  <c r="EM2" i="2" s="1"/>
  <c r="EM2" i="1"/>
  <c r="EL2" i="2" s="1"/>
  <c r="EL2" i="1"/>
  <c r="EK2" i="2" s="1"/>
  <c r="EK2" i="1"/>
  <c r="EJ2" i="2" s="1"/>
  <c r="EJ2" i="1"/>
  <c r="EI2" i="2" s="1"/>
  <c r="EI2" i="1"/>
  <c r="EH2" i="2" s="1"/>
  <c r="EH2" i="1"/>
  <c r="EG2" i="2" s="1"/>
  <c r="EG2" i="1"/>
  <c r="EF2" i="2" s="1"/>
  <c r="EF2" i="1"/>
  <c r="EE2" i="2" s="1"/>
  <c r="EE2" i="1"/>
  <c r="ED2" i="2" s="1"/>
  <c r="ED2" i="1"/>
  <c r="EC2" i="2" s="1"/>
  <c r="EC2" i="1"/>
  <c r="EB2" i="2" s="1"/>
  <c r="EB2" i="1"/>
  <c r="EA2" i="2" s="1"/>
  <c r="EA2" i="1"/>
  <c r="DZ2" i="2" s="1"/>
  <c r="DZ2" i="1"/>
  <c r="DY2" i="2" s="1"/>
  <c r="DY2" i="1"/>
  <c r="DX2" i="2" s="1"/>
  <c r="DX2" i="1"/>
  <c r="DW2" i="2" s="1"/>
  <c r="DW2" i="1"/>
  <c r="DV2" i="2" s="1"/>
  <c r="DV2" i="1"/>
  <c r="DU2" i="2" s="1"/>
  <c r="DU2" i="1"/>
  <c r="DT2" i="2" s="1"/>
  <c r="DT2" i="1"/>
  <c r="DS2" i="2" s="1"/>
  <c r="DS2" i="1"/>
  <c r="DR2" i="2" s="1"/>
  <c r="DR2" i="1"/>
  <c r="DQ2" i="2" s="1"/>
  <c r="DQ2" i="1"/>
  <c r="DP2" i="2" s="1"/>
  <c r="DP2" i="1"/>
  <c r="DO2" i="2" s="1"/>
  <c r="DO2" i="1"/>
  <c r="DN2" i="2" s="1"/>
  <c r="DN2" i="1"/>
  <c r="DM2" i="2" s="1"/>
  <c r="DM2" i="1"/>
  <c r="DL2" i="2" s="1"/>
  <c r="DL2" i="1"/>
  <c r="DK2" i="2" s="1"/>
  <c r="DK2" i="1"/>
  <c r="DJ2" i="2" s="1"/>
  <c r="DJ2" i="1"/>
  <c r="DI2" i="2" s="1"/>
  <c r="DI2" i="1"/>
  <c r="DH2" i="2" s="1"/>
  <c r="DH2" i="1"/>
  <c r="DG2" i="2" s="1"/>
  <c r="DG2" i="1"/>
  <c r="DF2" i="2" s="1"/>
  <c r="DF2" i="1"/>
  <c r="DE2" i="2" s="1"/>
  <c r="DE2" i="1"/>
  <c r="DD2" i="2" s="1"/>
  <c r="DD2" i="1"/>
  <c r="DC2" i="2" s="1"/>
  <c r="DC2" i="1"/>
  <c r="DB2" i="2" s="1"/>
  <c r="DB2" i="1"/>
  <c r="DA2" i="2" s="1"/>
  <c r="DA2" i="1"/>
  <c r="CZ2" i="2" s="1"/>
  <c r="CZ2" i="1"/>
  <c r="CY2" i="2" s="1"/>
  <c r="CY2" i="1"/>
  <c r="CX2" i="2" s="1"/>
  <c r="CX2" i="1"/>
  <c r="CW2" i="2" s="1"/>
  <c r="CW2" i="1"/>
  <c r="CV2" i="2" s="1"/>
  <c r="CV2" i="1"/>
  <c r="CU2" i="2" s="1"/>
  <c r="CU2" i="1"/>
  <c r="CT2" i="2" s="1"/>
  <c r="CT2" i="1"/>
  <c r="CS2" i="2" s="1"/>
  <c r="CS2" i="1"/>
  <c r="CR2" i="2" s="1"/>
  <c r="CR2" i="1"/>
  <c r="CQ2" i="2" s="1"/>
  <c r="CQ2" i="1"/>
  <c r="CP2" i="2" s="1"/>
  <c r="CP2" i="1"/>
  <c r="CO2" i="2" s="1"/>
  <c r="CO2" i="1"/>
  <c r="CN2" i="2" s="1"/>
  <c r="CN2" i="1"/>
  <c r="CM2" i="2" s="1"/>
  <c r="CM2" i="1"/>
  <c r="CL2" i="2" s="1"/>
  <c r="CL2" i="1"/>
  <c r="CK2" i="2" s="1"/>
  <c r="CK2" i="1"/>
  <c r="CJ2" i="2" s="1"/>
  <c r="CJ2" i="1"/>
  <c r="CI2" i="2" s="1"/>
  <c r="CI2" i="1"/>
  <c r="CH2" i="2" s="1"/>
  <c r="CH2" i="1"/>
  <c r="CG2" i="2" s="1"/>
  <c r="CG2" i="1"/>
  <c r="CF2" i="2" s="1"/>
  <c r="CF2" i="1"/>
  <c r="CE2" i="2" s="1"/>
  <c r="CE2" i="1"/>
  <c r="CD2" i="2" s="1"/>
  <c r="CD2" i="1"/>
  <c r="CC2" i="2" s="1"/>
  <c r="CC2" i="1"/>
  <c r="CB2" i="2" s="1"/>
  <c r="CB2" i="1"/>
  <c r="CA2" i="2" s="1"/>
  <c r="CA2" i="1"/>
  <c r="BZ2" i="2" s="1"/>
  <c r="BZ2" i="1"/>
  <c r="BY2" i="2" s="1"/>
  <c r="BY2" i="1"/>
  <c r="BX2" i="2" s="1"/>
  <c r="BX2" i="1"/>
  <c r="BW2" i="2" s="1"/>
  <c r="BW2" i="1"/>
  <c r="BV2" i="2" s="1"/>
  <c r="BV2" i="1"/>
  <c r="BU2" i="2" s="1"/>
  <c r="BU2" i="1"/>
  <c r="BT2" i="2" s="1"/>
  <c r="BT2" i="1"/>
  <c r="BS2" i="2" s="1"/>
  <c r="BS2" i="1"/>
  <c r="BR2" i="2" s="1"/>
  <c r="BR2" i="1"/>
  <c r="BQ2" i="2" s="1"/>
  <c r="D2" i="1"/>
  <c r="C2" i="2" s="1"/>
  <c r="E2" i="1"/>
  <c r="D2" i="2" s="1"/>
  <c r="F2" i="1"/>
  <c r="E2" i="2" s="1"/>
  <c r="G2" i="1"/>
  <c r="F2" i="2" s="1"/>
  <c r="H2" i="1"/>
  <c r="G2" i="2" s="1"/>
  <c r="I2" i="1"/>
  <c r="H2" i="2" s="1"/>
  <c r="J2" i="1"/>
  <c r="I2" i="2" s="1"/>
  <c r="K2" i="1"/>
  <c r="J2" i="2" s="1"/>
  <c r="L2" i="1"/>
  <c r="K2" i="2" s="1"/>
  <c r="M2" i="1"/>
  <c r="L2" i="2" s="1"/>
  <c r="N2" i="1"/>
  <c r="M2" i="2" s="1"/>
  <c r="O2" i="1"/>
  <c r="N2" i="2" s="1"/>
  <c r="P2" i="1"/>
  <c r="O2" i="2" s="1"/>
  <c r="Q2" i="1"/>
  <c r="P2" i="2" s="1"/>
  <c r="R2" i="1"/>
  <c r="Q2" i="2" s="1"/>
  <c r="S2" i="1"/>
  <c r="R2" i="2" s="1"/>
  <c r="T2" i="1"/>
  <c r="S2" i="2" s="1"/>
  <c r="U2" i="1"/>
  <c r="T2" i="2" s="1"/>
  <c r="V2" i="1"/>
  <c r="U2" i="2" s="1"/>
  <c r="W2" i="1"/>
  <c r="V2" i="2" s="1"/>
  <c r="X2" i="1"/>
  <c r="W2" i="2" s="1"/>
  <c r="Y2" i="1"/>
  <c r="X2" i="2" s="1"/>
  <c r="Z2" i="1"/>
  <c r="Y2" i="2" s="1"/>
  <c r="AA2" i="1"/>
  <c r="Z2" i="2" s="1"/>
  <c r="AB2" i="1"/>
  <c r="AA2" i="2" s="1"/>
  <c r="AC2" i="1"/>
  <c r="AB2" i="2" s="1"/>
  <c r="AD2" i="1"/>
  <c r="AC2" i="2" s="1"/>
  <c r="AE2" i="1"/>
  <c r="AD2" i="2" s="1"/>
  <c r="AF2" i="1"/>
  <c r="AE2" i="2" s="1"/>
  <c r="AG2" i="1"/>
  <c r="AF2" i="2" s="1"/>
  <c r="AH2" i="1"/>
  <c r="AG2" i="2" s="1"/>
  <c r="AI2" i="1"/>
  <c r="AH2" i="2" s="1"/>
  <c r="AJ2" i="1"/>
  <c r="AI2" i="2" s="1"/>
  <c r="AK2" i="1"/>
  <c r="AJ2" i="2" s="1"/>
  <c r="AL2" i="1"/>
  <c r="AK2" i="2" s="1"/>
  <c r="AM2" i="1"/>
  <c r="AL2" i="2" s="1"/>
  <c r="AN2" i="1"/>
  <c r="AM2" i="2" s="1"/>
  <c r="AO2" i="1"/>
  <c r="AN2" i="2" s="1"/>
  <c r="AP2" i="1"/>
  <c r="AO2" i="2" s="1"/>
  <c r="AQ2" i="1"/>
  <c r="AP2" i="2" s="1"/>
  <c r="AR2" i="1"/>
  <c r="AQ2" i="2" s="1"/>
  <c r="AS2" i="1"/>
  <c r="AR2" i="2" s="1"/>
  <c r="AT2" i="1"/>
  <c r="AS2" i="2" s="1"/>
  <c r="AU2" i="1"/>
  <c r="AT2" i="2" s="1"/>
  <c r="AV2" i="1"/>
  <c r="AU2" i="2" s="1"/>
  <c r="AW2" i="1"/>
  <c r="AV2" i="2" s="1"/>
  <c r="AX2" i="1"/>
  <c r="AW2" i="2" s="1"/>
  <c r="AY2" i="1"/>
  <c r="AX2" i="2" s="1"/>
  <c r="AZ2" i="1"/>
  <c r="AY2" i="2" s="1"/>
  <c r="BA2" i="1"/>
  <c r="AZ2" i="2" s="1"/>
  <c r="BB2" i="1"/>
  <c r="BA2" i="2" s="1"/>
  <c r="BC2" i="1"/>
  <c r="BB2" i="2" s="1"/>
  <c r="BD2" i="1"/>
  <c r="BC2" i="2" s="1"/>
  <c r="BE2" i="1"/>
  <c r="BD2" i="2" s="1"/>
  <c r="BF2" i="1"/>
  <c r="BE2" i="2" s="1"/>
  <c r="BG2" i="1"/>
  <c r="BF2" i="2" s="1"/>
  <c r="BH2" i="1"/>
  <c r="BG2" i="2" s="1"/>
  <c r="BI2" i="1"/>
  <c r="BH2" i="2" s="1"/>
  <c r="BJ2" i="1"/>
  <c r="BI2" i="2" s="1"/>
  <c r="BK2" i="1"/>
  <c r="BJ2" i="2" s="1"/>
  <c r="BL2" i="1"/>
  <c r="BK2" i="2" s="1"/>
  <c r="BM2" i="1"/>
  <c r="BL2" i="2" s="1"/>
  <c r="BN2" i="1"/>
  <c r="BM2" i="2" s="1"/>
  <c r="BO2" i="1"/>
  <c r="BN2" i="2" s="1"/>
  <c r="BP2" i="1"/>
  <c r="BO2" i="2" s="1"/>
  <c r="BQ2" i="1"/>
  <c r="BP2" i="2" s="1"/>
  <c r="C2" i="1"/>
  <c r="B2" i="2" s="1"/>
  <c r="B5" i="1"/>
  <c r="B6" i="1" l="1"/>
  <c r="E5" i="4" a="1"/>
  <c r="E5" i="4" s="1"/>
  <c r="E6" i="4" s="1" a="1"/>
  <c r="E6" i="4" s="1"/>
  <c r="B7" i="1" l="1"/>
  <c r="E7" i="4" a="1"/>
  <c r="E7" i="4" s="1"/>
  <c r="E8" i="4" s="1" a="1"/>
  <c r="E8" i="4" s="1"/>
  <c r="E9" i="4" s="1" a="1"/>
  <c r="E9" i="4" s="1"/>
  <c r="B8" i="1" l="1"/>
  <c r="E10" i="4" a="1"/>
  <c r="E10" i="4" s="1"/>
  <c r="B12" i="1" l="1"/>
  <c r="E11" i="4" a="1"/>
  <c r="E11" i="4" s="1"/>
  <c r="E12" i="4" s="1" a="1"/>
  <c r="E12" i="4" s="1"/>
  <c r="B9" i="1" l="1"/>
  <c r="B10" i="1" s="1"/>
  <c r="B11" i="1" s="1"/>
  <c r="B13" i="1"/>
  <c r="E13" i="4" a="1"/>
  <c r="E13" i="4" s="1"/>
  <c r="E14" i="4" s="1" a="1"/>
  <c r="E14" i="4" s="1"/>
  <c r="E15" i="4" l="1" a="1"/>
  <c r="E15" i="4" s="1"/>
  <c r="E16" i="4" s="1" a="1"/>
  <c r="E16" i="4" s="1"/>
  <c r="E17" i="4" s="1" a="1"/>
  <c r="E17" i="4" s="1"/>
  <c r="E18" i="4" s="1" a="1"/>
  <c r="E18" i="4" s="1"/>
  <c r="E19" i="4" s="1" a="1"/>
  <c r="E19" i="4" s="1"/>
  <c r="E20" i="4" s="1" a="1"/>
  <c r="E20" i="4" s="1"/>
  <c r="E21" i="4" s="1" a="1"/>
  <c r="E21" i="4" s="1"/>
  <c r="E22" i="4" s="1" a="1"/>
  <c r="E22" i="4" s="1"/>
  <c r="E23" i="4" s="1" a="1"/>
  <c r="E23" i="4" s="1"/>
  <c r="E24" i="4" s="1" a="1"/>
  <c r="E24" i="4" s="1"/>
  <c r="E25" i="4" s="1" a="1"/>
  <c r="E25" i="4" s="1"/>
  <c r="E26" i="4" s="1" a="1"/>
  <c r="E26" i="4" s="1"/>
  <c r="E27" i="4" s="1" a="1"/>
  <c r="E27" i="4" s="1"/>
  <c r="E28" i="4" s="1" a="1"/>
  <c r="E28" i="4" s="1"/>
  <c r="E29" i="4" s="1" a="1"/>
  <c r="E29" i="4" s="1"/>
  <c r="E30" i="4" s="1" a="1"/>
  <c r="E30" i="4" s="1"/>
  <c r="E31" i="4" s="1" a="1"/>
  <c r="E31" i="4" s="1"/>
  <c r="E32" i="4" s="1" a="1"/>
  <c r="E32" i="4" s="1"/>
  <c r="E33" i="4" s="1" a="1"/>
  <c r="E33" i="4" s="1"/>
  <c r="E34" i="4" s="1" a="1"/>
  <c r="E34" i="4" s="1"/>
  <c r="E35" i="4" s="1" a="1"/>
  <c r="E35" i="4" s="1"/>
  <c r="E36" i="4" s="1" a="1"/>
  <c r="E36" i="4" s="1"/>
  <c r="E37" i="4" s="1" a="1"/>
  <c r="E37" i="4" s="1"/>
  <c r="E38" i="4" s="1" a="1"/>
  <c r="E38" i="4" s="1"/>
  <c r="E39" i="4" s="1" a="1"/>
  <c r="E39" i="4" s="1"/>
  <c r="E40" i="4" s="1" a="1"/>
  <c r="E40" i="4" s="1"/>
  <c r="E41" i="4" s="1" a="1"/>
  <c r="E41" i="4" s="1"/>
  <c r="E42" i="4" s="1" a="1"/>
  <c r="E42" i="4" s="1"/>
  <c r="E43" i="4" s="1" a="1"/>
  <c r="E43" i="4" s="1"/>
  <c r="E44" i="4" s="1" a="1"/>
  <c r="E44" i="4" s="1"/>
  <c r="E45" i="4" s="1" a="1"/>
  <c r="E45" i="4" s="1"/>
  <c r="E46" i="4" s="1" a="1"/>
  <c r="E46" i="4" s="1"/>
  <c r="E47" i="4" s="1" a="1"/>
  <c r="E47" i="4" s="1"/>
  <c r="E48" i="4" s="1" a="1"/>
  <c r="E48" i="4" s="1"/>
  <c r="E49" i="4" s="1" a="1"/>
  <c r="E49" i="4" s="1"/>
  <c r="E50" i="4" s="1" a="1"/>
  <c r="E50" i="4" s="1"/>
  <c r="E51" i="4" s="1" a="1"/>
  <c r="E51" i="4" s="1"/>
  <c r="E52" i="4" s="1" a="1"/>
  <c r="E52" i="4" s="1"/>
  <c r="E53" i="4" s="1" a="1"/>
  <c r="E53" i="4" s="1"/>
  <c r="E54" i="4" s="1" a="1"/>
  <c r="E54" i="4" s="1"/>
  <c r="E55" i="4" s="1" a="1"/>
  <c r="E55" i="4" s="1"/>
  <c r="E56" i="4" s="1" a="1"/>
  <c r="E56" i="4" s="1"/>
  <c r="E57" i="4" s="1" a="1"/>
  <c r="E57" i="4" s="1"/>
  <c r="E58" i="4" s="1" a="1"/>
  <c r="E58" i="4" s="1"/>
  <c r="E59" i="4" s="1" a="1"/>
  <c r="E59" i="4" s="1"/>
  <c r="E60" i="4" s="1" a="1"/>
  <c r="E60" i="4" s="1"/>
  <c r="E61" i="4" s="1" a="1"/>
  <c r="E61" i="4" s="1"/>
  <c r="E62" i="4" s="1" a="1"/>
  <c r="E62" i="4" s="1"/>
  <c r="E63" i="4" s="1" a="1"/>
  <c r="E63" i="4" s="1"/>
  <c r="E64" i="4" s="1" a="1"/>
  <c r="E64" i="4" s="1"/>
  <c r="E65" i="4" s="1" a="1"/>
  <c r="E65" i="4" s="1"/>
  <c r="E66" i="4" s="1" a="1"/>
  <c r="E66" i="4" s="1"/>
  <c r="E67" i="4" s="1" a="1"/>
  <c r="E67" i="4" s="1"/>
  <c r="E68" i="4" s="1" a="1"/>
  <c r="E68" i="4" s="1"/>
  <c r="E69" i="4" s="1" a="1"/>
  <c r="E69" i="4" s="1"/>
  <c r="E70" i="4" s="1" a="1"/>
  <c r="E70" i="4" s="1"/>
  <c r="E71" i="4" s="1" a="1"/>
  <c r="E71" i="4" s="1"/>
  <c r="E72" i="4" s="1" a="1"/>
  <c r="E72" i="4" s="1"/>
  <c r="E73" i="4" s="1" a="1"/>
  <c r="E73" i="4" s="1"/>
  <c r="E74" i="4" s="1" a="1"/>
  <c r="E74" i="4" s="1"/>
  <c r="E75" i="4" s="1" a="1"/>
  <c r="E75" i="4" s="1"/>
  <c r="E76" i="4" s="1" a="1"/>
  <c r="E76" i="4" s="1"/>
  <c r="E77" i="4" s="1" a="1"/>
  <c r="E77" i="4" s="1"/>
  <c r="E78" i="4" s="1" a="1"/>
  <c r="E78" i="4" s="1"/>
  <c r="E79" i="4" s="1" a="1"/>
  <c r="E79" i="4" s="1"/>
  <c r="E80" i="4" s="1" a="1"/>
  <c r="E80" i="4" s="1"/>
  <c r="E81" i="4" s="1" a="1"/>
  <c r="E81" i="4" s="1"/>
  <c r="E82" i="4" s="1" a="1"/>
  <c r="E82" i="4" s="1"/>
  <c r="E83" i="4" s="1" a="1"/>
  <c r="E83" i="4" s="1"/>
  <c r="E84" i="4" s="1" a="1"/>
  <c r="E84" i="4" s="1"/>
  <c r="E85" i="4" s="1" a="1"/>
  <c r="E85" i="4" s="1"/>
  <c r="E86" i="4" s="1" a="1"/>
  <c r="E86" i="4" s="1"/>
  <c r="E87" i="4" s="1" a="1"/>
  <c r="E87" i="4" s="1"/>
  <c r="E88" i="4" s="1" a="1"/>
  <c r="E88" i="4" s="1"/>
  <c r="E89" i="4" s="1" a="1"/>
  <c r="E89" i="4" s="1"/>
  <c r="E90" i="4" s="1" a="1"/>
  <c r="E90" i="4" s="1"/>
  <c r="E91" i="4" s="1" a="1"/>
  <c r="E91" i="4" s="1"/>
  <c r="E92" i="4" s="1" a="1"/>
  <c r="E92" i="4" s="1"/>
  <c r="E93" i="4" s="1" a="1"/>
  <c r="E93" i="4" s="1"/>
  <c r="E94" i="4" s="1" a="1"/>
  <c r="E94" i="4" s="1"/>
  <c r="E95" i="4" s="1" a="1"/>
  <c r="E95" i="4" s="1"/>
  <c r="E96" i="4" s="1" a="1"/>
  <c r="E96" i="4" s="1"/>
  <c r="E97" i="4" s="1" a="1"/>
  <c r="E97" i="4" s="1"/>
  <c r="E98" i="4" s="1" a="1"/>
  <c r="E98" i="4" s="1"/>
  <c r="E99" i="4" s="1" a="1"/>
  <c r="E99" i="4" s="1"/>
  <c r="E100" i="4" s="1" a="1"/>
  <c r="E100" i="4" s="1"/>
  <c r="E101" i="4" s="1" a="1"/>
  <c r="E101" i="4" s="1"/>
  <c r="B14" i="1" l="1"/>
  <c r="B15" i="1" l="1"/>
  <c r="B16" i="1" s="1"/>
  <c r="B17" i="1" l="1"/>
  <c r="B18" i="1" l="1"/>
  <c r="B20" i="1"/>
  <c r="B19" i="1" l="1"/>
  <c r="B21" i="1"/>
  <c r="B22" i="1" l="1"/>
  <c r="B23" i="1" l="1"/>
  <c r="B24" i="1" s="1"/>
  <c r="B25" i="1" s="1"/>
  <c r="B26" i="1" l="1"/>
  <c r="B28" i="1"/>
  <c r="B27" i="1" l="1"/>
  <c r="B29" i="1"/>
  <c r="B30" i="1" l="1"/>
  <c r="B31" i="1" l="1"/>
  <c r="B32" i="1" l="1"/>
  <c r="B33" i="1" l="1"/>
  <c r="B34" i="1" l="1"/>
  <c r="B35" i="1" l="1"/>
  <c r="B36" i="1" l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B50" i="1" l="1"/>
  <c r="B51" i="1" l="1"/>
  <c r="B52" i="1" l="1"/>
  <c r="B53" i="1" l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  <c r="B133" i="1" l="1"/>
  <c r="B134" i="1" l="1"/>
  <c r="B135" i="1" l="1"/>
  <c r="B136" i="1" l="1"/>
  <c r="B137" i="1" l="1"/>
  <c r="B138" i="1" l="1"/>
  <c r="B139" i="1" l="1"/>
  <c r="B140" i="1" l="1"/>
  <c r="B141" i="1" l="1"/>
  <c r="B142" i="1" l="1"/>
  <c r="B143" i="1" l="1"/>
  <c r="B144" i="1" l="1"/>
  <c r="B145" i="1" l="1"/>
  <c r="B146" i="1" l="1"/>
  <c r="B147" i="1" l="1"/>
  <c r="B148" i="1" l="1"/>
  <c r="B149" i="1" l="1"/>
  <c r="B150" i="1" l="1"/>
  <c r="B151" i="1" l="1"/>
  <c r="B152" i="1" l="1"/>
  <c r="B153" i="1" l="1"/>
  <c r="B154" i="1" l="1"/>
  <c r="B155" i="1" l="1"/>
  <c r="B156" i="1" l="1"/>
  <c r="B157" i="1" l="1"/>
  <c r="B158" i="1" l="1"/>
  <c r="B159" i="1" l="1"/>
  <c r="B160" i="1" l="1"/>
  <c r="B161" i="1" l="1"/>
  <c r="B162" i="1" l="1"/>
  <c r="B163" i="1" l="1"/>
  <c r="B164" i="1" l="1"/>
  <c r="B165" i="1" l="1"/>
  <c r="B166" i="1" l="1"/>
  <c r="B167" i="1" l="1"/>
  <c r="B168" i="1" l="1"/>
  <c r="B169" i="1" l="1"/>
  <c r="B170" i="1" l="1"/>
  <c r="B171" i="1" l="1"/>
  <c r="B172" i="1" l="1"/>
  <c r="B173" i="1" l="1"/>
  <c r="B174" i="1" l="1"/>
  <c r="B175" i="1" l="1"/>
  <c r="B176" i="1" l="1"/>
  <c r="B177" i="1" l="1"/>
  <c r="B178" i="1" l="1"/>
  <c r="B179" i="1" l="1"/>
  <c r="B180" i="1" l="1"/>
  <c r="B181" i="1" l="1"/>
  <c r="B182" i="1" l="1"/>
  <c r="B183" i="1" l="1"/>
  <c r="B184" i="1" l="1"/>
  <c r="B185" i="1" l="1"/>
  <c r="B186" i="1" l="1"/>
  <c r="B187" i="1" l="1"/>
  <c r="B188" i="1" l="1"/>
  <c r="B189" i="1" l="1"/>
  <c r="B190" i="1" l="1"/>
  <c r="B191" i="1" l="1"/>
  <c r="B192" i="1" l="1"/>
  <c r="B193" i="1" l="1"/>
  <c r="B194" i="1" l="1"/>
  <c r="B195" i="1" l="1"/>
  <c r="B196" i="1" l="1"/>
  <c r="B197" i="1" l="1"/>
  <c r="B198" i="1" l="1"/>
  <c r="B199" i="1" l="1"/>
  <c r="B200" i="1" l="1"/>
  <c r="B201" i="1" l="1"/>
  <c r="B202" i="1" l="1"/>
  <c r="B203" i="1" l="1"/>
  <c r="B204" i="1" l="1"/>
  <c r="B205" i="1" l="1"/>
  <c r="B206" i="1" l="1"/>
  <c r="B207" i="1" l="1"/>
  <c r="B208" i="1" l="1"/>
  <c r="B209" i="1" l="1"/>
  <c r="B210" i="1" l="1"/>
  <c r="B211" i="1" l="1"/>
  <c r="B212" i="1" l="1"/>
  <c r="B213" i="1" l="1"/>
  <c r="B214" i="1" l="1"/>
  <c r="B215" i="1" l="1"/>
  <c r="B216" i="1" l="1"/>
  <c r="B217" i="1" l="1"/>
  <c r="B218" i="1" l="1"/>
  <c r="B219" i="1" l="1"/>
  <c r="B220" i="1" l="1"/>
  <c r="B221" i="1" l="1"/>
  <c r="B222" i="1" l="1"/>
  <c r="B223" i="1" l="1"/>
  <c r="B224" i="1" l="1"/>
  <c r="B225" i="1" l="1"/>
  <c r="B226" i="1" l="1"/>
  <c r="B227" i="1" l="1"/>
  <c r="B228" i="1" l="1"/>
  <c r="B229" i="1" l="1"/>
  <c r="B230" i="1" l="1"/>
  <c r="B231" i="1" l="1"/>
  <c r="B232" i="1" l="1"/>
  <c r="B233" i="1" l="1"/>
  <c r="B234" i="1" l="1"/>
  <c r="B235" i="1" l="1"/>
  <c r="B236" i="1" l="1"/>
  <c r="B237" i="1" l="1"/>
  <c r="B238" i="1" l="1"/>
  <c r="B239" i="1" l="1"/>
  <c r="B240" i="1" l="1"/>
  <c r="B241" i="1" l="1"/>
  <c r="B242" i="1" l="1"/>
  <c r="B243" i="1" l="1"/>
  <c r="B244" i="1" l="1"/>
  <c r="B245" i="1" l="1"/>
  <c r="B246" i="1" l="1"/>
  <c r="B247" i="1" l="1"/>
  <c r="B248" i="1" l="1"/>
  <c r="B249" i="1" l="1"/>
  <c r="B250" i="1" l="1"/>
  <c r="B251" i="1" l="1"/>
  <c r="B252" i="1" l="1"/>
  <c r="B253" i="1" l="1"/>
  <c r="B254" i="1" l="1"/>
  <c r="B255" i="1" l="1"/>
  <c r="B256" i="1" l="1"/>
  <c r="B257" i="1" l="1"/>
  <c r="B258" i="1" l="1"/>
  <c r="B259" i="1" l="1"/>
  <c r="B260" i="1" l="1"/>
  <c r="B261" i="1" l="1"/>
  <c r="B262" i="1" l="1"/>
  <c r="B263" i="1" l="1"/>
  <c r="B264" i="1" l="1"/>
  <c r="B265" i="1" l="1"/>
  <c r="B266" i="1" l="1"/>
  <c r="B267" i="1" l="1"/>
  <c r="B268" i="1" l="1"/>
  <c r="B269" i="1" l="1"/>
  <c r="B270" i="1" l="1"/>
  <c r="B271" i="1" l="1"/>
  <c r="B272" i="1" l="1"/>
  <c r="B273" i="1" l="1"/>
  <c r="B274" i="1" l="1"/>
  <c r="B275" i="1" l="1"/>
  <c r="B276" i="1" l="1"/>
  <c r="B277" i="1" l="1"/>
  <c r="B278" i="1" l="1"/>
  <c r="B279" i="1" l="1"/>
  <c r="B280" i="1" l="1"/>
  <c r="B281" i="1" l="1"/>
  <c r="B282" i="1" l="1"/>
  <c r="B283" i="1" l="1"/>
  <c r="B284" i="1" l="1"/>
  <c r="B285" i="1" l="1"/>
  <c r="B286" i="1" l="1"/>
  <c r="B287" i="1" l="1"/>
  <c r="B288" i="1" l="1"/>
  <c r="B289" i="1" l="1"/>
  <c r="B290" i="1" l="1"/>
  <c r="B291" i="1" l="1"/>
  <c r="B292" i="1" l="1"/>
  <c r="B293" i="1" l="1"/>
  <c r="B294" i="1" l="1"/>
  <c r="B295" i="1" l="1"/>
  <c r="B296" i="1" l="1"/>
  <c r="B297" i="1" l="1"/>
  <c r="B298" i="1" l="1"/>
  <c r="B299" i="1" l="1"/>
  <c r="B300" i="1" l="1"/>
  <c r="B301" i="1" l="1"/>
  <c r="B302" i="1" l="1"/>
  <c r="B303" i="1" l="1"/>
  <c r="B304" i="1" l="1"/>
  <c r="B305" i="1" l="1"/>
  <c r="B306" i="1" l="1"/>
  <c r="B307" i="1" l="1"/>
  <c r="B308" i="1" l="1"/>
  <c r="B309" i="1" l="1"/>
  <c r="B310" i="1" l="1"/>
  <c r="B311" i="1" l="1"/>
  <c r="B312" i="1" l="1"/>
  <c r="B313" i="1" l="1"/>
  <c r="B314" i="1" l="1"/>
  <c r="B315" i="1" l="1"/>
  <c r="B316" i="1" l="1"/>
  <c r="B317" i="1" l="1"/>
  <c r="B318" i="1" l="1"/>
  <c r="B319" i="1" l="1"/>
  <c r="B320" i="1" l="1"/>
  <c r="B321" i="1" l="1"/>
  <c r="B322" i="1" l="1"/>
  <c r="B323" i="1" l="1"/>
  <c r="B324" i="1" l="1"/>
  <c r="B325" i="1" l="1"/>
  <c r="B326" i="1" l="1"/>
  <c r="B327" i="1" l="1"/>
  <c r="B328" i="1" l="1"/>
  <c r="B329" i="1" l="1"/>
  <c r="B330" i="1" l="1"/>
  <c r="B331" i="1" l="1"/>
  <c r="B332" i="1" l="1"/>
  <c r="B333" i="1" l="1"/>
  <c r="B334" i="1" l="1"/>
  <c r="B335" i="1" l="1"/>
  <c r="B336" i="1" l="1"/>
  <c r="B337" i="1" l="1"/>
  <c r="B338" i="1" l="1"/>
  <c r="B339" i="1" l="1"/>
  <c r="B340" i="1" l="1"/>
  <c r="B341" i="1" l="1"/>
  <c r="B342" i="1" l="1"/>
  <c r="B343" i="1" l="1"/>
  <c r="B344" i="1" l="1"/>
  <c r="B345" i="1" l="1"/>
  <c r="B346" i="1" l="1"/>
  <c r="B347" i="1" l="1"/>
  <c r="B348" i="1" l="1"/>
  <c r="B349" i="1" l="1"/>
  <c r="B350" i="1" l="1"/>
  <c r="B351" i="1" l="1"/>
  <c r="B352" i="1" l="1"/>
  <c r="B353" i="1" l="1"/>
  <c r="B354" i="1" l="1"/>
  <c r="B355" i="1" l="1"/>
  <c r="B356" i="1" l="1"/>
  <c r="B357" i="1" l="1"/>
  <c r="B358" i="1" l="1"/>
  <c r="B359" i="1" l="1"/>
  <c r="B360" i="1" l="1"/>
  <c r="B361" i="1" l="1"/>
  <c r="B362" i="1" l="1"/>
  <c r="B363" i="1" l="1"/>
  <c r="B364" i="1" l="1"/>
  <c r="B365" i="1" l="1"/>
  <c r="B366" i="1" l="1"/>
  <c r="B367" i="1" l="1"/>
  <c r="B368" i="1" l="1"/>
  <c r="B369" i="1" l="1"/>
  <c r="B370" i="1" l="1"/>
  <c r="B371" i="1" l="1"/>
  <c r="B372" i="1" l="1"/>
  <c r="B373" i="1" l="1"/>
  <c r="B374" i="1" l="1"/>
  <c r="B375" i="1" l="1"/>
  <c r="B376" i="1" l="1"/>
  <c r="B377" i="1" l="1"/>
  <c r="B378" i="1" l="1"/>
  <c r="B379" i="1" l="1"/>
  <c r="B380" i="1" l="1"/>
  <c r="B381" i="1" l="1"/>
  <c r="B382" i="1" l="1"/>
  <c r="B383" i="1" l="1"/>
  <c r="B384" i="1" l="1"/>
  <c r="B385" i="1" l="1"/>
  <c r="B386" i="1" l="1"/>
  <c r="B387" i="1" l="1"/>
  <c r="B388" i="1" l="1"/>
  <c r="B389" i="1" l="1"/>
  <c r="B390" i="1" l="1"/>
  <c r="B391" i="1" l="1"/>
  <c r="B392" i="1" l="1"/>
  <c r="B393" i="1" l="1"/>
  <c r="B394" i="1" l="1"/>
  <c r="B395" i="1" l="1"/>
  <c r="B396" i="1" l="1"/>
  <c r="B397" i="1" l="1"/>
  <c r="B398" i="1" l="1"/>
  <c r="B399" i="1" l="1"/>
  <c r="B401" i="1" l="1"/>
  <c r="B400" i="1"/>
</calcChain>
</file>

<file path=xl/comments1.xml><?xml version="1.0" encoding="utf-8"?>
<comments xmlns="http://schemas.openxmlformats.org/spreadsheetml/2006/main">
  <authors>
    <author>Chris Shaw</author>
  </authors>
  <commentList>
    <comment ref="AM4" authorId="0">
      <text>
        <r>
          <rPr>
            <sz val="9"/>
            <color indexed="81"/>
            <rFont val="Tahoma"/>
            <family val="2"/>
          </rPr>
          <t xml:space="preserve">Considered mobile browser part of public web rather than mobile channel.
</t>
        </r>
      </text>
    </comment>
    <comment ref="AC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not all IRA customers register for account center. Agents today not good at getting them registered, but that's preferred.</t>
        </r>
      </text>
    </comment>
    <comment ref="AF5" authorId="0">
      <text>
        <r>
          <rPr>
            <sz val="9"/>
            <color indexed="81"/>
            <rFont val="Tahoma"/>
            <family val="2"/>
          </rPr>
          <t xml:space="preserve">customers who call unhappy b/c need help or are having probs with forms
</t>
        </r>
      </text>
    </comment>
    <comment ref="BK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dual channel. Requests use both phone and mail.</t>
        </r>
      </text>
    </comment>
    <comment ref="AF6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most mail at this stage bc others will fund during app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dual channel. Requests use both phone and mail.</t>
        </r>
      </text>
    </comment>
    <comment ref="AE9" authorId="0">
      <text>
        <r>
          <rPr>
            <b/>
            <sz val="9"/>
            <color indexed="81"/>
            <rFont val="Tahoma"/>
            <family val="2"/>
          </rPr>
          <t>secure due upload coming.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9" authorId="0">
      <text>
        <r>
          <rPr>
            <sz val="9"/>
            <color indexed="81"/>
            <rFont val="Tahoma"/>
            <family val="2"/>
          </rPr>
          <t>See # 27. will be replaced by OOB</t>
        </r>
      </text>
    </comment>
    <comment ref="AZ9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Can you view full acct # in AC? Possibly broken.</t>
        </r>
      </text>
    </comment>
    <comment ref="C11" authorId="0">
      <text>
        <r>
          <rPr>
            <sz val="9"/>
            <color indexed="81"/>
            <rFont val="Tahoma"/>
            <family val="2"/>
          </rPr>
          <t>paid search? Affinities?</t>
        </r>
      </text>
    </comment>
    <comment ref="AH11" authorId="0">
      <text>
        <r>
          <rPr>
            <sz val="9"/>
            <color indexed="81"/>
            <rFont val="Tahoma"/>
            <family val="2"/>
          </rPr>
          <t>in person</t>
        </r>
      </text>
    </comment>
    <comment ref="AV11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customer would prefer to deposit in person</t>
        </r>
      </text>
    </comment>
    <comment ref="E12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broad market checking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broad market checking</t>
        </r>
      </text>
    </comment>
    <comment ref="G12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broad market checking</t>
        </r>
      </text>
    </comment>
    <comment ref="H12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broad market checking</t>
        </r>
      </text>
    </comment>
    <comment ref="J12" authorId="0">
      <text>
        <r>
          <rPr>
            <b/>
            <sz val="9"/>
            <color indexed="81"/>
            <rFont val="Tahoma"/>
            <family val="2"/>
          </rPr>
          <t>Chris Shaw:
broad market checking</t>
        </r>
      </text>
    </comment>
    <comment ref="M12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broad market checking</t>
        </r>
      </text>
    </comment>
    <comment ref="AC12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occurs during application</t>
        </r>
      </text>
    </comment>
    <comment ref="AD12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occurs during application</t>
        </r>
      </text>
    </comment>
    <comment ref="AE12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occurs during application</t>
        </r>
      </text>
    </comment>
    <comment ref="AF12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occurs during application</t>
        </r>
      </text>
    </comment>
    <comment ref="AI13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customers who do this likely unhappy because:
* didn't know check would be 
* couldn't find check
* didn't like info on check</t>
        </r>
      </text>
    </comment>
    <comment ref="AK1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august delivery</t>
        </r>
      </text>
    </comment>
    <comment ref="AL1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august delivery</t>
        </r>
      </text>
    </comment>
    <comment ref="AQ17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set at application, cannot opt out</t>
        </r>
      </text>
    </comment>
    <comment ref="C19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email (M)
Card Acct placement (S)</t>
        </r>
      </text>
    </comment>
    <comment ref="AY19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checkbook</t>
        </r>
      </text>
    </comment>
    <comment ref="AZ19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checkbook</t>
        </r>
      </text>
    </comment>
    <comment ref="BB19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* external accounts
* checks
* debit card</t>
        </r>
      </text>
    </comment>
    <comment ref="BG19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POS cash over</t>
        </r>
      </text>
    </comment>
    <comment ref="D20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routes flow through browser assumes mobile web/big browser same channel</t>
        </r>
      </text>
    </comment>
    <comment ref="M20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Routes assume that mobile browser/big browser are same channel</t>
        </r>
      </text>
    </comment>
    <comment ref="AS20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going away OOB project
see 27</t>
        </r>
      </text>
    </comment>
    <comment ref="AY21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no need to log in with pub site</t>
        </r>
      </text>
    </comment>
    <comment ref="BE21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more urgent, want to call</t>
        </r>
      </text>
    </comment>
    <comment ref="BL21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more urgent, want to call</t>
        </r>
      </text>
    </comment>
    <comment ref="CC21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AC functionality does not exist for joint</t>
        </r>
      </text>
    </comment>
    <comment ref="CF22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preferred course is to manage online</t>
        </r>
      </text>
    </comment>
    <comment ref="AE2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secure doe upload</t>
        </r>
      </text>
    </comment>
    <comment ref="AG2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customers don't want to do this at all</t>
        </r>
      </text>
    </comment>
    <comment ref="AH2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Ensuring funds are in your account</t>
        </r>
      </text>
    </comment>
    <comment ref="AX2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online easier [than mobile] and data shows this is customer's current choice</t>
        </r>
      </text>
    </comment>
    <comment ref="AZ2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online easier [than mobile, currently] and more secure.</t>
        </r>
      </text>
    </comment>
    <comment ref="BH2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in progress</t>
        </r>
      </text>
    </comment>
    <comment ref="BP2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cust prefer to resolve issues online</t>
        </r>
      </text>
    </comment>
    <comment ref="CM25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customers prefer to manage as much online as possible</t>
        </r>
      </text>
    </comment>
    <comment ref="BG26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Not available</t>
        </r>
      </text>
    </comment>
    <comment ref="C27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affinities? (M)</t>
        </r>
      </text>
    </comment>
    <comment ref="Z27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email</t>
        </r>
      </text>
    </comment>
    <comment ref="AA27" authorId="0">
      <text>
        <r>
          <rPr>
            <b/>
            <sz val="9"/>
            <color indexed="81"/>
            <rFont val="Tahoma"/>
            <family val="2"/>
          </rPr>
          <t>Chris Shaw:</t>
        </r>
        <r>
          <rPr>
            <sz val="9"/>
            <color indexed="81"/>
            <rFont val="Tahoma"/>
            <family val="2"/>
          </rPr>
          <t xml:space="preserve">
email</t>
        </r>
      </text>
    </comment>
  </commentList>
</comments>
</file>

<file path=xl/sharedStrings.xml><?xml version="1.0" encoding="utf-8"?>
<sst xmlns="http://schemas.openxmlformats.org/spreadsheetml/2006/main" count="1358" uniqueCount="159">
  <si>
    <t>Product</t>
  </si>
  <si>
    <t>Channel</t>
  </si>
  <si>
    <t>Index</t>
  </si>
  <si>
    <t>Touchpoint</t>
  </si>
  <si>
    <t>Subpoint 1</t>
  </si>
  <si>
    <t>Subpoint 2</t>
  </si>
  <si>
    <t>Subpoint 3</t>
  </si>
  <si>
    <t>Subpoint 4</t>
  </si>
  <si>
    <t>Subpoint 5</t>
  </si>
  <si>
    <t>Subpoint 6</t>
  </si>
  <si>
    <t>Subpoint 7</t>
  </si>
  <si>
    <t>Subpoint 8</t>
  </si>
  <si>
    <t>Subpoint 9</t>
  </si>
  <si>
    <t>lgb</t>
  </si>
  <si>
    <t>my</t>
  </si>
  <si>
    <t>src</t>
  </si>
  <si>
    <t>sr</t>
  </si>
  <si>
    <t>srcb</t>
  </si>
  <si>
    <t>Products</t>
  </si>
  <si>
    <t>Channels</t>
  </si>
  <si>
    <t>This tool can support up to</t>
  </si>
  <si>
    <t>1000 touchpoints</t>
  </si>
  <si>
    <t>20 Products</t>
  </si>
  <si>
    <t>20 Channels</t>
  </si>
  <si>
    <t>Stage</t>
  </si>
  <si>
    <t>lgbcv</t>
  </si>
  <si>
    <t>lgv</t>
  </si>
  <si>
    <t>myv</t>
  </si>
  <si>
    <t>lgbv</t>
  </si>
  <si>
    <t>myc</t>
  </si>
  <si>
    <t>mg</t>
  </si>
  <si>
    <t>Stages</t>
  </si>
  <si>
    <t>100 Stages</t>
  </si>
  <si>
    <t>Calculated--&gt;</t>
  </si>
  <si>
    <r>
      <rPr>
        <b/>
        <sz val="11"/>
        <color theme="0"/>
        <rFont val="Arial"/>
        <family val="2"/>
        <scheme val="minor"/>
      </rPr>
      <t xml:space="preserve">double-click 
</t>
    </r>
    <r>
      <rPr>
        <b/>
        <sz val="20"/>
        <color theme="0"/>
        <rFont val="Arial"/>
        <family val="2"/>
        <scheme val="minor"/>
      </rPr>
      <t>Draw!</t>
    </r>
  </si>
  <si>
    <t>First, on the dashboard, list your products and channels</t>
  </si>
  <si>
    <t>Now head on over to the source worksheet. Here, input the touchpoint assessment data.</t>
  </si>
  <si>
    <t>First enter a letter for the volume</t>
  </si>
  <si>
    <t>l for large</t>
  </si>
  <si>
    <t>m for medium</t>
  </si>
  <si>
    <t>s for small</t>
  </si>
  <si>
    <t>Then enter a letter for the emotoin</t>
  </si>
  <si>
    <t>g for happy (green)</t>
  </si>
  <si>
    <t>y for meh (yellow)</t>
  </si>
  <si>
    <t>r for unhappy (red)</t>
  </si>
  <si>
    <t>Next, enter any routes that this touchpoint is part of</t>
  </si>
  <si>
    <t>c for Red (customer)</t>
  </si>
  <si>
    <t>b for Green (business)</t>
  </si>
  <si>
    <t>v for Main (volume)</t>
  </si>
  <si>
    <t>Enter all the letters all together like so: lyvc for large, meh, main, red</t>
  </si>
  <si>
    <r>
      <rPr>
        <b/>
        <sz val="8"/>
        <color theme="0"/>
        <rFont val="Arial"/>
        <family val="2"/>
        <scheme val="minor"/>
      </rPr>
      <t>double-click</t>
    </r>
    <r>
      <rPr>
        <b/>
        <sz val="9"/>
        <color theme="0"/>
        <rFont val="Arial"/>
        <family val="2"/>
        <scheme val="minor"/>
      </rPr>
      <t xml:space="preserve"> 
</t>
    </r>
    <r>
      <rPr>
        <b/>
        <sz val="11"/>
        <color theme="0"/>
        <rFont val="Arial"/>
        <family val="2"/>
        <scheme val="minor"/>
      </rPr>
      <t>Draw!</t>
    </r>
  </si>
  <si>
    <r>
      <t xml:space="preserve">When you're finished, </t>
    </r>
    <r>
      <rPr>
        <b/>
        <sz val="11"/>
        <color theme="1"/>
        <rFont val="Arial"/>
        <family val="2"/>
        <scheme val="minor"/>
      </rPr>
      <t>double-click</t>
    </r>
    <r>
      <rPr>
        <sz val="11"/>
        <color theme="1"/>
        <rFont val="Arial"/>
        <family val="2"/>
        <scheme val="minor"/>
      </rPr>
      <t xml:space="preserve"> the "Draw!" button on the src file.</t>
    </r>
  </si>
  <si>
    <t>Check out the Maps worksheet and fly around your digital map!</t>
  </si>
  <si>
    <r>
      <t xml:space="preserve">Then, insert all your touchpoints into the touchpoint reference worksheet. Then enter the stage that each touchpoint belongs to. </t>
    </r>
    <r>
      <rPr>
        <b/>
        <sz val="11"/>
        <color theme="1"/>
        <rFont val="Arial"/>
        <family val="2"/>
        <scheme val="minor"/>
      </rPr>
      <t>(DO NOT MERGE CELLS. TREAT IT LIKE RAW DATA)</t>
    </r>
  </si>
  <si>
    <t>Don’t mess with my pretty formulas! If you can't help yourself and want to break it, the password is difi.</t>
  </si>
  <si>
    <t>You can also input notes and subpoints for reference. These are not part of the digital map.</t>
  </si>
  <si>
    <t>Research</t>
  </si>
  <si>
    <t>Apply</t>
  </si>
  <si>
    <t>Account Onboarding</t>
  </si>
  <si>
    <t>Usage</t>
  </si>
  <si>
    <t>Maintenance/Servicing</t>
  </si>
  <si>
    <t>Close Account</t>
  </si>
  <si>
    <t>IRA</t>
  </si>
  <si>
    <t>Checking</t>
  </si>
  <si>
    <t>Savings</t>
  </si>
  <si>
    <t>Public Web</t>
  </si>
  <si>
    <t>Phone</t>
  </si>
  <si>
    <t>Mail</t>
  </si>
  <si>
    <t>Mobile</t>
  </si>
  <si>
    <t>IVR</t>
  </si>
  <si>
    <t>Account Center</t>
  </si>
  <si>
    <t>ATM</t>
  </si>
  <si>
    <t>Other</t>
  </si>
  <si>
    <t>Shift + F2 will pull up a new comment for the cell you have selected</t>
  </si>
  <si>
    <t>Enter notes using excel comments on the cell</t>
  </si>
  <si>
    <t>sg</t>
  </si>
  <si>
    <t>c</t>
  </si>
  <si>
    <t>cv</t>
  </si>
  <si>
    <t>mgvcb</t>
  </si>
  <si>
    <t>lgvcb</t>
  </si>
  <si>
    <t>lyvcb</t>
  </si>
  <si>
    <t>sy</t>
  </si>
  <si>
    <t>lgvc</t>
  </si>
  <si>
    <t>b</t>
  </si>
  <si>
    <t>myvcb</t>
  </si>
  <si>
    <t>cb</t>
  </si>
  <si>
    <t>syv</t>
  </si>
  <si>
    <t>Touchpoints with notes have a blue border. In order to read the note, hover over the circle until the screentip appears</t>
  </si>
  <si>
    <t>mycb</t>
  </si>
  <si>
    <t>lyv</t>
  </si>
  <si>
    <t>mrcb</t>
  </si>
  <si>
    <t>lrv</t>
  </si>
  <si>
    <t>mrv</t>
  </si>
  <si>
    <t>mycbv</t>
  </si>
  <si>
    <t>lrvc</t>
  </si>
  <si>
    <t>bc</t>
  </si>
  <si>
    <t>lgcbv</t>
  </si>
  <si>
    <t>lgvbc</t>
  </si>
  <si>
    <t>sgb</t>
  </si>
  <si>
    <t>lyvc</t>
  </si>
  <si>
    <t>syb</t>
  </si>
  <si>
    <t>vc</t>
  </si>
  <si>
    <t>srb</t>
  </si>
  <si>
    <t>mr</t>
  </si>
  <si>
    <t>mrvc</t>
  </si>
  <si>
    <t>Special Cases</t>
  </si>
  <si>
    <t>Designate a channel of a touchpoint N/A for that product by including n in the cell.</t>
  </si>
  <si>
    <t>Touchpoints that don't yet exist but have notes associated with them are gray with a blue border.</t>
  </si>
  <si>
    <t>n</t>
  </si>
  <si>
    <t>cn</t>
  </si>
  <si>
    <t>vn</t>
  </si>
  <si>
    <t>bn</t>
  </si>
  <si>
    <t>vcn</t>
  </si>
  <si>
    <t>cvn</t>
  </si>
  <si>
    <t>Touchpoints that are N/A for that channel for that product are white, so you'll see these as empty spaces. If routes are attached, it will give the appearance of a dashed route</t>
  </si>
  <si>
    <t>cbn</t>
  </si>
  <si>
    <t>lgcv</t>
  </si>
  <si>
    <t>lgvb</t>
  </si>
  <si>
    <t>nb</t>
  </si>
  <si>
    <t>ncv</t>
  </si>
  <si>
    <t>srbc</t>
  </si>
  <si>
    <t>nvc</t>
  </si>
  <si>
    <t>lrcv</t>
  </si>
  <si>
    <t>lycv</t>
  </si>
  <si>
    <t>mgcv</t>
  </si>
  <si>
    <t>lrcvb</t>
  </si>
  <si>
    <t>lycvb</t>
  </si>
  <si>
    <t>nvcb</t>
  </si>
  <si>
    <t>lrvcb</t>
  </si>
  <si>
    <t>syc</t>
  </si>
  <si>
    <t>mgb</t>
  </si>
  <si>
    <t>vcb</t>
  </si>
  <si>
    <t>myvb</t>
  </si>
  <si>
    <t>mgc</t>
  </si>
  <si>
    <t>mrcbv</t>
  </si>
  <si>
    <t>v</t>
  </si>
  <si>
    <t>myvc</t>
  </si>
  <si>
    <t>lybv</t>
  </si>
  <si>
    <t>mgv</t>
  </si>
  <si>
    <t>nv</t>
  </si>
  <si>
    <t>lybcv</t>
  </si>
  <si>
    <t>lrbcv</t>
  </si>
  <si>
    <t>mrvcb</t>
  </si>
  <si>
    <t>lycbv</t>
  </si>
  <si>
    <t>sycb</t>
  </si>
  <si>
    <t>sgcb</t>
  </si>
  <si>
    <t>ncb</t>
  </si>
  <si>
    <t>lrvb</t>
  </si>
  <si>
    <t>myb</t>
  </si>
  <si>
    <t>lyvb</t>
  </si>
  <si>
    <t>mycv</t>
  </si>
  <si>
    <t>vb</t>
  </si>
  <si>
    <t>lrcb</t>
  </si>
  <si>
    <t>mgcb</t>
  </si>
  <si>
    <t>lrbv</t>
  </si>
  <si>
    <t>lrbvc</t>
  </si>
  <si>
    <t>lybvc</t>
  </si>
  <si>
    <t>mrvb</t>
  </si>
  <si>
    <t>Touchpoint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</si>
</sst>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20"/>
      <color theme="0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sz val="8"/>
      <color theme="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2" borderId="0" xfId="0" applyFont="1" applyFill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 indent="4"/>
    </xf>
    <xf numFmtId="0" fontId="3" fillId="2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textRotation="45"/>
    </xf>
    <xf numFmtId="0" fontId="0" fillId="0" borderId="0" xfId="0" applyAlignment="1" applyProtection="1"/>
    <xf numFmtId="0" fontId="0" fillId="0" borderId="0" xfId="0" applyProtection="1"/>
    <xf numFmtId="0" fontId="8" fillId="0" borderId="0" xfId="1"/>
    <xf numFmtId="0" fontId="1" fillId="0" borderId="0" xfId="0" applyFont="1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 indent="4"/>
    </xf>
    <xf numFmtId="0" fontId="0" fillId="0" borderId="0" xfId="0" applyFont="1" applyAlignment="1">
      <alignment horizontal="left" indent="6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103</xdr:col>
      <xdr:colOff>238126</xdr:colOff>
      <xdr:row>28</xdr:row>
      <xdr:rowOff>238126</xdr:rowOff>
    </xdr:from>
    <xdr:to>
      <xdr:col>104</xdr:col>
      <xdr:colOff>238125</xdr:colOff>
      <xdr:row>28</xdr:row>
      <xdr:rowOff>250826</xdr:rowOff>
    </xdr:to>
    <xdr:cxnSp macro="">
      <xdr:nvCxnSpPr>
        <xdr:cNvPr id="43639" name="CNtp104c13routeb"/>
        <xdr:cNvCxnSpPr>
          <a:stCxn id="43616" idx="6"/>
          <a:endCxn id="43637" idx="2"/>
        </xdr:cNvCxnSpPr>
      </xdr:nvCxnSpPr>
      <xdr:spPr>
        <a:xfrm>
          <a:off x="4999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238126</xdr:colOff>
      <xdr:row>28</xdr:row>
      <xdr:rowOff>238126</xdr:rowOff>
    </xdr:from>
    <xdr:to>
      <xdr:col>104</xdr:col>
      <xdr:colOff>238125</xdr:colOff>
      <xdr:row>28</xdr:row>
      <xdr:rowOff>250826</xdr:rowOff>
    </xdr:to>
    <xdr:cxnSp macro="">
      <xdr:nvCxnSpPr>
        <xdr:cNvPr id="43638" name="CNtp104c13routec"/>
        <xdr:cNvCxnSpPr>
          <a:stCxn id="43616" idx="6"/>
          <a:endCxn id="43637" idx="2"/>
        </xdr:cNvCxnSpPr>
      </xdr:nvCxnSpPr>
      <xdr:spPr>
        <a:xfrm>
          <a:off x="4999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238126</xdr:colOff>
      <xdr:row>24</xdr:row>
      <xdr:rowOff>238126</xdr:rowOff>
    </xdr:from>
    <xdr:to>
      <xdr:col>104</xdr:col>
      <xdr:colOff>238125</xdr:colOff>
      <xdr:row>24</xdr:row>
      <xdr:rowOff>250826</xdr:rowOff>
    </xdr:to>
    <xdr:cxnSp macro="">
      <xdr:nvCxnSpPr>
        <xdr:cNvPr id="43635" name="CNtp104c13routev"/>
        <xdr:cNvCxnSpPr>
          <a:stCxn id="43614" idx="6"/>
          <a:endCxn id="43634" idx="2"/>
        </xdr:cNvCxnSpPr>
      </xdr:nvCxnSpPr>
      <xdr:spPr>
        <a:xfrm>
          <a:off x="499967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238126</xdr:colOff>
      <xdr:row>14</xdr:row>
      <xdr:rowOff>238126</xdr:rowOff>
    </xdr:from>
    <xdr:to>
      <xdr:col>104</xdr:col>
      <xdr:colOff>238125</xdr:colOff>
      <xdr:row>18</xdr:row>
      <xdr:rowOff>238126</xdr:rowOff>
    </xdr:to>
    <xdr:cxnSp macro="">
      <xdr:nvCxnSpPr>
        <xdr:cNvPr id="43632" name="CNtp104c12routeb"/>
        <xdr:cNvCxnSpPr>
          <a:stCxn id="43608" idx="6"/>
          <a:endCxn id="43629" idx="2"/>
        </xdr:cNvCxnSpPr>
      </xdr:nvCxnSpPr>
      <xdr:spPr>
        <a:xfrm>
          <a:off x="499967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238126</xdr:colOff>
      <xdr:row>18</xdr:row>
      <xdr:rowOff>238126</xdr:rowOff>
    </xdr:from>
    <xdr:to>
      <xdr:col>104</xdr:col>
      <xdr:colOff>238125</xdr:colOff>
      <xdr:row>18</xdr:row>
      <xdr:rowOff>250826</xdr:rowOff>
    </xdr:to>
    <xdr:cxnSp macro="">
      <xdr:nvCxnSpPr>
        <xdr:cNvPr id="43631" name="CNtp104c12routec"/>
        <xdr:cNvCxnSpPr>
          <a:stCxn id="43611" idx="6"/>
          <a:endCxn id="43629" idx="2"/>
        </xdr:cNvCxnSpPr>
      </xdr:nvCxnSpPr>
      <xdr:spPr>
        <a:xfrm>
          <a:off x="4999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238126</xdr:colOff>
      <xdr:row>14</xdr:row>
      <xdr:rowOff>238126</xdr:rowOff>
    </xdr:from>
    <xdr:to>
      <xdr:col>104</xdr:col>
      <xdr:colOff>238125</xdr:colOff>
      <xdr:row>18</xdr:row>
      <xdr:rowOff>238126</xdr:rowOff>
    </xdr:to>
    <xdr:cxnSp macro="">
      <xdr:nvCxnSpPr>
        <xdr:cNvPr id="43630" name="CNtp104c12routev"/>
        <xdr:cNvCxnSpPr>
          <a:stCxn id="43608" idx="6"/>
          <a:endCxn id="43629" idx="2"/>
        </xdr:cNvCxnSpPr>
      </xdr:nvCxnSpPr>
      <xdr:spPr>
        <a:xfrm>
          <a:off x="499967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238126</xdr:colOff>
      <xdr:row>8</xdr:row>
      <xdr:rowOff>238126</xdr:rowOff>
    </xdr:from>
    <xdr:to>
      <xdr:col>104</xdr:col>
      <xdr:colOff>238125</xdr:colOff>
      <xdr:row>8</xdr:row>
      <xdr:rowOff>250826</xdr:rowOff>
    </xdr:to>
    <xdr:cxnSp macro="">
      <xdr:nvCxnSpPr>
        <xdr:cNvPr id="43626" name="CNtp104c11routeb"/>
        <xdr:cNvCxnSpPr>
          <a:stCxn id="43605" idx="6"/>
          <a:endCxn id="43625" idx="2"/>
        </xdr:cNvCxnSpPr>
      </xdr:nvCxnSpPr>
      <xdr:spPr>
        <a:xfrm>
          <a:off x="49996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238126</xdr:colOff>
      <xdr:row>4</xdr:row>
      <xdr:rowOff>238126</xdr:rowOff>
    </xdr:from>
    <xdr:to>
      <xdr:col>104</xdr:col>
      <xdr:colOff>238125</xdr:colOff>
      <xdr:row>4</xdr:row>
      <xdr:rowOff>250826</xdr:rowOff>
    </xdr:to>
    <xdr:cxnSp macro="">
      <xdr:nvCxnSpPr>
        <xdr:cNvPr id="43622" name="CNtp104c11routec"/>
        <xdr:cNvCxnSpPr>
          <a:stCxn id="43601" idx="6"/>
          <a:endCxn id="43620" idx="2"/>
        </xdr:cNvCxnSpPr>
      </xdr:nvCxnSpPr>
      <xdr:spPr>
        <a:xfrm>
          <a:off x="4999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238126</xdr:colOff>
      <xdr:row>4</xdr:row>
      <xdr:rowOff>238126</xdr:rowOff>
    </xdr:from>
    <xdr:to>
      <xdr:col>104</xdr:col>
      <xdr:colOff>238125</xdr:colOff>
      <xdr:row>4</xdr:row>
      <xdr:rowOff>250826</xdr:rowOff>
    </xdr:to>
    <xdr:cxnSp macro="">
      <xdr:nvCxnSpPr>
        <xdr:cNvPr id="43621" name="CNtp104c11routev"/>
        <xdr:cNvCxnSpPr>
          <a:stCxn id="43601" idx="6"/>
          <a:endCxn id="43620" idx="2"/>
        </xdr:cNvCxnSpPr>
      </xdr:nvCxnSpPr>
      <xdr:spPr>
        <a:xfrm>
          <a:off x="4999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238126</xdr:colOff>
      <xdr:row>28</xdr:row>
      <xdr:rowOff>238126</xdr:rowOff>
    </xdr:from>
    <xdr:to>
      <xdr:col>103</xdr:col>
      <xdr:colOff>238125</xdr:colOff>
      <xdr:row>28</xdr:row>
      <xdr:rowOff>250826</xdr:rowOff>
    </xdr:to>
    <xdr:cxnSp macro="">
      <xdr:nvCxnSpPr>
        <xdr:cNvPr id="43618" name="CNtp103c13routeb"/>
        <xdr:cNvCxnSpPr>
          <a:stCxn id="43597" idx="6"/>
          <a:endCxn id="43616" idx="2"/>
        </xdr:cNvCxnSpPr>
      </xdr:nvCxnSpPr>
      <xdr:spPr>
        <a:xfrm>
          <a:off x="4952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238126</xdr:colOff>
      <xdr:row>28</xdr:row>
      <xdr:rowOff>238126</xdr:rowOff>
    </xdr:from>
    <xdr:to>
      <xdr:col>103</xdr:col>
      <xdr:colOff>238125</xdr:colOff>
      <xdr:row>28</xdr:row>
      <xdr:rowOff>250826</xdr:rowOff>
    </xdr:to>
    <xdr:cxnSp macro="">
      <xdr:nvCxnSpPr>
        <xdr:cNvPr id="43617" name="CNtp103c13routec"/>
        <xdr:cNvCxnSpPr>
          <a:stCxn id="43597" idx="6"/>
          <a:endCxn id="43616" idx="2"/>
        </xdr:cNvCxnSpPr>
      </xdr:nvCxnSpPr>
      <xdr:spPr>
        <a:xfrm>
          <a:off x="4952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238126</xdr:colOff>
      <xdr:row>24</xdr:row>
      <xdr:rowOff>238126</xdr:rowOff>
    </xdr:from>
    <xdr:to>
      <xdr:col>103</xdr:col>
      <xdr:colOff>238125</xdr:colOff>
      <xdr:row>24</xdr:row>
      <xdr:rowOff>250826</xdr:rowOff>
    </xdr:to>
    <xdr:cxnSp macro="">
      <xdr:nvCxnSpPr>
        <xdr:cNvPr id="43615" name="CNtp103c13routev"/>
        <xdr:cNvCxnSpPr>
          <a:stCxn id="43595" idx="6"/>
          <a:endCxn id="43614" idx="2"/>
        </xdr:cNvCxnSpPr>
      </xdr:nvCxnSpPr>
      <xdr:spPr>
        <a:xfrm>
          <a:off x="495204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238126</xdr:colOff>
      <xdr:row>14</xdr:row>
      <xdr:rowOff>238126</xdr:rowOff>
    </xdr:from>
    <xdr:to>
      <xdr:col>103</xdr:col>
      <xdr:colOff>238125</xdr:colOff>
      <xdr:row>18</xdr:row>
      <xdr:rowOff>238126</xdr:rowOff>
    </xdr:to>
    <xdr:cxnSp macro="">
      <xdr:nvCxnSpPr>
        <xdr:cNvPr id="43612" name="CNtp103c12routec"/>
        <xdr:cNvCxnSpPr>
          <a:stCxn id="43590" idx="6"/>
          <a:endCxn id="43611" idx="2"/>
        </xdr:cNvCxnSpPr>
      </xdr:nvCxnSpPr>
      <xdr:spPr>
        <a:xfrm>
          <a:off x="495204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238126</xdr:colOff>
      <xdr:row>14</xdr:row>
      <xdr:rowOff>238126</xdr:rowOff>
    </xdr:from>
    <xdr:to>
      <xdr:col>103</xdr:col>
      <xdr:colOff>238125</xdr:colOff>
      <xdr:row>14</xdr:row>
      <xdr:rowOff>250826</xdr:rowOff>
    </xdr:to>
    <xdr:cxnSp macro="">
      <xdr:nvCxnSpPr>
        <xdr:cNvPr id="43610" name="CNtp103c12routeb"/>
        <xdr:cNvCxnSpPr>
          <a:stCxn id="43590" idx="6"/>
          <a:endCxn id="43608" idx="2"/>
        </xdr:cNvCxnSpPr>
      </xdr:nvCxnSpPr>
      <xdr:spPr>
        <a:xfrm>
          <a:off x="4952047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238126</xdr:colOff>
      <xdr:row>14</xdr:row>
      <xdr:rowOff>238126</xdr:rowOff>
    </xdr:from>
    <xdr:to>
      <xdr:col>103</xdr:col>
      <xdr:colOff>238125</xdr:colOff>
      <xdr:row>14</xdr:row>
      <xdr:rowOff>250826</xdr:rowOff>
    </xdr:to>
    <xdr:cxnSp macro="">
      <xdr:nvCxnSpPr>
        <xdr:cNvPr id="43609" name="CNtp103c12routev"/>
        <xdr:cNvCxnSpPr>
          <a:stCxn id="43590" idx="6"/>
          <a:endCxn id="43608" idx="2"/>
        </xdr:cNvCxnSpPr>
      </xdr:nvCxnSpPr>
      <xdr:spPr>
        <a:xfrm>
          <a:off x="4952047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238126</xdr:colOff>
      <xdr:row>8</xdr:row>
      <xdr:rowOff>238126</xdr:rowOff>
    </xdr:from>
    <xdr:to>
      <xdr:col>103</xdr:col>
      <xdr:colOff>238125</xdr:colOff>
      <xdr:row>8</xdr:row>
      <xdr:rowOff>250826</xdr:rowOff>
    </xdr:to>
    <xdr:cxnSp macro="">
      <xdr:nvCxnSpPr>
        <xdr:cNvPr id="43606" name="CNtp103c11routeb"/>
        <xdr:cNvCxnSpPr>
          <a:stCxn id="43587" idx="6"/>
          <a:endCxn id="43605" idx="2"/>
        </xdr:cNvCxnSpPr>
      </xdr:nvCxnSpPr>
      <xdr:spPr>
        <a:xfrm>
          <a:off x="49520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238126</xdr:colOff>
      <xdr:row>4</xdr:row>
      <xdr:rowOff>238126</xdr:rowOff>
    </xdr:from>
    <xdr:to>
      <xdr:col>103</xdr:col>
      <xdr:colOff>238125</xdr:colOff>
      <xdr:row>4</xdr:row>
      <xdr:rowOff>250826</xdr:rowOff>
    </xdr:to>
    <xdr:cxnSp macro="">
      <xdr:nvCxnSpPr>
        <xdr:cNvPr id="43603" name="CNtp103c11routec"/>
        <xdr:cNvCxnSpPr>
          <a:stCxn id="43584" idx="6"/>
          <a:endCxn id="43601" idx="2"/>
        </xdr:cNvCxnSpPr>
      </xdr:nvCxnSpPr>
      <xdr:spPr>
        <a:xfrm>
          <a:off x="4952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238126</xdr:colOff>
      <xdr:row>4</xdr:row>
      <xdr:rowOff>238126</xdr:rowOff>
    </xdr:from>
    <xdr:to>
      <xdr:col>103</xdr:col>
      <xdr:colOff>238125</xdr:colOff>
      <xdr:row>4</xdr:row>
      <xdr:rowOff>250826</xdr:rowOff>
    </xdr:to>
    <xdr:cxnSp macro="">
      <xdr:nvCxnSpPr>
        <xdr:cNvPr id="43602" name="CNtp103c11routev"/>
        <xdr:cNvCxnSpPr>
          <a:stCxn id="43584" idx="6"/>
          <a:endCxn id="43601" idx="2"/>
        </xdr:cNvCxnSpPr>
      </xdr:nvCxnSpPr>
      <xdr:spPr>
        <a:xfrm>
          <a:off x="4952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238126</xdr:colOff>
      <xdr:row>28</xdr:row>
      <xdr:rowOff>238126</xdr:rowOff>
    </xdr:from>
    <xdr:to>
      <xdr:col>102</xdr:col>
      <xdr:colOff>238125</xdr:colOff>
      <xdr:row>28</xdr:row>
      <xdr:rowOff>250826</xdr:rowOff>
    </xdr:to>
    <xdr:cxnSp macro="">
      <xdr:nvCxnSpPr>
        <xdr:cNvPr id="43599" name="CNtp102c13routeb"/>
        <xdr:cNvCxnSpPr>
          <a:stCxn id="43579" idx="6"/>
          <a:endCxn id="43597" idx="2"/>
        </xdr:cNvCxnSpPr>
      </xdr:nvCxnSpPr>
      <xdr:spPr>
        <a:xfrm>
          <a:off x="4904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238126</xdr:colOff>
      <xdr:row>28</xdr:row>
      <xdr:rowOff>238126</xdr:rowOff>
    </xdr:from>
    <xdr:to>
      <xdr:col>102</xdr:col>
      <xdr:colOff>238125</xdr:colOff>
      <xdr:row>28</xdr:row>
      <xdr:rowOff>250826</xdr:rowOff>
    </xdr:to>
    <xdr:cxnSp macro="">
      <xdr:nvCxnSpPr>
        <xdr:cNvPr id="43598" name="CNtp102c13routec"/>
        <xdr:cNvCxnSpPr>
          <a:stCxn id="43579" idx="6"/>
          <a:endCxn id="43597" idx="2"/>
        </xdr:cNvCxnSpPr>
      </xdr:nvCxnSpPr>
      <xdr:spPr>
        <a:xfrm>
          <a:off x="4904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238126</xdr:colOff>
      <xdr:row>24</xdr:row>
      <xdr:rowOff>238126</xdr:rowOff>
    </xdr:from>
    <xdr:to>
      <xdr:col>102</xdr:col>
      <xdr:colOff>238125</xdr:colOff>
      <xdr:row>28</xdr:row>
      <xdr:rowOff>238126</xdr:rowOff>
    </xdr:to>
    <xdr:cxnSp macro="">
      <xdr:nvCxnSpPr>
        <xdr:cNvPr id="43596" name="CNtp102c13routev"/>
        <xdr:cNvCxnSpPr>
          <a:stCxn id="43579" idx="6"/>
          <a:endCxn id="43595" idx="2"/>
        </xdr:cNvCxnSpPr>
      </xdr:nvCxnSpPr>
      <xdr:spPr>
        <a:xfrm flipV="1">
          <a:off x="4904422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238126</xdr:colOff>
      <xdr:row>14</xdr:row>
      <xdr:rowOff>238126</xdr:rowOff>
    </xdr:from>
    <xdr:to>
      <xdr:col>102</xdr:col>
      <xdr:colOff>238125</xdr:colOff>
      <xdr:row>18</xdr:row>
      <xdr:rowOff>238126</xdr:rowOff>
    </xdr:to>
    <xdr:cxnSp macro="">
      <xdr:nvCxnSpPr>
        <xdr:cNvPr id="43593" name="CNtp102c12routeb"/>
        <xdr:cNvCxnSpPr>
          <a:stCxn id="43574" idx="6"/>
          <a:endCxn id="43590" idx="2"/>
        </xdr:cNvCxnSpPr>
      </xdr:nvCxnSpPr>
      <xdr:spPr>
        <a:xfrm flipV="1">
          <a:off x="490442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238126</xdr:colOff>
      <xdr:row>14</xdr:row>
      <xdr:rowOff>238126</xdr:rowOff>
    </xdr:from>
    <xdr:to>
      <xdr:col>102</xdr:col>
      <xdr:colOff>238125</xdr:colOff>
      <xdr:row>18</xdr:row>
      <xdr:rowOff>238126</xdr:rowOff>
    </xdr:to>
    <xdr:cxnSp macro="">
      <xdr:nvCxnSpPr>
        <xdr:cNvPr id="43592" name="CNtp102c12routec"/>
        <xdr:cNvCxnSpPr>
          <a:stCxn id="43574" idx="6"/>
          <a:endCxn id="43590" idx="2"/>
        </xdr:cNvCxnSpPr>
      </xdr:nvCxnSpPr>
      <xdr:spPr>
        <a:xfrm flipV="1">
          <a:off x="490442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238126</xdr:colOff>
      <xdr:row>14</xdr:row>
      <xdr:rowOff>238126</xdr:rowOff>
    </xdr:from>
    <xdr:to>
      <xdr:col>102</xdr:col>
      <xdr:colOff>238125</xdr:colOff>
      <xdr:row>18</xdr:row>
      <xdr:rowOff>238126</xdr:rowOff>
    </xdr:to>
    <xdr:cxnSp macro="">
      <xdr:nvCxnSpPr>
        <xdr:cNvPr id="43591" name="CNtp102c12routev"/>
        <xdr:cNvCxnSpPr>
          <a:stCxn id="43574" idx="6"/>
          <a:endCxn id="43590" idx="2"/>
        </xdr:cNvCxnSpPr>
      </xdr:nvCxnSpPr>
      <xdr:spPr>
        <a:xfrm flipV="1">
          <a:off x="490442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238126</xdr:colOff>
      <xdr:row>4</xdr:row>
      <xdr:rowOff>238126</xdr:rowOff>
    </xdr:from>
    <xdr:to>
      <xdr:col>102</xdr:col>
      <xdr:colOff>238125</xdr:colOff>
      <xdr:row>8</xdr:row>
      <xdr:rowOff>238126</xdr:rowOff>
    </xdr:to>
    <xdr:cxnSp macro="">
      <xdr:nvCxnSpPr>
        <xdr:cNvPr id="43588" name="CNtp102c11routeb"/>
        <xdr:cNvCxnSpPr>
          <a:stCxn id="43568" idx="6"/>
          <a:endCxn id="43587" idx="2"/>
        </xdr:cNvCxnSpPr>
      </xdr:nvCxnSpPr>
      <xdr:spPr>
        <a:xfrm>
          <a:off x="4904422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238126</xdr:colOff>
      <xdr:row>4</xdr:row>
      <xdr:rowOff>238126</xdr:rowOff>
    </xdr:from>
    <xdr:to>
      <xdr:col>102</xdr:col>
      <xdr:colOff>238125</xdr:colOff>
      <xdr:row>4</xdr:row>
      <xdr:rowOff>250826</xdr:rowOff>
    </xdr:to>
    <xdr:cxnSp macro="">
      <xdr:nvCxnSpPr>
        <xdr:cNvPr id="43586" name="CNtp102c11routec"/>
        <xdr:cNvCxnSpPr>
          <a:stCxn id="43568" idx="6"/>
          <a:endCxn id="43584" idx="2"/>
        </xdr:cNvCxnSpPr>
      </xdr:nvCxnSpPr>
      <xdr:spPr>
        <a:xfrm>
          <a:off x="4904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238126</xdr:colOff>
      <xdr:row>4</xdr:row>
      <xdr:rowOff>238126</xdr:rowOff>
    </xdr:from>
    <xdr:to>
      <xdr:col>102</xdr:col>
      <xdr:colOff>238125</xdr:colOff>
      <xdr:row>4</xdr:row>
      <xdr:rowOff>250826</xdr:rowOff>
    </xdr:to>
    <xdr:cxnSp macro="">
      <xdr:nvCxnSpPr>
        <xdr:cNvPr id="43585" name="CNtp102c11routev"/>
        <xdr:cNvCxnSpPr>
          <a:stCxn id="43568" idx="6"/>
          <a:endCxn id="43584" idx="2"/>
        </xdr:cNvCxnSpPr>
      </xdr:nvCxnSpPr>
      <xdr:spPr>
        <a:xfrm>
          <a:off x="4904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238126</xdr:colOff>
      <xdr:row>25</xdr:row>
      <xdr:rowOff>238126</xdr:rowOff>
    </xdr:from>
    <xdr:to>
      <xdr:col>101</xdr:col>
      <xdr:colOff>238125</xdr:colOff>
      <xdr:row>28</xdr:row>
      <xdr:rowOff>238126</xdr:rowOff>
    </xdr:to>
    <xdr:cxnSp macro="">
      <xdr:nvCxnSpPr>
        <xdr:cNvPr id="43582" name="CNtp101c13routeb"/>
        <xdr:cNvCxnSpPr>
          <a:stCxn id="43563" idx="6"/>
          <a:endCxn id="43579" idx="2"/>
        </xdr:cNvCxnSpPr>
      </xdr:nvCxnSpPr>
      <xdr:spPr>
        <a:xfrm>
          <a:off x="48567976" y="13287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238126</xdr:colOff>
      <xdr:row>25</xdr:row>
      <xdr:rowOff>238126</xdr:rowOff>
    </xdr:from>
    <xdr:to>
      <xdr:col>101</xdr:col>
      <xdr:colOff>238125</xdr:colOff>
      <xdr:row>28</xdr:row>
      <xdr:rowOff>238126</xdr:rowOff>
    </xdr:to>
    <xdr:cxnSp macro="">
      <xdr:nvCxnSpPr>
        <xdr:cNvPr id="43581" name="CNtp101c13routec"/>
        <xdr:cNvCxnSpPr>
          <a:stCxn id="43563" idx="6"/>
          <a:endCxn id="43579" idx="2"/>
        </xdr:cNvCxnSpPr>
      </xdr:nvCxnSpPr>
      <xdr:spPr>
        <a:xfrm>
          <a:off x="48567976" y="13287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238126</xdr:colOff>
      <xdr:row>25</xdr:row>
      <xdr:rowOff>238126</xdr:rowOff>
    </xdr:from>
    <xdr:to>
      <xdr:col>101</xdr:col>
      <xdr:colOff>238125</xdr:colOff>
      <xdr:row>28</xdr:row>
      <xdr:rowOff>238126</xdr:rowOff>
    </xdr:to>
    <xdr:cxnSp macro="">
      <xdr:nvCxnSpPr>
        <xdr:cNvPr id="43580" name="CNtp101c13routev"/>
        <xdr:cNvCxnSpPr>
          <a:stCxn id="43563" idx="6"/>
          <a:endCxn id="43579" idx="2"/>
        </xdr:cNvCxnSpPr>
      </xdr:nvCxnSpPr>
      <xdr:spPr>
        <a:xfrm>
          <a:off x="48567976" y="13287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238126</xdr:colOff>
      <xdr:row>15</xdr:row>
      <xdr:rowOff>238126</xdr:rowOff>
    </xdr:from>
    <xdr:to>
      <xdr:col>101</xdr:col>
      <xdr:colOff>238125</xdr:colOff>
      <xdr:row>18</xdr:row>
      <xdr:rowOff>238126</xdr:rowOff>
    </xdr:to>
    <xdr:cxnSp macro="">
      <xdr:nvCxnSpPr>
        <xdr:cNvPr id="43577" name="CNtp101c12routeb"/>
        <xdr:cNvCxnSpPr>
          <a:stCxn id="43557" idx="6"/>
          <a:endCxn id="43574" idx="2"/>
        </xdr:cNvCxnSpPr>
      </xdr:nvCxnSpPr>
      <xdr:spPr>
        <a:xfrm>
          <a:off x="4856797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238126</xdr:colOff>
      <xdr:row>18</xdr:row>
      <xdr:rowOff>238126</xdr:rowOff>
    </xdr:from>
    <xdr:to>
      <xdr:col>101</xdr:col>
      <xdr:colOff>238125</xdr:colOff>
      <xdr:row>18</xdr:row>
      <xdr:rowOff>250826</xdr:rowOff>
    </xdr:to>
    <xdr:cxnSp macro="">
      <xdr:nvCxnSpPr>
        <xdr:cNvPr id="43576" name="CNtp101c12routec"/>
        <xdr:cNvCxnSpPr>
          <a:stCxn id="43560" idx="6"/>
          <a:endCxn id="43574" idx="2"/>
        </xdr:cNvCxnSpPr>
      </xdr:nvCxnSpPr>
      <xdr:spPr>
        <a:xfrm>
          <a:off x="4856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238126</xdr:colOff>
      <xdr:row>15</xdr:row>
      <xdr:rowOff>238126</xdr:rowOff>
    </xdr:from>
    <xdr:to>
      <xdr:col>101</xdr:col>
      <xdr:colOff>238125</xdr:colOff>
      <xdr:row>18</xdr:row>
      <xdr:rowOff>238126</xdr:rowOff>
    </xdr:to>
    <xdr:cxnSp macro="">
      <xdr:nvCxnSpPr>
        <xdr:cNvPr id="43575" name="CNtp101c12routev"/>
        <xdr:cNvCxnSpPr>
          <a:stCxn id="43557" idx="6"/>
          <a:endCxn id="43574" idx="2"/>
        </xdr:cNvCxnSpPr>
      </xdr:nvCxnSpPr>
      <xdr:spPr>
        <a:xfrm>
          <a:off x="4856797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238126</xdr:colOff>
      <xdr:row>4</xdr:row>
      <xdr:rowOff>238126</xdr:rowOff>
    </xdr:from>
    <xdr:to>
      <xdr:col>101</xdr:col>
      <xdr:colOff>238125</xdr:colOff>
      <xdr:row>8</xdr:row>
      <xdr:rowOff>238126</xdr:rowOff>
    </xdr:to>
    <xdr:cxnSp macro="">
      <xdr:nvCxnSpPr>
        <xdr:cNvPr id="43571" name="CNtp101c11routeb"/>
        <xdr:cNvCxnSpPr>
          <a:stCxn id="43554" idx="6"/>
          <a:endCxn id="43568" idx="2"/>
        </xdr:cNvCxnSpPr>
      </xdr:nvCxnSpPr>
      <xdr:spPr>
        <a:xfrm flipV="1">
          <a:off x="485679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238126</xdr:colOff>
      <xdr:row>4</xdr:row>
      <xdr:rowOff>238126</xdr:rowOff>
    </xdr:from>
    <xdr:to>
      <xdr:col>101</xdr:col>
      <xdr:colOff>238125</xdr:colOff>
      <xdr:row>4</xdr:row>
      <xdr:rowOff>250826</xdr:rowOff>
    </xdr:to>
    <xdr:cxnSp macro="">
      <xdr:nvCxnSpPr>
        <xdr:cNvPr id="43570" name="CNtp101c11routec"/>
        <xdr:cNvCxnSpPr>
          <a:stCxn id="43551" idx="6"/>
          <a:endCxn id="43568" idx="2"/>
        </xdr:cNvCxnSpPr>
      </xdr:nvCxnSpPr>
      <xdr:spPr>
        <a:xfrm>
          <a:off x="4856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238126</xdr:colOff>
      <xdr:row>4</xdr:row>
      <xdr:rowOff>238126</xdr:rowOff>
    </xdr:from>
    <xdr:to>
      <xdr:col>101</xdr:col>
      <xdr:colOff>238125</xdr:colOff>
      <xdr:row>4</xdr:row>
      <xdr:rowOff>250826</xdr:rowOff>
    </xdr:to>
    <xdr:cxnSp macro="">
      <xdr:nvCxnSpPr>
        <xdr:cNvPr id="43569" name="CNtp101c11routev"/>
        <xdr:cNvCxnSpPr>
          <a:stCxn id="43551" idx="6"/>
          <a:endCxn id="43568" idx="2"/>
        </xdr:cNvCxnSpPr>
      </xdr:nvCxnSpPr>
      <xdr:spPr>
        <a:xfrm>
          <a:off x="4856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238126</xdr:colOff>
      <xdr:row>25</xdr:row>
      <xdr:rowOff>238126</xdr:rowOff>
    </xdr:from>
    <xdr:to>
      <xdr:col>100</xdr:col>
      <xdr:colOff>238125</xdr:colOff>
      <xdr:row>28</xdr:row>
      <xdr:rowOff>238126</xdr:rowOff>
    </xdr:to>
    <xdr:cxnSp macro="">
      <xdr:nvCxnSpPr>
        <xdr:cNvPr id="43566" name="CNtp100c13routeb"/>
        <xdr:cNvCxnSpPr>
          <a:stCxn id="43547" idx="6"/>
          <a:endCxn id="43563" idx="2"/>
        </xdr:cNvCxnSpPr>
      </xdr:nvCxnSpPr>
      <xdr:spPr>
        <a:xfrm flipV="1">
          <a:off x="48091726" y="13287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238126</xdr:colOff>
      <xdr:row>25</xdr:row>
      <xdr:rowOff>238126</xdr:rowOff>
    </xdr:from>
    <xdr:to>
      <xdr:col>100</xdr:col>
      <xdr:colOff>238125</xdr:colOff>
      <xdr:row>28</xdr:row>
      <xdr:rowOff>238126</xdr:rowOff>
    </xdr:to>
    <xdr:cxnSp macro="">
      <xdr:nvCxnSpPr>
        <xdr:cNvPr id="43565" name="CNtp100c13routec"/>
        <xdr:cNvCxnSpPr>
          <a:stCxn id="43547" idx="6"/>
          <a:endCxn id="43563" idx="2"/>
        </xdr:cNvCxnSpPr>
      </xdr:nvCxnSpPr>
      <xdr:spPr>
        <a:xfrm flipV="1">
          <a:off x="48091726" y="13287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238126</xdr:colOff>
      <xdr:row>24</xdr:row>
      <xdr:rowOff>238126</xdr:rowOff>
    </xdr:from>
    <xdr:to>
      <xdr:col>100</xdr:col>
      <xdr:colOff>238125</xdr:colOff>
      <xdr:row>25</xdr:row>
      <xdr:rowOff>238126</xdr:rowOff>
    </xdr:to>
    <xdr:cxnSp macro="">
      <xdr:nvCxnSpPr>
        <xdr:cNvPr id="43564" name="CNtp100c13routev"/>
        <xdr:cNvCxnSpPr>
          <a:stCxn id="43545" idx="6"/>
          <a:endCxn id="43563" idx="2"/>
        </xdr:cNvCxnSpPr>
      </xdr:nvCxnSpPr>
      <xdr:spPr>
        <a:xfrm>
          <a:off x="48091726" y="12811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238126</xdr:colOff>
      <xdr:row>18</xdr:row>
      <xdr:rowOff>238126</xdr:rowOff>
    </xdr:from>
    <xdr:to>
      <xdr:col>100</xdr:col>
      <xdr:colOff>238125</xdr:colOff>
      <xdr:row>18</xdr:row>
      <xdr:rowOff>250826</xdr:rowOff>
    </xdr:to>
    <xdr:cxnSp macro="">
      <xdr:nvCxnSpPr>
        <xdr:cNvPr id="43561" name="CNtp100c12routec"/>
        <xdr:cNvCxnSpPr>
          <a:stCxn id="43541" idx="6"/>
          <a:endCxn id="43560" idx="2"/>
        </xdr:cNvCxnSpPr>
      </xdr:nvCxnSpPr>
      <xdr:spPr>
        <a:xfrm>
          <a:off x="4809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238126</xdr:colOff>
      <xdr:row>15</xdr:row>
      <xdr:rowOff>238126</xdr:rowOff>
    </xdr:from>
    <xdr:to>
      <xdr:col>100</xdr:col>
      <xdr:colOff>238125</xdr:colOff>
      <xdr:row>18</xdr:row>
      <xdr:rowOff>238126</xdr:rowOff>
    </xdr:to>
    <xdr:cxnSp macro="">
      <xdr:nvCxnSpPr>
        <xdr:cNvPr id="43559" name="CNtp100c12routeb"/>
        <xdr:cNvCxnSpPr>
          <a:stCxn id="43541" idx="6"/>
          <a:endCxn id="43557" idx="2"/>
        </xdr:cNvCxnSpPr>
      </xdr:nvCxnSpPr>
      <xdr:spPr>
        <a:xfrm flipV="1">
          <a:off x="4809172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238126</xdr:colOff>
      <xdr:row>14</xdr:row>
      <xdr:rowOff>238126</xdr:rowOff>
    </xdr:from>
    <xdr:to>
      <xdr:col>100</xdr:col>
      <xdr:colOff>238125</xdr:colOff>
      <xdr:row>15</xdr:row>
      <xdr:rowOff>238126</xdr:rowOff>
    </xdr:to>
    <xdr:cxnSp macro="">
      <xdr:nvCxnSpPr>
        <xdr:cNvPr id="43558" name="CNtp100c12routev"/>
        <xdr:cNvCxnSpPr>
          <a:stCxn id="43539" idx="6"/>
          <a:endCxn id="43557" idx="2"/>
        </xdr:cNvCxnSpPr>
      </xdr:nvCxnSpPr>
      <xdr:spPr>
        <a:xfrm>
          <a:off x="48091726" y="80486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238126</xdr:colOff>
      <xdr:row>8</xdr:row>
      <xdr:rowOff>238126</xdr:rowOff>
    </xdr:from>
    <xdr:to>
      <xdr:col>100</xdr:col>
      <xdr:colOff>238125</xdr:colOff>
      <xdr:row>8</xdr:row>
      <xdr:rowOff>250826</xdr:rowOff>
    </xdr:to>
    <xdr:cxnSp macro="">
      <xdr:nvCxnSpPr>
        <xdr:cNvPr id="43555" name="CNtp100c11routeb"/>
        <xdr:cNvCxnSpPr>
          <a:stCxn id="43536" idx="6"/>
          <a:endCxn id="43554" idx="2"/>
        </xdr:cNvCxnSpPr>
      </xdr:nvCxnSpPr>
      <xdr:spPr>
        <a:xfrm>
          <a:off x="48091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238126</xdr:colOff>
      <xdr:row>4</xdr:row>
      <xdr:rowOff>238126</xdr:rowOff>
    </xdr:from>
    <xdr:to>
      <xdr:col>100</xdr:col>
      <xdr:colOff>238125</xdr:colOff>
      <xdr:row>4</xdr:row>
      <xdr:rowOff>250826</xdr:rowOff>
    </xdr:to>
    <xdr:cxnSp macro="">
      <xdr:nvCxnSpPr>
        <xdr:cNvPr id="43553" name="CNtp100c11routec"/>
        <xdr:cNvCxnSpPr>
          <a:stCxn id="43532" idx="6"/>
          <a:endCxn id="43551" idx="2"/>
        </xdr:cNvCxnSpPr>
      </xdr:nvCxnSpPr>
      <xdr:spPr>
        <a:xfrm>
          <a:off x="4809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238126</xdr:colOff>
      <xdr:row>4</xdr:row>
      <xdr:rowOff>238126</xdr:rowOff>
    </xdr:from>
    <xdr:to>
      <xdr:col>100</xdr:col>
      <xdr:colOff>238125</xdr:colOff>
      <xdr:row>4</xdr:row>
      <xdr:rowOff>250826</xdr:rowOff>
    </xdr:to>
    <xdr:cxnSp macro="">
      <xdr:nvCxnSpPr>
        <xdr:cNvPr id="43552" name="CNtp100c11routev"/>
        <xdr:cNvCxnSpPr>
          <a:stCxn id="43532" idx="6"/>
          <a:endCxn id="43551" idx="2"/>
        </xdr:cNvCxnSpPr>
      </xdr:nvCxnSpPr>
      <xdr:spPr>
        <a:xfrm>
          <a:off x="4809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238126</xdr:colOff>
      <xdr:row>24</xdr:row>
      <xdr:rowOff>238126</xdr:rowOff>
    </xdr:from>
    <xdr:to>
      <xdr:col>99</xdr:col>
      <xdr:colOff>238125</xdr:colOff>
      <xdr:row>28</xdr:row>
      <xdr:rowOff>238126</xdr:rowOff>
    </xdr:to>
    <xdr:cxnSp macro="">
      <xdr:nvCxnSpPr>
        <xdr:cNvPr id="43549" name="CNtp99c13routeb"/>
        <xdr:cNvCxnSpPr>
          <a:stCxn id="43524" idx="6"/>
          <a:endCxn id="43547" idx="2"/>
        </xdr:cNvCxnSpPr>
      </xdr:nvCxnSpPr>
      <xdr:spPr>
        <a:xfrm>
          <a:off x="476154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238126</xdr:colOff>
      <xdr:row>28</xdr:row>
      <xdr:rowOff>238126</xdr:rowOff>
    </xdr:from>
    <xdr:to>
      <xdr:col>99</xdr:col>
      <xdr:colOff>238125</xdr:colOff>
      <xdr:row>28</xdr:row>
      <xdr:rowOff>250826</xdr:rowOff>
    </xdr:to>
    <xdr:cxnSp macro="">
      <xdr:nvCxnSpPr>
        <xdr:cNvPr id="43548" name="CNtp99c13routec"/>
        <xdr:cNvCxnSpPr>
          <a:stCxn id="43529" idx="6"/>
          <a:endCxn id="43547" idx="2"/>
        </xdr:cNvCxnSpPr>
      </xdr:nvCxnSpPr>
      <xdr:spPr>
        <a:xfrm>
          <a:off x="4761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238126</xdr:colOff>
      <xdr:row>24</xdr:row>
      <xdr:rowOff>238126</xdr:rowOff>
    </xdr:from>
    <xdr:to>
      <xdr:col>99</xdr:col>
      <xdr:colOff>238125</xdr:colOff>
      <xdr:row>24</xdr:row>
      <xdr:rowOff>250826</xdr:rowOff>
    </xdr:to>
    <xdr:cxnSp macro="">
      <xdr:nvCxnSpPr>
        <xdr:cNvPr id="43546" name="CNtp99c13routev"/>
        <xdr:cNvCxnSpPr>
          <a:stCxn id="43524" idx="6"/>
          <a:endCxn id="43545" idx="2"/>
        </xdr:cNvCxnSpPr>
      </xdr:nvCxnSpPr>
      <xdr:spPr>
        <a:xfrm>
          <a:off x="476154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238126</xdr:colOff>
      <xdr:row>14</xdr:row>
      <xdr:rowOff>238126</xdr:rowOff>
    </xdr:from>
    <xdr:to>
      <xdr:col>99</xdr:col>
      <xdr:colOff>238125</xdr:colOff>
      <xdr:row>18</xdr:row>
      <xdr:rowOff>238126</xdr:rowOff>
    </xdr:to>
    <xdr:cxnSp macro="">
      <xdr:nvCxnSpPr>
        <xdr:cNvPr id="43543" name="CNtp99c12routeb"/>
        <xdr:cNvCxnSpPr>
          <a:stCxn id="43517" idx="6"/>
          <a:endCxn id="43541" idx="2"/>
        </xdr:cNvCxnSpPr>
      </xdr:nvCxnSpPr>
      <xdr:spPr>
        <a:xfrm>
          <a:off x="476154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238126</xdr:colOff>
      <xdr:row>18</xdr:row>
      <xdr:rowOff>238126</xdr:rowOff>
    </xdr:from>
    <xdr:to>
      <xdr:col>99</xdr:col>
      <xdr:colOff>238125</xdr:colOff>
      <xdr:row>18</xdr:row>
      <xdr:rowOff>250826</xdr:rowOff>
    </xdr:to>
    <xdr:cxnSp macro="">
      <xdr:nvCxnSpPr>
        <xdr:cNvPr id="43542" name="CNtp99c12routec"/>
        <xdr:cNvCxnSpPr>
          <a:stCxn id="43521" idx="6"/>
          <a:endCxn id="43541" idx="2"/>
        </xdr:cNvCxnSpPr>
      </xdr:nvCxnSpPr>
      <xdr:spPr>
        <a:xfrm>
          <a:off x="4761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238126</xdr:colOff>
      <xdr:row>14</xdr:row>
      <xdr:rowOff>238126</xdr:rowOff>
    </xdr:from>
    <xdr:to>
      <xdr:col>99</xdr:col>
      <xdr:colOff>238125</xdr:colOff>
      <xdr:row>14</xdr:row>
      <xdr:rowOff>250826</xdr:rowOff>
    </xdr:to>
    <xdr:cxnSp macro="">
      <xdr:nvCxnSpPr>
        <xdr:cNvPr id="43540" name="CNtp99c12routev"/>
        <xdr:cNvCxnSpPr>
          <a:stCxn id="43517" idx="6"/>
          <a:endCxn id="43539" idx="2"/>
        </xdr:cNvCxnSpPr>
      </xdr:nvCxnSpPr>
      <xdr:spPr>
        <a:xfrm>
          <a:off x="4761547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238126</xdr:colOff>
      <xdr:row>4</xdr:row>
      <xdr:rowOff>238126</xdr:rowOff>
    </xdr:from>
    <xdr:to>
      <xdr:col>99</xdr:col>
      <xdr:colOff>238125</xdr:colOff>
      <xdr:row>8</xdr:row>
      <xdr:rowOff>238126</xdr:rowOff>
    </xdr:to>
    <xdr:cxnSp macro="">
      <xdr:nvCxnSpPr>
        <xdr:cNvPr id="43537" name="CNtp99c11routeb"/>
        <xdr:cNvCxnSpPr>
          <a:stCxn id="43511" idx="6"/>
          <a:endCxn id="43536" idx="2"/>
        </xdr:cNvCxnSpPr>
      </xdr:nvCxnSpPr>
      <xdr:spPr>
        <a:xfrm>
          <a:off x="476154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238126</xdr:colOff>
      <xdr:row>4</xdr:row>
      <xdr:rowOff>238126</xdr:rowOff>
    </xdr:from>
    <xdr:to>
      <xdr:col>99</xdr:col>
      <xdr:colOff>238125</xdr:colOff>
      <xdr:row>4</xdr:row>
      <xdr:rowOff>250826</xdr:rowOff>
    </xdr:to>
    <xdr:cxnSp macro="">
      <xdr:nvCxnSpPr>
        <xdr:cNvPr id="43534" name="CNtp99c11routec"/>
        <xdr:cNvCxnSpPr>
          <a:stCxn id="43511" idx="6"/>
          <a:endCxn id="43532" idx="2"/>
        </xdr:cNvCxnSpPr>
      </xdr:nvCxnSpPr>
      <xdr:spPr>
        <a:xfrm>
          <a:off x="4761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238126</xdr:colOff>
      <xdr:row>4</xdr:row>
      <xdr:rowOff>238126</xdr:rowOff>
    </xdr:from>
    <xdr:to>
      <xdr:col>99</xdr:col>
      <xdr:colOff>238125</xdr:colOff>
      <xdr:row>4</xdr:row>
      <xdr:rowOff>250826</xdr:rowOff>
    </xdr:to>
    <xdr:cxnSp macro="">
      <xdr:nvCxnSpPr>
        <xdr:cNvPr id="43533" name="CNtp99c11routev"/>
        <xdr:cNvCxnSpPr>
          <a:stCxn id="43511" idx="6"/>
          <a:endCxn id="43532" idx="2"/>
        </xdr:cNvCxnSpPr>
      </xdr:nvCxnSpPr>
      <xdr:spPr>
        <a:xfrm>
          <a:off x="4761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238126</xdr:colOff>
      <xdr:row>28</xdr:row>
      <xdr:rowOff>238126</xdr:rowOff>
    </xdr:from>
    <xdr:to>
      <xdr:col>98</xdr:col>
      <xdr:colOff>238125</xdr:colOff>
      <xdr:row>28</xdr:row>
      <xdr:rowOff>250826</xdr:rowOff>
    </xdr:to>
    <xdr:cxnSp macro="">
      <xdr:nvCxnSpPr>
        <xdr:cNvPr id="43530" name="CNtp98c13routec"/>
        <xdr:cNvCxnSpPr>
          <a:stCxn id="43508" idx="6"/>
          <a:endCxn id="43529" idx="2"/>
        </xdr:cNvCxnSpPr>
      </xdr:nvCxnSpPr>
      <xdr:spPr>
        <a:xfrm>
          <a:off x="4713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238126</xdr:colOff>
      <xdr:row>24</xdr:row>
      <xdr:rowOff>238126</xdr:rowOff>
    </xdr:from>
    <xdr:to>
      <xdr:col>98</xdr:col>
      <xdr:colOff>238125</xdr:colOff>
      <xdr:row>24</xdr:row>
      <xdr:rowOff>250826</xdr:rowOff>
    </xdr:to>
    <xdr:cxnSp macro="">
      <xdr:nvCxnSpPr>
        <xdr:cNvPr id="43526" name="CNtp98c13routeb"/>
        <xdr:cNvCxnSpPr>
          <a:stCxn id="43503" idx="6"/>
          <a:endCxn id="43524" idx="2"/>
        </xdr:cNvCxnSpPr>
      </xdr:nvCxnSpPr>
      <xdr:spPr>
        <a:xfrm>
          <a:off x="471392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238126</xdr:colOff>
      <xdr:row>24</xdr:row>
      <xdr:rowOff>238126</xdr:rowOff>
    </xdr:from>
    <xdr:to>
      <xdr:col>98</xdr:col>
      <xdr:colOff>238125</xdr:colOff>
      <xdr:row>24</xdr:row>
      <xdr:rowOff>250826</xdr:rowOff>
    </xdr:to>
    <xdr:cxnSp macro="">
      <xdr:nvCxnSpPr>
        <xdr:cNvPr id="43525" name="CNtp98c13routev"/>
        <xdr:cNvCxnSpPr>
          <a:stCxn id="43503" idx="6"/>
          <a:endCxn id="43524" idx="2"/>
        </xdr:cNvCxnSpPr>
      </xdr:nvCxnSpPr>
      <xdr:spPr>
        <a:xfrm>
          <a:off x="471392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238126</xdr:colOff>
      <xdr:row>18</xdr:row>
      <xdr:rowOff>238126</xdr:rowOff>
    </xdr:from>
    <xdr:to>
      <xdr:col>98</xdr:col>
      <xdr:colOff>238125</xdr:colOff>
      <xdr:row>18</xdr:row>
      <xdr:rowOff>250826</xdr:rowOff>
    </xdr:to>
    <xdr:cxnSp macro="">
      <xdr:nvCxnSpPr>
        <xdr:cNvPr id="43522" name="CNtp98c12routec"/>
        <xdr:cNvCxnSpPr>
          <a:stCxn id="43499" idx="6"/>
          <a:endCxn id="43521" idx="2"/>
        </xdr:cNvCxnSpPr>
      </xdr:nvCxnSpPr>
      <xdr:spPr>
        <a:xfrm>
          <a:off x="4713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238126</xdr:colOff>
      <xdr:row>14</xdr:row>
      <xdr:rowOff>238126</xdr:rowOff>
    </xdr:from>
    <xdr:to>
      <xdr:col>98</xdr:col>
      <xdr:colOff>238125</xdr:colOff>
      <xdr:row>18</xdr:row>
      <xdr:rowOff>238126</xdr:rowOff>
    </xdr:to>
    <xdr:cxnSp macro="">
      <xdr:nvCxnSpPr>
        <xdr:cNvPr id="43519" name="CNtp98c12routeb"/>
        <xdr:cNvCxnSpPr>
          <a:stCxn id="43499" idx="6"/>
          <a:endCxn id="43517" idx="2"/>
        </xdr:cNvCxnSpPr>
      </xdr:nvCxnSpPr>
      <xdr:spPr>
        <a:xfrm flipV="1">
          <a:off x="471392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238126</xdr:colOff>
      <xdr:row>14</xdr:row>
      <xdr:rowOff>238126</xdr:rowOff>
    </xdr:from>
    <xdr:to>
      <xdr:col>98</xdr:col>
      <xdr:colOff>238125</xdr:colOff>
      <xdr:row>14</xdr:row>
      <xdr:rowOff>250826</xdr:rowOff>
    </xdr:to>
    <xdr:cxnSp macro="">
      <xdr:nvCxnSpPr>
        <xdr:cNvPr id="43518" name="CNtp98c12routev"/>
        <xdr:cNvCxnSpPr>
          <a:stCxn id="43495" idx="6"/>
          <a:endCxn id="43517" idx="2"/>
        </xdr:cNvCxnSpPr>
      </xdr:nvCxnSpPr>
      <xdr:spPr>
        <a:xfrm>
          <a:off x="4713922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238126</xdr:colOff>
      <xdr:row>4</xdr:row>
      <xdr:rowOff>238126</xdr:rowOff>
    </xdr:from>
    <xdr:to>
      <xdr:col>98</xdr:col>
      <xdr:colOff>238125</xdr:colOff>
      <xdr:row>4</xdr:row>
      <xdr:rowOff>250826</xdr:rowOff>
    </xdr:to>
    <xdr:cxnSp macro="">
      <xdr:nvCxnSpPr>
        <xdr:cNvPr id="43514" name="CNtp98c11routeb"/>
        <xdr:cNvCxnSpPr>
          <a:stCxn id="43490" idx="6"/>
          <a:endCxn id="43511" idx="2"/>
        </xdr:cNvCxnSpPr>
      </xdr:nvCxnSpPr>
      <xdr:spPr>
        <a:xfrm>
          <a:off x="4713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238126</xdr:colOff>
      <xdr:row>4</xdr:row>
      <xdr:rowOff>238126</xdr:rowOff>
    </xdr:from>
    <xdr:to>
      <xdr:col>98</xdr:col>
      <xdr:colOff>238125</xdr:colOff>
      <xdr:row>4</xdr:row>
      <xdr:rowOff>250826</xdr:rowOff>
    </xdr:to>
    <xdr:cxnSp macro="">
      <xdr:nvCxnSpPr>
        <xdr:cNvPr id="43513" name="CNtp98c11routec"/>
        <xdr:cNvCxnSpPr>
          <a:stCxn id="43490" idx="6"/>
          <a:endCxn id="43511" idx="2"/>
        </xdr:cNvCxnSpPr>
      </xdr:nvCxnSpPr>
      <xdr:spPr>
        <a:xfrm>
          <a:off x="4713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238126</xdr:colOff>
      <xdr:row>4</xdr:row>
      <xdr:rowOff>238126</xdr:rowOff>
    </xdr:from>
    <xdr:to>
      <xdr:col>98</xdr:col>
      <xdr:colOff>238125</xdr:colOff>
      <xdr:row>4</xdr:row>
      <xdr:rowOff>250826</xdr:rowOff>
    </xdr:to>
    <xdr:cxnSp macro="">
      <xdr:nvCxnSpPr>
        <xdr:cNvPr id="43512" name="CNtp98c11routev"/>
        <xdr:cNvCxnSpPr>
          <a:stCxn id="43490" idx="6"/>
          <a:endCxn id="43511" idx="2"/>
        </xdr:cNvCxnSpPr>
      </xdr:nvCxnSpPr>
      <xdr:spPr>
        <a:xfrm>
          <a:off x="4713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238126</xdr:colOff>
      <xdr:row>28</xdr:row>
      <xdr:rowOff>238126</xdr:rowOff>
    </xdr:from>
    <xdr:to>
      <xdr:col>97</xdr:col>
      <xdr:colOff>238125</xdr:colOff>
      <xdr:row>28</xdr:row>
      <xdr:rowOff>250826</xdr:rowOff>
    </xdr:to>
    <xdr:cxnSp macro="">
      <xdr:nvCxnSpPr>
        <xdr:cNvPr id="43509" name="CNtp97c13routec"/>
        <xdr:cNvCxnSpPr>
          <a:stCxn id="43486" idx="6"/>
          <a:endCxn id="43508" idx="2"/>
        </xdr:cNvCxnSpPr>
      </xdr:nvCxnSpPr>
      <xdr:spPr>
        <a:xfrm>
          <a:off x="4666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238126</xdr:colOff>
      <xdr:row>24</xdr:row>
      <xdr:rowOff>238126</xdr:rowOff>
    </xdr:from>
    <xdr:to>
      <xdr:col>97</xdr:col>
      <xdr:colOff>238125</xdr:colOff>
      <xdr:row>28</xdr:row>
      <xdr:rowOff>238126</xdr:rowOff>
    </xdr:to>
    <xdr:cxnSp macro="">
      <xdr:nvCxnSpPr>
        <xdr:cNvPr id="43505" name="CNtp97c13routeb"/>
        <xdr:cNvCxnSpPr>
          <a:stCxn id="43486" idx="6"/>
          <a:endCxn id="43503" idx="2"/>
        </xdr:cNvCxnSpPr>
      </xdr:nvCxnSpPr>
      <xdr:spPr>
        <a:xfrm flipV="1">
          <a:off x="466629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238126</xdr:colOff>
      <xdr:row>24</xdr:row>
      <xdr:rowOff>238126</xdr:rowOff>
    </xdr:from>
    <xdr:to>
      <xdr:col>97</xdr:col>
      <xdr:colOff>238125</xdr:colOff>
      <xdr:row>28</xdr:row>
      <xdr:rowOff>238126</xdr:rowOff>
    </xdr:to>
    <xdr:cxnSp macro="">
      <xdr:nvCxnSpPr>
        <xdr:cNvPr id="43504" name="CNtp97c13routev"/>
        <xdr:cNvCxnSpPr>
          <a:stCxn id="43486" idx="6"/>
          <a:endCxn id="43503" idx="2"/>
        </xdr:cNvCxnSpPr>
      </xdr:nvCxnSpPr>
      <xdr:spPr>
        <a:xfrm flipV="1">
          <a:off x="466629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238126</xdr:colOff>
      <xdr:row>18</xdr:row>
      <xdr:rowOff>238126</xdr:rowOff>
    </xdr:from>
    <xdr:to>
      <xdr:col>97</xdr:col>
      <xdr:colOff>238125</xdr:colOff>
      <xdr:row>18</xdr:row>
      <xdr:rowOff>250826</xdr:rowOff>
    </xdr:to>
    <xdr:cxnSp macro="">
      <xdr:nvCxnSpPr>
        <xdr:cNvPr id="43501" name="CNtp97c12routeb"/>
        <xdr:cNvCxnSpPr>
          <a:stCxn id="43478" idx="6"/>
          <a:endCxn id="43499" idx="2"/>
        </xdr:cNvCxnSpPr>
      </xdr:nvCxnSpPr>
      <xdr:spPr>
        <a:xfrm>
          <a:off x="4666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238126</xdr:colOff>
      <xdr:row>18</xdr:row>
      <xdr:rowOff>238126</xdr:rowOff>
    </xdr:from>
    <xdr:to>
      <xdr:col>97</xdr:col>
      <xdr:colOff>238125</xdr:colOff>
      <xdr:row>18</xdr:row>
      <xdr:rowOff>250826</xdr:rowOff>
    </xdr:to>
    <xdr:cxnSp macro="">
      <xdr:nvCxnSpPr>
        <xdr:cNvPr id="43500" name="CNtp97c12routec"/>
        <xdr:cNvCxnSpPr>
          <a:stCxn id="43478" idx="6"/>
          <a:endCxn id="43499" idx="2"/>
        </xdr:cNvCxnSpPr>
      </xdr:nvCxnSpPr>
      <xdr:spPr>
        <a:xfrm>
          <a:off x="4666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238126</xdr:colOff>
      <xdr:row>14</xdr:row>
      <xdr:rowOff>238126</xdr:rowOff>
    </xdr:from>
    <xdr:to>
      <xdr:col>97</xdr:col>
      <xdr:colOff>238125</xdr:colOff>
      <xdr:row>18</xdr:row>
      <xdr:rowOff>238126</xdr:rowOff>
    </xdr:to>
    <xdr:cxnSp macro="">
      <xdr:nvCxnSpPr>
        <xdr:cNvPr id="43496" name="CNtp97c12routev"/>
        <xdr:cNvCxnSpPr>
          <a:stCxn id="43478" idx="6"/>
          <a:endCxn id="43495" idx="2"/>
        </xdr:cNvCxnSpPr>
      </xdr:nvCxnSpPr>
      <xdr:spPr>
        <a:xfrm flipV="1">
          <a:off x="466629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238126</xdr:colOff>
      <xdr:row>4</xdr:row>
      <xdr:rowOff>238126</xdr:rowOff>
    </xdr:from>
    <xdr:to>
      <xdr:col>97</xdr:col>
      <xdr:colOff>238125</xdr:colOff>
      <xdr:row>8</xdr:row>
      <xdr:rowOff>238126</xdr:rowOff>
    </xdr:to>
    <xdr:cxnSp macro="">
      <xdr:nvCxnSpPr>
        <xdr:cNvPr id="43493" name="CNtp97c11routeb"/>
        <xdr:cNvCxnSpPr>
          <a:stCxn id="43472" idx="6"/>
          <a:endCxn id="43490" idx="2"/>
        </xdr:cNvCxnSpPr>
      </xdr:nvCxnSpPr>
      <xdr:spPr>
        <a:xfrm flipV="1">
          <a:off x="466629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238126</xdr:colOff>
      <xdr:row>4</xdr:row>
      <xdr:rowOff>238126</xdr:rowOff>
    </xdr:from>
    <xdr:to>
      <xdr:col>97</xdr:col>
      <xdr:colOff>238125</xdr:colOff>
      <xdr:row>4</xdr:row>
      <xdr:rowOff>250826</xdr:rowOff>
    </xdr:to>
    <xdr:cxnSp macro="">
      <xdr:nvCxnSpPr>
        <xdr:cNvPr id="43492" name="CNtp97c11routec"/>
        <xdr:cNvCxnSpPr>
          <a:stCxn id="43469" idx="6"/>
          <a:endCxn id="43490" idx="2"/>
        </xdr:cNvCxnSpPr>
      </xdr:nvCxnSpPr>
      <xdr:spPr>
        <a:xfrm>
          <a:off x="4666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238126</xdr:colOff>
      <xdr:row>4</xdr:row>
      <xdr:rowOff>238126</xdr:rowOff>
    </xdr:from>
    <xdr:to>
      <xdr:col>97</xdr:col>
      <xdr:colOff>238125</xdr:colOff>
      <xdr:row>4</xdr:row>
      <xdr:rowOff>250826</xdr:rowOff>
    </xdr:to>
    <xdr:cxnSp macro="">
      <xdr:nvCxnSpPr>
        <xdr:cNvPr id="43491" name="CNtp97c11routev"/>
        <xdr:cNvCxnSpPr>
          <a:stCxn id="43469" idx="6"/>
          <a:endCxn id="43490" idx="2"/>
        </xdr:cNvCxnSpPr>
      </xdr:nvCxnSpPr>
      <xdr:spPr>
        <a:xfrm>
          <a:off x="4666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238126</xdr:colOff>
      <xdr:row>23</xdr:row>
      <xdr:rowOff>238126</xdr:rowOff>
    </xdr:from>
    <xdr:to>
      <xdr:col>96</xdr:col>
      <xdr:colOff>238125</xdr:colOff>
      <xdr:row>28</xdr:row>
      <xdr:rowOff>238126</xdr:rowOff>
    </xdr:to>
    <xdr:cxnSp macro="">
      <xdr:nvCxnSpPr>
        <xdr:cNvPr id="43489" name="CNtp96c13routeb"/>
        <xdr:cNvCxnSpPr>
          <a:stCxn id="43465" idx="6"/>
          <a:endCxn id="43486" idx="2"/>
        </xdr:cNvCxnSpPr>
      </xdr:nvCxnSpPr>
      <xdr:spPr>
        <a:xfrm>
          <a:off x="461867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238126</xdr:colOff>
      <xdr:row>23</xdr:row>
      <xdr:rowOff>238126</xdr:rowOff>
    </xdr:from>
    <xdr:to>
      <xdr:col>96</xdr:col>
      <xdr:colOff>238125</xdr:colOff>
      <xdr:row>28</xdr:row>
      <xdr:rowOff>238126</xdr:rowOff>
    </xdr:to>
    <xdr:cxnSp macro="">
      <xdr:nvCxnSpPr>
        <xdr:cNvPr id="43488" name="CNtp96c13routec"/>
        <xdr:cNvCxnSpPr>
          <a:stCxn id="43465" idx="6"/>
          <a:endCxn id="43486" idx="2"/>
        </xdr:cNvCxnSpPr>
      </xdr:nvCxnSpPr>
      <xdr:spPr>
        <a:xfrm>
          <a:off x="461867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238126</xdr:colOff>
      <xdr:row>23</xdr:row>
      <xdr:rowOff>238126</xdr:rowOff>
    </xdr:from>
    <xdr:to>
      <xdr:col>96</xdr:col>
      <xdr:colOff>238125</xdr:colOff>
      <xdr:row>28</xdr:row>
      <xdr:rowOff>238126</xdr:rowOff>
    </xdr:to>
    <xdr:cxnSp macro="">
      <xdr:nvCxnSpPr>
        <xdr:cNvPr id="43487" name="CNtp96c13routev"/>
        <xdr:cNvCxnSpPr>
          <a:stCxn id="43465" idx="6"/>
          <a:endCxn id="43486" idx="2"/>
        </xdr:cNvCxnSpPr>
      </xdr:nvCxnSpPr>
      <xdr:spPr>
        <a:xfrm>
          <a:off x="461867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238126</xdr:colOff>
      <xdr:row>13</xdr:row>
      <xdr:rowOff>238126</xdr:rowOff>
    </xdr:from>
    <xdr:to>
      <xdr:col>96</xdr:col>
      <xdr:colOff>238125</xdr:colOff>
      <xdr:row>18</xdr:row>
      <xdr:rowOff>238126</xdr:rowOff>
    </xdr:to>
    <xdr:cxnSp macro="">
      <xdr:nvCxnSpPr>
        <xdr:cNvPr id="43481" name="CNtp96c12routeb"/>
        <xdr:cNvCxnSpPr>
          <a:stCxn id="43460" idx="6"/>
          <a:endCxn id="43478" idx="2"/>
        </xdr:cNvCxnSpPr>
      </xdr:nvCxnSpPr>
      <xdr:spPr>
        <a:xfrm>
          <a:off x="46186726" y="757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238126</xdr:colOff>
      <xdr:row>13</xdr:row>
      <xdr:rowOff>238126</xdr:rowOff>
    </xdr:from>
    <xdr:to>
      <xdr:col>96</xdr:col>
      <xdr:colOff>238125</xdr:colOff>
      <xdr:row>18</xdr:row>
      <xdr:rowOff>238126</xdr:rowOff>
    </xdr:to>
    <xdr:cxnSp macro="">
      <xdr:nvCxnSpPr>
        <xdr:cNvPr id="43480" name="CNtp96c12routec"/>
        <xdr:cNvCxnSpPr>
          <a:stCxn id="43460" idx="6"/>
          <a:endCxn id="43478" idx="2"/>
        </xdr:cNvCxnSpPr>
      </xdr:nvCxnSpPr>
      <xdr:spPr>
        <a:xfrm>
          <a:off x="46186726" y="757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238126</xdr:colOff>
      <xdr:row>13</xdr:row>
      <xdr:rowOff>238126</xdr:rowOff>
    </xdr:from>
    <xdr:to>
      <xdr:col>96</xdr:col>
      <xdr:colOff>238125</xdr:colOff>
      <xdr:row>18</xdr:row>
      <xdr:rowOff>238126</xdr:rowOff>
    </xdr:to>
    <xdr:cxnSp macro="">
      <xdr:nvCxnSpPr>
        <xdr:cNvPr id="43479" name="CNtp96c12routev"/>
        <xdr:cNvCxnSpPr>
          <a:stCxn id="43460" idx="6"/>
          <a:endCxn id="43478" idx="2"/>
        </xdr:cNvCxnSpPr>
      </xdr:nvCxnSpPr>
      <xdr:spPr>
        <a:xfrm>
          <a:off x="46186726" y="757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238126</xdr:colOff>
      <xdr:row>3</xdr:row>
      <xdr:rowOff>238126</xdr:rowOff>
    </xdr:from>
    <xdr:to>
      <xdr:col>96</xdr:col>
      <xdr:colOff>238125</xdr:colOff>
      <xdr:row>8</xdr:row>
      <xdr:rowOff>238126</xdr:rowOff>
    </xdr:to>
    <xdr:cxnSp macro="">
      <xdr:nvCxnSpPr>
        <xdr:cNvPr id="43473" name="CNtp96c11routeb"/>
        <xdr:cNvCxnSpPr>
          <a:stCxn id="43455" idx="6"/>
          <a:endCxn id="43472" idx="2"/>
        </xdr:cNvCxnSpPr>
      </xdr:nvCxnSpPr>
      <xdr:spPr>
        <a:xfrm>
          <a:off x="46186726" y="2809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238126</xdr:colOff>
      <xdr:row>3</xdr:row>
      <xdr:rowOff>238126</xdr:rowOff>
    </xdr:from>
    <xdr:to>
      <xdr:col>96</xdr:col>
      <xdr:colOff>238125</xdr:colOff>
      <xdr:row>4</xdr:row>
      <xdr:rowOff>238126</xdr:rowOff>
    </xdr:to>
    <xdr:cxnSp macro="">
      <xdr:nvCxnSpPr>
        <xdr:cNvPr id="43471" name="CNtp96c11routec"/>
        <xdr:cNvCxnSpPr>
          <a:stCxn id="43455" idx="6"/>
          <a:endCxn id="43469" idx="2"/>
        </xdr:cNvCxnSpPr>
      </xdr:nvCxnSpPr>
      <xdr:spPr>
        <a:xfrm>
          <a:off x="4618672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238126</xdr:colOff>
      <xdr:row>3</xdr:row>
      <xdr:rowOff>238126</xdr:rowOff>
    </xdr:from>
    <xdr:to>
      <xdr:col>96</xdr:col>
      <xdr:colOff>238125</xdr:colOff>
      <xdr:row>4</xdr:row>
      <xdr:rowOff>238126</xdr:rowOff>
    </xdr:to>
    <xdr:cxnSp macro="">
      <xdr:nvCxnSpPr>
        <xdr:cNvPr id="43470" name="CNtp96c11routev"/>
        <xdr:cNvCxnSpPr>
          <a:stCxn id="43455" idx="6"/>
          <a:endCxn id="43469" idx="2"/>
        </xdr:cNvCxnSpPr>
      </xdr:nvCxnSpPr>
      <xdr:spPr>
        <a:xfrm>
          <a:off x="4618672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238126</xdr:colOff>
      <xdr:row>23</xdr:row>
      <xdr:rowOff>238126</xdr:rowOff>
    </xdr:from>
    <xdr:to>
      <xdr:col>95</xdr:col>
      <xdr:colOff>238125</xdr:colOff>
      <xdr:row>23</xdr:row>
      <xdr:rowOff>250826</xdr:rowOff>
    </xdr:to>
    <xdr:cxnSp macro="">
      <xdr:nvCxnSpPr>
        <xdr:cNvPr id="43468" name="CNtp95c13routeb"/>
        <xdr:cNvCxnSpPr>
          <a:stCxn id="43448" idx="6"/>
          <a:endCxn id="43465" idx="2"/>
        </xdr:cNvCxnSpPr>
      </xdr:nvCxnSpPr>
      <xdr:spPr>
        <a:xfrm>
          <a:off x="45710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238126</xdr:colOff>
      <xdr:row>23</xdr:row>
      <xdr:rowOff>238126</xdr:rowOff>
    </xdr:from>
    <xdr:to>
      <xdr:col>95</xdr:col>
      <xdr:colOff>238125</xdr:colOff>
      <xdr:row>23</xdr:row>
      <xdr:rowOff>250826</xdr:rowOff>
    </xdr:to>
    <xdr:cxnSp macro="">
      <xdr:nvCxnSpPr>
        <xdr:cNvPr id="43467" name="CNtp95c13routec"/>
        <xdr:cNvCxnSpPr>
          <a:stCxn id="43448" idx="6"/>
          <a:endCxn id="43465" idx="2"/>
        </xdr:cNvCxnSpPr>
      </xdr:nvCxnSpPr>
      <xdr:spPr>
        <a:xfrm>
          <a:off x="45710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238126</xdr:colOff>
      <xdr:row>23</xdr:row>
      <xdr:rowOff>238126</xdr:rowOff>
    </xdr:from>
    <xdr:to>
      <xdr:col>95</xdr:col>
      <xdr:colOff>238125</xdr:colOff>
      <xdr:row>28</xdr:row>
      <xdr:rowOff>238126</xdr:rowOff>
    </xdr:to>
    <xdr:cxnSp macro="">
      <xdr:nvCxnSpPr>
        <xdr:cNvPr id="43466" name="CNtp95c13routev"/>
        <xdr:cNvCxnSpPr>
          <a:stCxn id="43453" idx="6"/>
          <a:endCxn id="43465" idx="2"/>
        </xdr:cNvCxnSpPr>
      </xdr:nvCxnSpPr>
      <xdr:spPr>
        <a:xfrm flipV="1">
          <a:off x="457104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238126</xdr:colOff>
      <xdr:row>13</xdr:row>
      <xdr:rowOff>238126</xdr:rowOff>
    </xdr:from>
    <xdr:to>
      <xdr:col>95</xdr:col>
      <xdr:colOff>238125</xdr:colOff>
      <xdr:row>18</xdr:row>
      <xdr:rowOff>238126</xdr:rowOff>
    </xdr:to>
    <xdr:cxnSp macro="">
      <xdr:nvCxnSpPr>
        <xdr:cNvPr id="43463" name="CNtp95c12routeb"/>
        <xdr:cNvCxnSpPr>
          <a:stCxn id="43446" idx="6"/>
          <a:endCxn id="43460" idx="2"/>
        </xdr:cNvCxnSpPr>
      </xdr:nvCxnSpPr>
      <xdr:spPr>
        <a:xfrm flipV="1">
          <a:off x="45710476" y="757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238126</xdr:colOff>
      <xdr:row>13</xdr:row>
      <xdr:rowOff>238126</xdr:rowOff>
    </xdr:from>
    <xdr:to>
      <xdr:col>95</xdr:col>
      <xdr:colOff>238125</xdr:colOff>
      <xdr:row>13</xdr:row>
      <xdr:rowOff>250826</xdr:rowOff>
    </xdr:to>
    <xdr:cxnSp macro="">
      <xdr:nvCxnSpPr>
        <xdr:cNvPr id="43462" name="CNtp95c12routec"/>
        <xdr:cNvCxnSpPr>
          <a:stCxn id="43440" idx="6"/>
          <a:endCxn id="43460" idx="2"/>
        </xdr:cNvCxnSpPr>
      </xdr:nvCxnSpPr>
      <xdr:spPr>
        <a:xfrm>
          <a:off x="45710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238126</xdr:colOff>
      <xdr:row>13</xdr:row>
      <xdr:rowOff>238126</xdr:rowOff>
    </xdr:from>
    <xdr:to>
      <xdr:col>95</xdr:col>
      <xdr:colOff>238125</xdr:colOff>
      <xdr:row>13</xdr:row>
      <xdr:rowOff>250826</xdr:rowOff>
    </xdr:to>
    <xdr:cxnSp macro="">
      <xdr:nvCxnSpPr>
        <xdr:cNvPr id="43461" name="CNtp95c12routev"/>
        <xdr:cNvCxnSpPr>
          <a:stCxn id="43440" idx="6"/>
          <a:endCxn id="43460" idx="2"/>
        </xdr:cNvCxnSpPr>
      </xdr:nvCxnSpPr>
      <xdr:spPr>
        <a:xfrm>
          <a:off x="45710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238126</xdr:colOff>
      <xdr:row>3</xdr:row>
      <xdr:rowOff>238126</xdr:rowOff>
    </xdr:from>
    <xdr:to>
      <xdr:col>95</xdr:col>
      <xdr:colOff>238125</xdr:colOff>
      <xdr:row>3</xdr:row>
      <xdr:rowOff>250826</xdr:rowOff>
    </xdr:to>
    <xdr:cxnSp macro="">
      <xdr:nvCxnSpPr>
        <xdr:cNvPr id="43458" name="CNtp95c11routeb"/>
        <xdr:cNvCxnSpPr>
          <a:stCxn id="43435" idx="6"/>
          <a:endCxn id="43455" idx="2"/>
        </xdr:cNvCxnSpPr>
      </xdr:nvCxnSpPr>
      <xdr:spPr>
        <a:xfrm>
          <a:off x="45710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238126</xdr:colOff>
      <xdr:row>3</xdr:row>
      <xdr:rowOff>238126</xdr:rowOff>
    </xdr:from>
    <xdr:to>
      <xdr:col>95</xdr:col>
      <xdr:colOff>238125</xdr:colOff>
      <xdr:row>3</xdr:row>
      <xdr:rowOff>250826</xdr:rowOff>
    </xdr:to>
    <xdr:cxnSp macro="">
      <xdr:nvCxnSpPr>
        <xdr:cNvPr id="43457" name="CNtp95c11routec"/>
        <xdr:cNvCxnSpPr>
          <a:stCxn id="43435" idx="6"/>
          <a:endCxn id="43455" idx="2"/>
        </xdr:cNvCxnSpPr>
      </xdr:nvCxnSpPr>
      <xdr:spPr>
        <a:xfrm>
          <a:off x="45710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238126</xdr:colOff>
      <xdr:row>3</xdr:row>
      <xdr:rowOff>238126</xdr:rowOff>
    </xdr:from>
    <xdr:to>
      <xdr:col>95</xdr:col>
      <xdr:colOff>238125</xdr:colOff>
      <xdr:row>3</xdr:row>
      <xdr:rowOff>250826</xdr:rowOff>
    </xdr:to>
    <xdr:cxnSp macro="">
      <xdr:nvCxnSpPr>
        <xdr:cNvPr id="43456" name="CNtp95c11routev"/>
        <xdr:cNvCxnSpPr>
          <a:stCxn id="43435" idx="6"/>
          <a:endCxn id="43455" idx="2"/>
        </xdr:cNvCxnSpPr>
      </xdr:nvCxnSpPr>
      <xdr:spPr>
        <a:xfrm>
          <a:off x="45710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238126</xdr:colOff>
      <xdr:row>23</xdr:row>
      <xdr:rowOff>238126</xdr:rowOff>
    </xdr:from>
    <xdr:to>
      <xdr:col>94</xdr:col>
      <xdr:colOff>238125</xdr:colOff>
      <xdr:row>28</xdr:row>
      <xdr:rowOff>238126</xdr:rowOff>
    </xdr:to>
    <xdr:cxnSp macro="">
      <xdr:nvCxnSpPr>
        <xdr:cNvPr id="43454" name="CNtp94c13routev"/>
        <xdr:cNvCxnSpPr>
          <a:stCxn id="43429" idx="6"/>
          <a:endCxn id="43453" idx="2"/>
        </xdr:cNvCxnSpPr>
      </xdr:nvCxnSpPr>
      <xdr:spPr>
        <a:xfrm>
          <a:off x="452342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238126</xdr:colOff>
      <xdr:row>23</xdr:row>
      <xdr:rowOff>238126</xdr:rowOff>
    </xdr:from>
    <xdr:to>
      <xdr:col>94</xdr:col>
      <xdr:colOff>238125</xdr:colOff>
      <xdr:row>23</xdr:row>
      <xdr:rowOff>250826</xdr:rowOff>
    </xdr:to>
    <xdr:cxnSp macro="">
      <xdr:nvCxnSpPr>
        <xdr:cNvPr id="43450" name="CNtp94c13routeb"/>
        <xdr:cNvCxnSpPr>
          <a:stCxn id="43429" idx="6"/>
          <a:endCxn id="43448" idx="2"/>
        </xdr:cNvCxnSpPr>
      </xdr:nvCxnSpPr>
      <xdr:spPr>
        <a:xfrm>
          <a:off x="45234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238126</xdr:colOff>
      <xdr:row>23</xdr:row>
      <xdr:rowOff>238126</xdr:rowOff>
    </xdr:from>
    <xdr:to>
      <xdr:col>94</xdr:col>
      <xdr:colOff>238125</xdr:colOff>
      <xdr:row>23</xdr:row>
      <xdr:rowOff>250826</xdr:rowOff>
    </xdr:to>
    <xdr:cxnSp macro="">
      <xdr:nvCxnSpPr>
        <xdr:cNvPr id="43449" name="CNtp94c13routec"/>
        <xdr:cNvCxnSpPr>
          <a:stCxn id="43429" idx="6"/>
          <a:endCxn id="43448" idx="2"/>
        </xdr:cNvCxnSpPr>
      </xdr:nvCxnSpPr>
      <xdr:spPr>
        <a:xfrm>
          <a:off x="45234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238126</xdr:colOff>
      <xdr:row>18</xdr:row>
      <xdr:rowOff>238126</xdr:rowOff>
    </xdr:from>
    <xdr:to>
      <xdr:col>94</xdr:col>
      <xdr:colOff>238125</xdr:colOff>
      <xdr:row>18</xdr:row>
      <xdr:rowOff>250826</xdr:rowOff>
    </xdr:to>
    <xdr:cxnSp macro="">
      <xdr:nvCxnSpPr>
        <xdr:cNvPr id="43447" name="CNtp94c12routeb"/>
        <xdr:cNvCxnSpPr>
          <a:stCxn id="43426" idx="6"/>
          <a:endCxn id="43446" idx="2"/>
        </xdr:cNvCxnSpPr>
      </xdr:nvCxnSpPr>
      <xdr:spPr>
        <a:xfrm>
          <a:off x="4523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238126</xdr:colOff>
      <xdr:row>13</xdr:row>
      <xdr:rowOff>238126</xdr:rowOff>
    </xdr:from>
    <xdr:to>
      <xdr:col>94</xdr:col>
      <xdr:colOff>238125</xdr:colOff>
      <xdr:row>13</xdr:row>
      <xdr:rowOff>250826</xdr:rowOff>
    </xdr:to>
    <xdr:cxnSp macro="">
      <xdr:nvCxnSpPr>
        <xdr:cNvPr id="43442" name="CNtp94c12routec"/>
        <xdr:cNvCxnSpPr>
          <a:stCxn id="43419" idx="6"/>
          <a:endCxn id="43440" idx="2"/>
        </xdr:cNvCxnSpPr>
      </xdr:nvCxnSpPr>
      <xdr:spPr>
        <a:xfrm>
          <a:off x="45234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238126</xdr:colOff>
      <xdr:row>13</xdr:row>
      <xdr:rowOff>238126</xdr:rowOff>
    </xdr:from>
    <xdr:to>
      <xdr:col>94</xdr:col>
      <xdr:colOff>238125</xdr:colOff>
      <xdr:row>13</xdr:row>
      <xdr:rowOff>250826</xdr:rowOff>
    </xdr:to>
    <xdr:cxnSp macro="">
      <xdr:nvCxnSpPr>
        <xdr:cNvPr id="43441" name="CNtp94c12routev"/>
        <xdr:cNvCxnSpPr>
          <a:stCxn id="43419" idx="6"/>
          <a:endCxn id="43440" idx="2"/>
        </xdr:cNvCxnSpPr>
      </xdr:nvCxnSpPr>
      <xdr:spPr>
        <a:xfrm>
          <a:off x="45234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238126</xdr:colOff>
      <xdr:row>3</xdr:row>
      <xdr:rowOff>238126</xdr:rowOff>
    </xdr:from>
    <xdr:to>
      <xdr:col>94</xdr:col>
      <xdr:colOff>238125</xdr:colOff>
      <xdr:row>8</xdr:row>
      <xdr:rowOff>238126</xdr:rowOff>
    </xdr:to>
    <xdr:cxnSp macro="">
      <xdr:nvCxnSpPr>
        <xdr:cNvPr id="43438" name="CNtp94c11routeb"/>
        <xdr:cNvCxnSpPr>
          <a:stCxn id="43415" idx="6"/>
          <a:endCxn id="43435" idx="2"/>
        </xdr:cNvCxnSpPr>
      </xdr:nvCxnSpPr>
      <xdr:spPr>
        <a:xfrm flipV="1">
          <a:off x="45234226" y="2809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238126</xdr:colOff>
      <xdr:row>3</xdr:row>
      <xdr:rowOff>238126</xdr:rowOff>
    </xdr:from>
    <xdr:to>
      <xdr:col>94</xdr:col>
      <xdr:colOff>238125</xdr:colOff>
      <xdr:row>4</xdr:row>
      <xdr:rowOff>238126</xdr:rowOff>
    </xdr:to>
    <xdr:cxnSp macro="">
      <xdr:nvCxnSpPr>
        <xdr:cNvPr id="43437" name="CNtp94c11routec"/>
        <xdr:cNvCxnSpPr>
          <a:stCxn id="43411" idx="6"/>
          <a:endCxn id="43435" idx="2"/>
        </xdr:cNvCxnSpPr>
      </xdr:nvCxnSpPr>
      <xdr:spPr>
        <a:xfrm flipV="1">
          <a:off x="4523422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238126</xdr:colOff>
      <xdr:row>3</xdr:row>
      <xdr:rowOff>238126</xdr:rowOff>
    </xdr:from>
    <xdr:to>
      <xdr:col>94</xdr:col>
      <xdr:colOff>238125</xdr:colOff>
      <xdr:row>8</xdr:row>
      <xdr:rowOff>238126</xdr:rowOff>
    </xdr:to>
    <xdr:cxnSp macro="">
      <xdr:nvCxnSpPr>
        <xdr:cNvPr id="43436" name="CNtp94c11routev"/>
        <xdr:cNvCxnSpPr>
          <a:stCxn id="43415" idx="6"/>
          <a:endCxn id="43435" idx="2"/>
        </xdr:cNvCxnSpPr>
      </xdr:nvCxnSpPr>
      <xdr:spPr>
        <a:xfrm flipV="1">
          <a:off x="45234226" y="2809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238126</xdr:colOff>
      <xdr:row>23</xdr:row>
      <xdr:rowOff>238126</xdr:rowOff>
    </xdr:from>
    <xdr:to>
      <xdr:col>93</xdr:col>
      <xdr:colOff>238125</xdr:colOff>
      <xdr:row>28</xdr:row>
      <xdr:rowOff>238126</xdr:rowOff>
    </xdr:to>
    <xdr:cxnSp macro="">
      <xdr:nvCxnSpPr>
        <xdr:cNvPr id="43432" name="CNtp93c13routeb"/>
        <xdr:cNvCxnSpPr>
          <a:stCxn id="43409" idx="6"/>
          <a:endCxn id="43429" idx="2"/>
        </xdr:cNvCxnSpPr>
      </xdr:nvCxnSpPr>
      <xdr:spPr>
        <a:xfrm flipV="1">
          <a:off x="447579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238126</xdr:colOff>
      <xdr:row>23</xdr:row>
      <xdr:rowOff>238126</xdr:rowOff>
    </xdr:from>
    <xdr:to>
      <xdr:col>93</xdr:col>
      <xdr:colOff>238125</xdr:colOff>
      <xdr:row>24</xdr:row>
      <xdr:rowOff>238126</xdr:rowOff>
    </xdr:to>
    <xdr:cxnSp macro="">
      <xdr:nvCxnSpPr>
        <xdr:cNvPr id="43431" name="CNtp93c13routec"/>
        <xdr:cNvCxnSpPr>
          <a:stCxn id="43405" idx="6"/>
          <a:endCxn id="43429" idx="2"/>
        </xdr:cNvCxnSpPr>
      </xdr:nvCxnSpPr>
      <xdr:spPr>
        <a:xfrm flipV="1">
          <a:off x="4475797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238126</xdr:colOff>
      <xdr:row>23</xdr:row>
      <xdr:rowOff>238126</xdr:rowOff>
    </xdr:from>
    <xdr:to>
      <xdr:col>93</xdr:col>
      <xdr:colOff>238125</xdr:colOff>
      <xdr:row>24</xdr:row>
      <xdr:rowOff>238126</xdr:rowOff>
    </xdr:to>
    <xdr:cxnSp macro="">
      <xdr:nvCxnSpPr>
        <xdr:cNvPr id="43430" name="CNtp93c13routev"/>
        <xdr:cNvCxnSpPr>
          <a:stCxn id="43405" idx="6"/>
          <a:endCxn id="43429" idx="2"/>
        </xdr:cNvCxnSpPr>
      </xdr:nvCxnSpPr>
      <xdr:spPr>
        <a:xfrm flipV="1">
          <a:off x="4475797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238126</xdr:colOff>
      <xdr:row>18</xdr:row>
      <xdr:rowOff>238126</xdr:rowOff>
    </xdr:from>
    <xdr:to>
      <xdr:col>93</xdr:col>
      <xdr:colOff>238125</xdr:colOff>
      <xdr:row>18</xdr:row>
      <xdr:rowOff>250826</xdr:rowOff>
    </xdr:to>
    <xdr:cxnSp macro="">
      <xdr:nvCxnSpPr>
        <xdr:cNvPr id="43427" name="CNtp93c12routeb"/>
        <xdr:cNvCxnSpPr>
          <a:stCxn id="43402" idx="6"/>
          <a:endCxn id="43426" idx="2"/>
        </xdr:cNvCxnSpPr>
      </xdr:nvCxnSpPr>
      <xdr:spPr>
        <a:xfrm>
          <a:off x="4475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238126</xdr:colOff>
      <xdr:row>13</xdr:row>
      <xdr:rowOff>238126</xdr:rowOff>
    </xdr:from>
    <xdr:to>
      <xdr:col>93</xdr:col>
      <xdr:colOff>238125</xdr:colOff>
      <xdr:row>14</xdr:row>
      <xdr:rowOff>238126</xdr:rowOff>
    </xdr:to>
    <xdr:cxnSp macro="">
      <xdr:nvCxnSpPr>
        <xdr:cNvPr id="43421" name="CNtp93c12routec"/>
        <xdr:cNvCxnSpPr>
          <a:stCxn id="43398" idx="6"/>
          <a:endCxn id="43419" idx="2"/>
        </xdr:cNvCxnSpPr>
      </xdr:nvCxnSpPr>
      <xdr:spPr>
        <a:xfrm flipV="1">
          <a:off x="44757976" y="75723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238126</xdr:colOff>
      <xdr:row>13</xdr:row>
      <xdr:rowOff>238126</xdr:rowOff>
    </xdr:from>
    <xdr:to>
      <xdr:col>93</xdr:col>
      <xdr:colOff>238125</xdr:colOff>
      <xdr:row>14</xdr:row>
      <xdr:rowOff>238126</xdr:rowOff>
    </xdr:to>
    <xdr:cxnSp macro="">
      <xdr:nvCxnSpPr>
        <xdr:cNvPr id="43420" name="CNtp93c12routev"/>
        <xdr:cNvCxnSpPr>
          <a:stCxn id="43398" idx="6"/>
          <a:endCxn id="43419" idx="2"/>
        </xdr:cNvCxnSpPr>
      </xdr:nvCxnSpPr>
      <xdr:spPr>
        <a:xfrm flipV="1">
          <a:off x="44757976" y="75723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238126</xdr:colOff>
      <xdr:row>4</xdr:row>
      <xdr:rowOff>238126</xdr:rowOff>
    </xdr:from>
    <xdr:to>
      <xdr:col>93</xdr:col>
      <xdr:colOff>238125</xdr:colOff>
      <xdr:row>8</xdr:row>
      <xdr:rowOff>238126</xdr:rowOff>
    </xdr:to>
    <xdr:cxnSp macro="">
      <xdr:nvCxnSpPr>
        <xdr:cNvPr id="43417" name="CNtp93c11routeb"/>
        <xdr:cNvCxnSpPr>
          <a:stCxn id="43392" idx="6"/>
          <a:endCxn id="43415" idx="2"/>
        </xdr:cNvCxnSpPr>
      </xdr:nvCxnSpPr>
      <xdr:spPr>
        <a:xfrm>
          <a:off x="447579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238126</xdr:colOff>
      <xdr:row>4</xdr:row>
      <xdr:rowOff>238126</xdr:rowOff>
    </xdr:from>
    <xdr:to>
      <xdr:col>93</xdr:col>
      <xdr:colOff>238125</xdr:colOff>
      <xdr:row>8</xdr:row>
      <xdr:rowOff>238126</xdr:rowOff>
    </xdr:to>
    <xdr:cxnSp macro="">
      <xdr:nvCxnSpPr>
        <xdr:cNvPr id="43416" name="CNtp93c11routev"/>
        <xdr:cNvCxnSpPr>
          <a:stCxn id="43392" idx="6"/>
          <a:endCxn id="43415" idx="2"/>
        </xdr:cNvCxnSpPr>
      </xdr:nvCxnSpPr>
      <xdr:spPr>
        <a:xfrm>
          <a:off x="447579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238126</xdr:colOff>
      <xdr:row>4</xdr:row>
      <xdr:rowOff>238126</xdr:rowOff>
    </xdr:from>
    <xdr:to>
      <xdr:col>93</xdr:col>
      <xdr:colOff>238125</xdr:colOff>
      <xdr:row>4</xdr:row>
      <xdr:rowOff>250826</xdr:rowOff>
    </xdr:to>
    <xdr:cxnSp macro="">
      <xdr:nvCxnSpPr>
        <xdr:cNvPr id="43412" name="CNtp93c11routec"/>
        <xdr:cNvCxnSpPr>
          <a:stCxn id="43392" idx="6"/>
          <a:endCxn id="43411" idx="2"/>
        </xdr:cNvCxnSpPr>
      </xdr:nvCxnSpPr>
      <xdr:spPr>
        <a:xfrm>
          <a:off x="4475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238126</xdr:colOff>
      <xdr:row>28</xdr:row>
      <xdr:rowOff>238126</xdr:rowOff>
    </xdr:from>
    <xdr:to>
      <xdr:col>92</xdr:col>
      <xdr:colOff>238125</xdr:colOff>
      <xdr:row>28</xdr:row>
      <xdr:rowOff>250826</xdr:rowOff>
    </xdr:to>
    <xdr:cxnSp macro="">
      <xdr:nvCxnSpPr>
        <xdr:cNvPr id="43410" name="CNtp92c13routeb"/>
        <xdr:cNvCxnSpPr>
          <a:stCxn id="43388" idx="6"/>
          <a:endCxn id="43409" idx="2"/>
        </xdr:cNvCxnSpPr>
      </xdr:nvCxnSpPr>
      <xdr:spPr>
        <a:xfrm>
          <a:off x="4428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238126</xdr:colOff>
      <xdr:row>24</xdr:row>
      <xdr:rowOff>238126</xdr:rowOff>
    </xdr:from>
    <xdr:to>
      <xdr:col>92</xdr:col>
      <xdr:colOff>238125</xdr:colOff>
      <xdr:row>28</xdr:row>
      <xdr:rowOff>238126</xdr:rowOff>
    </xdr:to>
    <xdr:cxnSp macro="">
      <xdr:nvCxnSpPr>
        <xdr:cNvPr id="43407" name="CNtp92c13routec"/>
        <xdr:cNvCxnSpPr>
          <a:stCxn id="43388" idx="6"/>
          <a:endCxn id="43405" idx="2"/>
        </xdr:cNvCxnSpPr>
      </xdr:nvCxnSpPr>
      <xdr:spPr>
        <a:xfrm flipV="1">
          <a:off x="4428172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238126</xdr:colOff>
      <xdr:row>24</xdr:row>
      <xdr:rowOff>238126</xdr:rowOff>
    </xdr:from>
    <xdr:to>
      <xdr:col>92</xdr:col>
      <xdr:colOff>238125</xdr:colOff>
      <xdr:row>24</xdr:row>
      <xdr:rowOff>250826</xdr:rowOff>
    </xdr:to>
    <xdr:cxnSp macro="">
      <xdr:nvCxnSpPr>
        <xdr:cNvPr id="43406" name="CNtp92c13routev"/>
        <xdr:cNvCxnSpPr>
          <a:stCxn id="43383" idx="6"/>
          <a:endCxn id="43405" idx="2"/>
        </xdr:cNvCxnSpPr>
      </xdr:nvCxnSpPr>
      <xdr:spPr>
        <a:xfrm>
          <a:off x="442817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238126</xdr:colOff>
      <xdr:row>18</xdr:row>
      <xdr:rowOff>238126</xdr:rowOff>
    </xdr:from>
    <xdr:to>
      <xdr:col>92</xdr:col>
      <xdr:colOff>238125</xdr:colOff>
      <xdr:row>18</xdr:row>
      <xdr:rowOff>250826</xdr:rowOff>
    </xdr:to>
    <xdr:cxnSp macro="">
      <xdr:nvCxnSpPr>
        <xdr:cNvPr id="43403" name="CNtp92c12routeb"/>
        <xdr:cNvCxnSpPr>
          <a:stCxn id="43379" idx="6"/>
          <a:endCxn id="43402" idx="2"/>
        </xdr:cNvCxnSpPr>
      </xdr:nvCxnSpPr>
      <xdr:spPr>
        <a:xfrm>
          <a:off x="4428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238126</xdr:colOff>
      <xdr:row>14</xdr:row>
      <xdr:rowOff>238126</xdr:rowOff>
    </xdr:from>
    <xdr:to>
      <xdr:col>92</xdr:col>
      <xdr:colOff>238125</xdr:colOff>
      <xdr:row>18</xdr:row>
      <xdr:rowOff>238126</xdr:rowOff>
    </xdr:to>
    <xdr:cxnSp macro="">
      <xdr:nvCxnSpPr>
        <xdr:cNvPr id="43400" name="CNtp92c12routec"/>
        <xdr:cNvCxnSpPr>
          <a:stCxn id="43379" idx="6"/>
          <a:endCxn id="43398" idx="2"/>
        </xdr:cNvCxnSpPr>
      </xdr:nvCxnSpPr>
      <xdr:spPr>
        <a:xfrm flipV="1">
          <a:off x="442817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238126</xdr:colOff>
      <xdr:row>14</xdr:row>
      <xdr:rowOff>238126</xdr:rowOff>
    </xdr:from>
    <xdr:to>
      <xdr:col>92</xdr:col>
      <xdr:colOff>238125</xdr:colOff>
      <xdr:row>14</xdr:row>
      <xdr:rowOff>250826</xdr:rowOff>
    </xdr:to>
    <xdr:cxnSp macro="">
      <xdr:nvCxnSpPr>
        <xdr:cNvPr id="43399" name="CNtp92c12routev"/>
        <xdr:cNvCxnSpPr>
          <a:stCxn id="43374" idx="6"/>
          <a:endCxn id="43398" idx="2"/>
        </xdr:cNvCxnSpPr>
      </xdr:nvCxnSpPr>
      <xdr:spPr>
        <a:xfrm>
          <a:off x="4428172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238126</xdr:colOff>
      <xdr:row>4</xdr:row>
      <xdr:rowOff>238126</xdr:rowOff>
    </xdr:from>
    <xdr:to>
      <xdr:col>92</xdr:col>
      <xdr:colOff>238125</xdr:colOff>
      <xdr:row>8</xdr:row>
      <xdr:rowOff>238126</xdr:rowOff>
    </xdr:to>
    <xdr:cxnSp macro="">
      <xdr:nvCxnSpPr>
        <xdr:cNvPr id="43395" name="CNtp92c11routeb"/>
        <xdr:cNvCxnSpPr>
          <a:stCxn id="43371" idx="6"/>
          <a:endCxn id="43392" idx="2"/>
        </xdr:cNvCxnSpPr>
      </xdr:nvCxnSpPr>
      <xdr:spPr>
        <a:xfrm flipV="1">
          <a:off x="4428172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238126</xdr:colOff>
      <xdr:row>4</xdr:row>
      <xdr:rowOff>238126</xdr:rowOff>
    </xdr:from>
    <xdr:to>
      <xdr:col>92</xdr:col>
      <xdr:colOff>238125</xdr:colOff>
      <xdr:row>4</xdr:row>
      <xdr:rowOff>250826</xdr:rowOff>
    </xdr:to>
    <xdr:cxnSp macro="">
      <xdr:nvCxnSpPr>
        <xdr:cNvPr id="43394" name="CNtp92c11routec"/>
        <xdr:cNvCxnSpPr>
          <a:stCxn id="43365" idx="6"/>
          <a:endCxn id="43392" idx="2"/>
        </xdr:cNvCxnSpPr>
      </xdr:nvCxnSpPr>
      <xdr:spPr>
        <a:xfrm>
          <a:off x="4428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238126</xdr:colOff>
      <xdr:row>4</xdr:row>
      <xdr:rowOff>238126</xdr:rowOff>
    </xdr:from>
    <xdr:to>
      <xdr:col>92</xdr:col>
      <xdr:colOff>238125</xdr:colOff>
      <xdr:row>4</xdr:row>
      <xdr:rowOff>250826</xdr:rowOff>
    </xdr:to>
    <xdr:cxnSp macro="">
      <xdr:nvCxnSpPr>
        <xdr:cNvPr id="43393" name="CNtp92c11routev"/>
        <xdr:cNvCxnSpPr>
          <a:stCxn id="43365" idx="6"/>
          <a:endCxn id="43392" idx="2"/>
        </xdr:cNvCxnSpPr>
      </xdr:nvCxnSpPr>
      <xdr:spPr>
        <a:xfrm>
          <a:off x="4428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238126</xdr:colOff>
      <xdr:row>24</xdr:row>
      <xdr:rowOff>238126</xdr:rowOff>
    </xdr:from>
    <xdr:to>
      <xdr:col>91</xdr:col>
      <xdr:colOff>238125</xdr:colOff>
      <xdr:row>28</xdr:row>
      <xdr:rowOff>238126</xdr:rowOff>
    </xdr:to>
    <xdr:cxnSp macro="">
      <xdr:nvCxnSpPr>
        <xdr:cNvPr id="43390" name="CNtp91c13routeb"/>
        <xdr:cNvCxnSpPr>
          <a:stCxn id="43360" idx="6"/>
          <a:endCxn id="43388" idx="2"/>
        </xdr:cNvCxnSpPr>
      </xdr:nvCxnSpPr>
      <xdr:spPr>
        <a:xfrm>
          <a:off x="438054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238126</xdr:colOff>
      <xdr:row>24</xdr:row>
      <xdr:rowOff>238126</xdr:rowOff>
    </xdr:from>
    <xdr:to>
      <xdr:col>91</xdr:col>
      <xdr:colOff>238125</xdr:colOff>
      <xdr:row>28</xdr:row>
      <xdr:rowOff>238126</xdr:rowOff>
    </xdr:to>
    <xdr:cxnSp macro="">
      <xdr:nvCxnSpPr>
        <xdr:cNvPr id="43389" name="CNtp91c13routec"/>
        <xdr:cNvCxnSpPr>
          <a:stCxn id="43360" idx="6"/>
          <a:endCxn id="43388" idx="2"/>
        </xdr:cNvCxnSpPr>
      </xdr:nvCxnSpPr>
      <xdr:spPr>
        <a:xfrm>
          <a:off x="438054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238126</xdr:colOff>
      <xdr:row>24</xdr:row>
      <xdr:rowOff>238126</xdr:rowOff>
    </xdr:from>
    <xdr:to>
      <xdr:col>91</xdr:col>
      <xdr:colOff>238125</xdr:colOff>
      <xdr:row>24</xdr:row>
      <xdr:rowOff>250826</xdr:rowOff>
    </xdr:to>
    <xdr:cxnSp macro="">
      <xdr:nvCxnSpPr>
        <xdr:cNvPr id="43384" name="CNtp91c13routev"/>
        <xdr:cNvCxnSpPr>
          <a:stCxn id="43360" idx="6"/>
          <a:endCxn id="43383" idx="2"/>
        </xdr:cNvCxnSpPr>
      </xdr:nvCxnSpPr>
      <xdr:spPr>
        <a:xfrm>
          <a:off x="438054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238126</xdr:colOff>
      <xdr:row>14</xdr:row>
      <xdr:rowOff>238126</xdr:rowOff>
    </xdr:from>
    <xdr:to>
      <xdr:col>91</xdr:col>
      <xdr:colOff>238125</xdr:colOff>
      <xdr:row>18</xdr:row>
      <xdr:rowOff>238126</xdr:rowOff>
    </xdr:to>
    <xdr:cxnSp macro="">
      <xdr:nvCxnSpPr>
        <xdr:cNvPr id="43381" name="CNtp91c12routeb"/>
        <xdr:cNvCxnSpPr>
          <a:stCxn id="43355" idx="6"/>
          <a:endCxn id="43379" idx="2"/>
        </xdr:cNvCxnSpPr>
      </xdr:nvCxnSpPr>
      <xdr:spPr>
        <a:xfrm>
          <a:off x="438054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238126</xdr:colOff>
      <xdr:row>14</xdr:row>
      <xdr:rowOff>238126</xdr:rowOff>
    </xdr:from>
    <xdr:to>
      <xdr:col>91</xdr:col>
      <xdr:colOff>238125</xdr:colOff>
      <xdr:row>18</xdr:row>
      <xdr:rowOff>238126</xdr:rowOff>
    </xdr:to>
    <xdr:cxnSp macro="">
      <xdr:nvCxnSpPr>
        <xdr:cNvPr id="43380" name="CNtp91c12routec"/>
        <xdr:cNvCxnSpPr>
          <a:stCxn id="43355" idx="6"/>
          <a:endCxn id="43379" idx="2"/>
        </xdr:cNvCxnSpPr>
      </xdr:nvCxnSpPr>
      <xdr:spPr>
        <a:xfrm>
          <a:off x="438054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238126</xdr:colOff>
      <xdr:row>14</xdr:row>
      <xdr:rowOff>238126</xdr:rowOff>
    </xdr:from>
    <xdr:to>
      <xdr:col>91</xdr:col>
      <xdr:colOff>238125</xdr:colOff>
      <xdr:row>14</xdr:row>
      <xdr:rowOff>250826</xdr:rowOff>
    </xdr:to>
    <xdr:cxnSp macro="">
      <xdr:nvCxnSpPr>
        <xdr:cNvPr id="43375" name="CNtp91c12routev"/>
        <xdr:cNvCxnSpPr>
          <a:stCxn id="43355" idx="6"/>
          <a:endCxn id="43374" idx="2"/>
        </xdr:cNvCxnSpPr>
      </xdr:nvCxnSpPr>
      <xdr:spPr>
        <a:xfrm>
          <a:off x="4380547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238126</xdr:colOff>
      <xdr:row>4</xdr:row>
      <xdr:rowOff>238126</xdr:rowOff>
    </xdr:from>
    <xdr:to>
      <xdr:col>91</xdr:col>
      <xdr:colOff>238125</xdr:colOff>
      <xdr:row>8</xdr:row>
      <xdr:rowOff>238126</xdr:rowOff>
    </xdr:to>
    <xdr:cxnSp macro="">
      <xdr:nvCxnSpPr>
        <xdr:cNvPr id="43372" name="CNtp91c11routeb"/>
        <xdr:cNvCxnSpPr>
          <a:stCxn id="43350" idx="6"/>
          <a:endCxn id="43371" idx="2"/>
        </xdr:cNvCxnSpPr>
      </xdr:nvCxnSpPr>
      <xdr:spPr>
        <a:xfrm>
          <a:off x="438054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238126</xdr:colOff>
      <xdr:row>4</xdr:row>
      <xdr:rowOff>238126</xdr:rowOff>
    </xdr:from>
    <xdr:to>
      <xdr:col>91</xdr:col>
      <xdr:colOff>238125</xdr:colOff>
      <xdr:row>4</xdr:row>
      <xdr:rowOff>250826</xdr:rowOff>
    </xdr:to>
    <xdr:cxnSp macro="">
      <xdr:nvCxnSpPr>
        <xdr:cNvPr id="43367" name="CNtp91c11routec"/>
        <xdr:cNvCxnSpPr>
          <a:stCxn id="43350" idx="6"/>
          <a:endCxn id="43365" idx="2"/>
        </xdr:cNvCxnSpPr>
      </xdr:nvCxnSpPr>
      <xdr:spPr>
        <a:xfrm>
          <a:off x="4380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238126</xdr:colOff>
      <xdr:row>4</xdr:row>
      <xdr:rowOff>238126</xdr:rowOff>
    </xdr:from>
    <xdr:to>
      <xdr:col>91</xdr:col>
      <xdr:colOff>238125</xdr:colOff>
      <xdr:row>4</xdr:row>
      <xdr:rowOff>250826</xdr:rowOff>
    </xdr:to>
    <xdr:cxnSp macro="">
      <xdr:nvCxnSpPr>
        <xdr:cNvPr id="43366" name="CNtp91c11routev"/>
        <xdr:cNvCxnSpPr>
          <a:stCxn id="43350" idx="6"/>
          <a:endCxn id="43365" idx="2"/>
        </xdr:cNvCxnSpPr>
      </xdr:nvCxnSpPr>
      <xdr:spPr>
        <a:xfrm>
          <a:off x="4380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238126</xdr:colOff>
      <xdr:row>24</xdr:row>
      <xdr:rowOff>238126</xdr:rowOff>
    </xdr:from>
    <xdr:to>
      <xdr:col>90</xdr:col>
      <xdr:colOff>238125</xdr:colOff>
      <xdr:row>28</xdr:row>
      <xdr:rowOff>238126</xdr:rowOff>
    </xdr:to>
    <xdr:cxnSp macro="">
      <xdr:nvCxnSpPr>
        <xdr:cNvPr id="43363" name="CNtp90c13routeb"/>
        <xdr:cNvCxnSpPr>
          <a:stCxn id="43346" idx="6"/>
          <a:endCxn id="43360" idx="2"/>
        </xdr:cNvCxnSpPr>
      </xdr:nvCxnSpPr>
      <xdr:spPr>
        <a:xfrm flipV="1">
          <a:off x="4332922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238126</xdr:colOff>
      <xdr:row>24</xdr:row>
      <xdr:rowOff>238126</xdr:rowOff>
    </xdr:from>
    <xdr:to>
      <xdr:col>90</xdr:col>
      <xdr:colOff>238125</xdr:colOff>
      <xdr:row>28</xdr:row>
      <xdr:rowOff>238126</xdr:rowOff>
    </xdr:to>
    <xdr:cxnSp macro="">
      <xdr:nvCxnSpPr>
        <xdr:cNvPr id="43362" name="CNtp90c13routec"/>
        <xdr:cNvCxnSpPr>
          <a:stCxn id="43346" idx="6"/>
          <a:endCxn id="43360" idx="2"/>
        </xdr:cNvCxnSpPr>
      </xdr:nvCxnSpPr>
      <xdr:spPr>
        <a:xfrm flipV="1">
          <a:off x="4332922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238126</xdr:colOff>
      <xdr:row>24</xdr:row>
      <xdr:rowOff>238126</xdr:rowOff>
    </xdr:from>
    <xdr:to>
      <xdr:col>90</xdr:col>
      <xdr:colOff>238125</xdr:colOff>
      <xdr:row>24</xdr:row>
      <xdr:rowOff>250826</xdr:rowOff>
    </xdr:to>
    <xdr:cxnSp macro="">
      <xdr:nvCxnSpPr>
        <xdr:cNvPr id="43361" name="CNtp90c13routev"/>
        <xdr:cNvCxnSpPr>
          <a:stCxn id="43343" idx="6"/>
          <a:endCxn id="43360" idx="2"/>
        </xdr:cNvCxnSpPr>
      </xdr:nvCxnSpPr>
      <xdr:spPr>
        <a:xfrm>
          <a:off x="433292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238126</xdr:colOff>
      <xdr:row>14</xdr:row>
      <xdr:rowOff>238126</xdr:rowOff>
    </xdr:from>
    <xdr:to>
      <xdr:col>90</xdr:col>
      <xdr:colOff>238125</xdr:colOff>
      <xdr:row>14</xdr:row>
      <xdr:rowOff>250826</xdr:rowOff>
    </xdr:to>
    <xdr:cxnSp macro="">
      <xdr:nvCxnSpPr>
        <xdr:cNvPr id="43358" name="CNtp90c12routeb"/>
        <xdr:cNvCxnSpPr>
          <a:stCxn id="43337" idx="6"/>
          <a:endCxn id="43355" idx="2"/>
        </xdr:cNvCxnSpPr>
      </xdr:nvCxnSpPr>
      <xdr:spPr>
        <a:xfrm>
          <a:off x="4332922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238126</xdr:colOff>
      <xdr:row>14</xdr:row>
      <xdr:rowOff>238126</xdr:rowOff>
    </xdr:from>
    <xdr:to>
      <xdr:col>90</xdr:col>
      <xdr:colOff>238125</xdr:colOff>
      <xdr:row>18</xdr:row>
      <xdr:rowOff>238126</xdr:rowOff>
    </xdr:to>
    <xdr:cxnSp macro="">
      <xdr:nvCxnSpPr>
        <xdr:cNvPr id="43357" name="CNtp90c12routec"/>
        <xdr:cNvCxnSpPr>
          <a:stCxn id="43340" idx="6"/>
          <a:endCxn id="43355" idx="2"/>
        </xdr:cNvCxnSpPr>
      </xdr:nvCxnSpPr>
      <xdr:spPr>
        <a:xfrm flipV="1">
          <a:off x="433292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238126</xdr:colOff>
      <xdr:row>14</xdr:row>
      <xdr:rowOff>238126</xdr:rowOff>
    </xdr:from>
    <xdr:to>
      <xdr:col>90</xdr:col>
      <xdr:colOff>238125</xdr:colOff>
      <xdr:row>14</xdr:row>
      <xdr:rowOff>250826</xdr:rowOff>
    </xdr:to>
    <xdr:cxnSp macro="">
      <xdr:nvCxnSpPr>
        <xdr:cNvPr id="43356" name="CNtp90c12routev"/>
        <xdr:cNvCxnSpPr>
          <a:stCxn id="43337" idx="6"/>
          <a:endCxn id="43355" idx="2"/>
        </xdr:cNvCxnSpPr>
      </xdr:nvCxnSpPr>
      <xdr:spPr>
        <a:xfrm>
          <a:off x="4332922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238126</xdr:colOff>
      <xdr:row>4</xdr:row>
      <xdr:rowOff>238126</xdr:rowOff>
    </xdr:from>
    <xdr:to>
      <xdr:col>90</xdr:col>
      <xdr:colOff>238125</xdr:colOff>
      <xdr:row>4</xdr:row>
      <xdr:rowOff>250826</xdr:rowOff>
    </xdr:to>
    <xdr:cxnSp macro="">
      <xdr:nvCxnSpPr>
        <xdr:cNvPr id="43353" name="CNtp90c11routeb"/>
        <xdr:cNvCxnSpPr>
          <a:stCxn id="43331" idx="6"/>
          <a:endCxn id="43350" idx="2"/>
        </xdr:cNvCxnSpPr>
      </xdr:nvCxnSpPr>
      <xdr:spPr>
        <a:xfrm>
          <a:off x="4332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238126</xdr:colOff>
      <xdr:row>4</xdr:row>
      <xdr:rowOff>238126</xdr:rowOff>
    </xdr:from>
    <xdr:to>
      <xdr:col>90</xdr:col>
      <xdr:colOff>238125</xdr:colOff>
      <xdr:row>4</xdr:row>
      <xdr:rowOff>250826</xdr:rowOff>
    </xdr:to>
    <xdr:cxnSp macro="">
      <xdr:nvCxnSpPr>
        <xdr:cNvPr id="43352" name="CNtp90c11routec"/>
        <xdr:cNvCxnSpPr>
          <a:stCxn id="43331" idx="6"/>
          <a:endCxn id="43350" idx="2"/>
        </xdr:cNvCxnSpPr>
      </xdr:nvCxnSpPr>
      <xdr:spPr>
        <a:xfrm>
          <a:off x="4332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238126</xdr:colOff>
      <xdr:row>4</xdr:row>
      <xdr:rowOff>238126</xdr:rowOff>
    </xdr:from>
    <xdr:to>
      <xdr:col>90</xdr:col>
      <xdr:colOff>238125</xdr:colOff>
      <xdr:row>4</xdr:row>
      <xdr:rowOff>250826</xdr:rowOff>
    </xdr:to>
    <xdr:cxnSp macro="">
      <xdr:nvCxnSpPr>
        <xdr:cNvPr id="43351" name="CNtp90c11routev"/>
        <xdr:cNvCxnSpPr>
          <a:stCxn id="43331" idx="6"/>
          <a:endCxn id="43350" idx="2"/>
        </xdr:cNvCxnSpPr>
      </xdr:nvCxnSpPr>
      <xdr:spPr>
        <a:xfrm>
          <a:off x="4332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238126</xdr:colOff>
      <xdr:row>24</xdr:row>
      <xdr:rowOff>238126</xdr:rowOff>
    </xdr:from>
    <xdr:to>
      <xdr:col>89</xdr:col>
      <xdr:colOff>238125</xdr:colOff>
      <xdr:row>28</xdr:row>
      <xdr:rowOff>238126</xdr:rowOff>
    </xdr:to>
    <xdr:cxnSp macro="">
      <xdr:nvCxnSpPr>
        <xdr:cNvPr id="43348" name="CNtp89c13routeb"/>
        <xdr:cNvCxnSpPr>
          <a:stCxn id="43326" idx="6"/>
          <a:endCxn id="43346" idx="2"/>
        </xdr:cNvCxnSpPr>
      </xdr:nvCxnSpPr>
      <xdr:spPr>
        <a:xfrm>
          <a:off x="428529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238126</xdr:colOff>
      <xdr:row>24</xdr:row>
      <xdr:rowOff>238126</xdr:rowOff>
    </xdr:from>
    <xdr:to>
      <xdr:col>89</xdr:col>
      <xdr:colOff>238125</xdr:colOff>
      <xdr:row>28</xdr:row>
      <xdr:rowOff>238126</xdr:rowOff>
    </xdr:to>
    <xdr:cxnSp macro="">
      <xdr:nvCxnSpPr>
        <xdr:cNvPr id="43347" name="CNtp89c13routec"/>
        <xdr:cNvCxnSpPr>
          <a:stCxn id="43326" idx="6"/>
          <a:endCxn id="43346" idx="2"/>
        </xdr:cNvCxnSpPr>
      </xdr:nvCxnSpPr>
      <xdr:spPr>
        <a:xfrm>
          <a:off x="428529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238126</xdr:colOff>
      <xdr:row>24</xdr:row>
      <xdr:rowOff>238126</xdr:rowOff>
    </xdr:from>
    <xdr:to>
      <xdr:col>89</xdr:col>
      <xdr:colOff>238125</xdr:colOff>
      <xdr:row>24</xdr:row>
      <xdr:rowOff>250826</xdr:rowOff>
    </xdr:to>
    <xdr:cxnSp macro="">
      <xdr:nvCxnSpPr>
        <xdr:cNvPr id="43344" name="CNtp89c13routev"/>
        <xdr:cNvCxnSpPr>
          <a:stCxn id="43326" idx="6"/>
          <a:endCxn id="43343" idx="2"/>
        </xdr:cNvCxnSpPr>
      </xdr:nvCxnSpPr>
      <xdr:spPr>
        <a:xfrm>
          <a:off x="428529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238126</xdr:colOff>
      <xdr:row>14</xdr:row>
      <xdr:rowOff>238126</xdr:rowOff>
    </xdr:from>
    <xdr:to>
      <xdr:col>89</xdr:col>
      <xdr:colOff>238125</xdr:colOff>
      <xdr:row>18</xdr:row>
      <xdr:rowOff>238126</xdr:rowOff>
    </xdr:to>
    <xdr:cxnSp macro="">
      <xdr:nvCxnSpPr>
        <xdr:cNvPr id="43341" name="CNtp89c12routec"/>
        <xdr:cNvCxnSpPr>
          <a:stCxn id="43321" idx="6"/>
          <a:endCxn id="43340" idx="2"/>
        </xdr:cNvCxnSpPr>
      </xdr:nvCxnSpPr>
      <xdr:spPr>
        <a:xfrm>
          <a:off x="428529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238126</xdr:colOff>
      <xdr:row>14</xdr:row>
      <xdr:rowOff>238126</xdr:rowOff>
    </xdr:from>
    <xdr:to>
      <xdr:col>89</xdr:col>
      <xdr:colOff>238125</xdr:colOff>
      <xdr:row>14</xdr:row>
      <xdr:rowOff>250826</xdr:rowOff>
    </xdr:to>
    <xdr:cxnSp macro="">
      <xdr:nvCxnSpPr>
        <xdr:cNvPr id="43339" name="CNtp89c12routeb"/>
        <xdr:cNvCxnSpPr>
          <a:stCxn id="43321" idx="6"/>
          <a:endCxn id="43337" idx="2"/>
        </xdr:cNvCxnSpPr>
      </xdr:nvCxnSpPr>
      <xdr:spPr>
        <a:xfrm>
          <a:off x="4285297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238126</xdr:colOff>
      <xdr:row>14</xdr:row>
      <xdr:rowOff>238126</xdr:rowOff>
    </xdr:from>
    <xdr:to>
      <xdr:col>89</xdr:col>
      <xdr:colOff>238125</xdr:colOff>
      <xdr:row>14</xdr:row>
      <xdr:rowOff>250826</xdr:rowOff>
    </xdr:to>
    <xdr:cxnSp macro="">
      <xdr:nvCxnSpPr>
        <xdr:cNvPr id="43338" name="CNtp89c12routev"/>
        <xdr:cNvCxnSpPr>
          <a:stCxn id="43321" idx="6"/>
          <a:endCxn id="43337" idx="2"/>
        </xdr:cNvCxnSpPr>
      </xdr:nvCxnSpPr>
      <xdr:spPr>
        <a:xfrm>
          <a:off x="4285297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238126</xdr:colOff>
      <xdr:row>4</xdr:row>
      <xdr:rowOff>238126</xdr:rowOff>
    </xdr:from>
    <xdr:to>
      <xdr:col>89</xdr:col>
      <xdr:colOff>238125</xdr:colOff>
      <xdr:row>4</xdr:row>
      <xdr:rowOff>250826</xdr:rowOff>
    </xdr:to>
    <xdr:cxnSp macro="">
      <xdr:nvCxnSpPr>
        <xdr:cNvPr id="43334" name="CNtp89c11routeb"/>
        <xdr:cNvCxnSpPr>
          <a:stCxn id="43316" idx="6"/>
          <a:endCxn id="43331" idx="2"/>
        </xdr:cNvCxnSpPr>
      </xdr:nvCxnSpPr>
      <xdr:spPr>
        <a:xfrm>
          <a:off x="4285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238126</xdr:colOff>
      <xdr:row>4</xdr:row>
      <xdr:rowOff>238126</xdr:rowOff>
    </xdr:from>
    <xdr:to>
      <xdr:col>89</xdr:col>
      <xdr:colOff>238125</xdr:colOff>
      <xdr:row>4</xdr:row>
      <xdr:rowOff>250826</xdr:rowOff>
    </xdr:to>
    <xdr:cxnSp macro="">
      <xdr:nvCxnSpPr>
        <xdr:cNvPr id="43333" name="CNtp89c11routec"/>
        <xdr:cNvCxnSpPr>
          <a:stCxn id="43316" idx="6"/>
          <a:endCxn id="43331" idx="2"/>
        </xdr:cNvCxnSpPr>
      </xdr:nvCxnSpPr>
      <xdr:spPr>
        <a:xfrm>
          <a:off x="4285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238126</xdr:colOff>
      <xdr:row>4</xdr:row>
      <xdr:rowOff>238126</xdr:rowOff>
    </xdr:from>
    <xdr:to>
      <xdr:col>89</xdr:col>
      <xdr:colOff>238125</xdr:colOff>
      <xdr:row>4</xdr:row>
      <xdr:rowOff>250826</xdr:rowOff>
    </xdr:to>
    <xdr:cxnSp macro="">
      <xdr:nvCxnSpPr>
        <xdr:cNvPr id="43332" name="CNtp89c11routev"/>
        <xdr:cNvCxnSpPr>
          <a:stCxn id="43316" idx="6"/>
          <a:endCxn id="43331" idx="2"/>
        </xdr:cNvCxnSpPr>
      </xdr:nvCxnSpPr>
      <xdr:spPr>
        <a:xfrm>
          <a:off x="4285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238126</xdr:colOff>
      <xdr:row>24</xdr:row>
      <xdr:rowOff>238126</xdr:rowOff>
    </xdr:from>
    <xdr:to>
      <xdr:col>88</xdr:col>
      <xdr:colOff>238125</xdr:colOff>
      <xdr:row>24</xdr:row>
      <xdr:rowOff>250826</xdr:rowOff>
    </xdr:to>
    <xdr:cxnSp macro="">
      <xdr:nvCxnSpPr>
        <xdr:cNvPr id="43329" name="CNtp88c13routeb"/>
        <xdr:cNvCxnSpPr>
          <a:stCxn id="43310" idx="6"/>
          <a:endCxn id="43326" idx="2"/>
        </xdr:cNvCxnSpPr>
      </xdr:nvCxnSpPr>
      <xdr:spPr>
        <a:xfrm>
          <a:off x="423767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238126</xdr:colOff>
      <xdr:row>24</xdr:row>
      <xdr:rowOff>238126</xdr:rowOff>
    </xdr:from>
    <xdr:to>
      <xdr:col>88</xdr:col>
      <xdr:colOff>238125</xdr:colOff>
      <xdr:row>28</xdr:row>
      <xdr:rowOff>238126</xdr:rowOff>
    </xdr:to>
    <xdr:cxnSp macro="">
      <xdr:nvCxnSpPr>
        <xdr:cNvPr id="43328" name="CNtp88c13routec"/>
        <xdr:cNvCxnSpPr>
          <a:stCxn id="43313" idx="6"/>
          <a:endCxn id="43326" idx="2"/>
        </xdr:cNvCxnSpPr>
      </xdr:nvCxnSpPr>
      <xdr:spPr>
        <a:xfrm flipV="1">
          <a:off x="4237672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238126</xdr:colOff>
      <xdr:row>24</xdr:row>
      <xdr:rowOff>238126</xdr:rowOff>
    </xdr:from>
    <xdr:to>
      <xdr:col>88</xdr:col>
      <xdr:colOff>238125</xdr:colOff>
      <xdr:row>24</xdr:row>
      <xdr:rowOff>250826</xdr:rowOff>
    </xdr:to>
    <xdr:cxnSp macro="">
      <xdr:nvCxnSpPr>
        <xdr:cNvPr id="43327" name="CNtp88c13routev"/>
        <xdr:cNvCxnSpPr>
          <a:stCxn id="43310" idx="6"/>
          <a:endCxn id="43326" idx="2"/>
        </xdr:cNvCxnSpPr>
      </xdr:nvCxnSpPr>
      <xdr:spPr>
        <a:xfrm>
          <a:off x="423767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238126</xdr:colOff>
      <xdr:row>14</xdr:row>
      <xdr:rowOff>238126</xdr:rowOff>
    </xdr:from>
    <xdr:to>
      <xdr:col>88</xdr:col>
      <xdr:colOff>238125</xdr:colOff>
      <xdr:row>18</xdr:row>
      <xdr:rowOff>238126</xdr:rowOff>
    </xdr:to>
    <xdr:cxnSp macro="">
      <xdr:nvCxnSpPr>
        <xdr:cNvPr id="43324" name="CNtp88c12routeb"/>
        <xdr:cNvCxnSpPr>
          <a:stCxn id="43306" idx="6"/>
          <a:endCxn id="43321" idx="2"/>
        </xdr:cNvCxnSpPr>
      </xdr:nvCxnSpPr>
      <xdr:spPr>
        <a:xfrm flipV="1">
          <a:off x="423767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238126</xdr:colOff>
      <xdr:row>14</xdr:row>
      <xdr:rowOff>238126</xdr:rowOff>
    </xdr:from>
    <xdr:to>
      <xdr:col>88</xdr:col>
      <xdr:colOff>238125</xdr:colOff>
      <xdr:row>18</xdr:row>
      <xdr:rowOff>238126</xdr:rowOff>
    </xdr:to>
    <xdr:cxnSp macro="">
      <xdr:nvCxnSpPr>
        <xdr:cNvPr id="43323" name="CNtp88c12routec"/>
        <xdr:cNvCxnSpPr>
          <a:stCxn id="43306" idx="6"/>
          <a:endCxn id="43321" idx="2"/>
        </xdr:cNvCxnSpPr>
      </xdr:nvCxnSpPr>
      <xdr:spPr>
        <a:xfrm flipV="1">
          <a:off x="423767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238126</xdr:colOff>
      <xdr:row>14</xdr:row>
      <xdr:rowOff>238126</xdr:rowOff>
    </xdr:from>
    <xdr:to>
      <xdr:col>88</xdr:col>
      <xdr:colOff>238125</xdr:colOff>
      <xdr:row>14</xdr:row>
      <xdr:rowOff>250826</xdr:rowOff>
    </xdr:to>
    <xdr:cxnSp macro="">
      <xdr:nvCxnSpPr>
        <xdr:cNvPr id="43322" name="CNtp88c12routev"/>
        <xdr:cNvCxnSpPr>
          <a:stCxn id="43301" idx="6"/>
          <a:endCxn id="43321" idx="2"/>
        </xdr:cNvCxnSpPr>
      </xdr:nvCxnSpPr>
      <xdr:spPr>
        <a:xfrm>
          <a:off x="4237672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238126</xdr:colOff>
      <xdr:row>4</xdr:row>
      <xdr:rowOff>238126</xdr:rowOff>
    </xdr:from>
    <xdr:to>
      <xdr:col>88</xdr:col>
      <xdr:colOff>238125</xdr:colOff>
      <xdr:row>4</xdr:row>
      <xdr:rowOff>250826</xdr:rowOff>
    </xdr:to>
    <xdr:cxnSp macro="">
      <xdr:nvCxnSpPr>
        <xdr:cNvPr id="43319" name="CNtp88c11routeb"/>
        <xdr:cNvCxnSpPr>
          <a:stCxn id="43295" idx="6"/>
          <a:endCxn id="43316" idx="2"/>
        </xdr:cNvCxnSpPr>
      </xdr:nvCxnSpPr>
      <xdr:spPr>
        <a:xfrm>
          <a:off x="4237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238126</xdr:colOff>
      <xdr:row>4</xdr:row>
      <xdr:rowOff>238126</xdr:rowOff>
    </xdr:from>
    <xdr:to>
      <xdr:col>88</xdr:col>
      <xdr:colOff>238125</xdr:colOff>
      <xdr:row>4</xdr:row>
      <xdr:rowOff>250826</xdr:rowOff>
    </xdr:to>
    <xdr:cxnSp macro="">
      <xdr:nvCxnSpPr>
        <xdr:cNvPr id="43318" name="CNtp88c11routec"/>
        <xdr:cNvCxnSpPr>
          <a:stCxn id="43295" idx="6"/>
          <a:endCxn id="43316" idx="2"/>
        </xdr:cNvCxnSpPr>
      </xdr:nvCxnSpPr>
      <xdr:spPr>
        <a:xfrm>
          <a:off x="4237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238126</xdr:colOff>
      <xdr:row>4</xdr:row>
      <xdr:rowOff>238126</xdr:rowOff>
    </xdr:from>
    <xdr:to>
      <xdr:col>88</xdr:col>
      <xdr:colOff>238125</xdr:colOff>
      <xdr:row>4</xdr:row>
      <xdr:rowOff>250826</xdr:rowOff>
    </xdr:to>
    <xdr:cxnSp macro="">
      <xdr:nvCxnSpPr>
        <xdr:cNvPr id="43317" name="CNtp88c11routev"/>
        <xdr:cNvCxnSpPr>
          <a:stCxn id="43295" idx="6"/>
          <a:endCxn id="43316" idx="2"/>
        </xdr:cNvCxnSpPr>
      </xdr:nvCxnSpPr>
      <xdr:spPr>
        <a:xfrm>
          <a:off x="4237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238126</xdr:colOff>
      <xdr:row>28</xdr:row>
      <xdr:rowOff>238126</xdr:rowOff>
    </xdr:from>
    <xdr:to>
      <xdr:col>87</xdr:col>
      <xdr:colOff>238125</xdr:colOff>
      <xdr:row>28</xdr:row>
      <xdr:rowOff>250826</xdr:rowOff>
    </xdr:to>
    <xdr:cxnSp macro="">
      <xdr:nvCxnSpPr>
        <xdr:cNvPr id="43314" name="CNtp87c13routec"/>
        <xdr:cNvCxnSpPr>
          <a:stCxn id="43292" idx="6"/>
          <a:endCxn id="43313" idx="2"/>
        </xdr:cNvCxnSpPr>
      </xdr:nvCxnSpPr>
      <xdr:spPr>
        <a:xfrm>
          <a:off x="4190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238126</xdr:colOff>
      <xdr:row>24</xdr:row>
      <xdr:rowOff>238126</xdr:rowOff>
    </xdr:from>
    <xdr:to>
      <xdr:col>87</xdr:col>
      <xdr:colOff>238125</xdr:colOff>
      <xdr:row>24</xdr:row>
      <xdr:rowOff>250826</xdr:rowOff>
    </xdr:to>
    <xdr:cxnSp macro="">
      <xdr:nvCxnSpPr>
        <xdr:cNvPr id="43312" name="CNtp87c13routeb"/>
        <xdr:cNvCxnSpPr>
          <a:stCxn id="43289" idx="6"/>
          <a:endCxn id="43310" idx="2"/>
        </xdr:cNvCxnSpPr>
      </xdr:nvCxnSpPr>
      <xdr:spPr>
        <a:xfrm>
          <a:off x="419004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238126</xdr:colOff>
      <xdr:row>24</xdr:row>
      <xdr:rowOff>238126</xdr:rowOff>
    </xdr:from>
    <xdr:to>
      <xdr:col>87</xdr:col>
      <xdr:colOff>238125</xdr:colOff>
      <xdr:row>24</xdr:row>
      <xdr:rowOff>250826</xdr:rowOff>
    </xdr:to>
    <xdr:cxnSp macro="">
      <xdr:nvCxnSpPr>
        <xdr:cNvPr id="43311" name="CNtp87c13routev"/>
        <xdr:cNvCxnSpPr>
          <a:stCxn id="43289" idx="6"/>
          <a:endCxn id="43310" idx="2"/>
        </xdr:cNvCxnSpPr>
      </xdr:nvCxnSpPr>
      <xdr:spPr>
        <a:xfrm>
          <a:off x="419004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238126</xdr:colOff>
      <xdr:row>18</xdr:row>
      <xdr:rowOff>238126</xdr:rowOff>
    </xdr:from>
    <xdr:to>
      <xdr:col>87</xdr:col>
      <xdr:colOff>238125</xdr:colOff>
      <xdr:row>18</xdr:row>
      <xdr:rowOff>250826</xdr:rowOff>
    </xdr:to>
    <xdr:cxnSp macro="">
      <xdr:nvCxnSpPr>
        <xdr:cNvPr id="43308" name="CNtp87c12routeb"/>
        <xdr:cNvCxnSpPr>
          <a:stCxn id="43285" idx="6"/>
          <a:endCxn id="43306" idx="2"/>
        </xdr:cNvCxnSpPr>
      </xdr:nvCxnSpPr>
      <xdr:spPr>
        <a:xfrm>
          <a:off x="4190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238126</xdr:colOff>
      <xdr:row>18</xdr:row>
      <xdr:rowOff>238126</xdr:rowOff>
    </xdr:from>
    <xdr:to>
      <xdr:col>87</xdr:col>
      <xdr:colOff>238125</xdr:colOff>
      <xdr:row>18</xdr:row>
      <xdr:rowOff>250826</xdr:rowOff>
    </xdr:to>
    <xdr:cxnSp macro="">
      <xdr:nvCxnSpPr>
        <xdr:cNvPr id="43307" name="CNtp87c12routec"/>
        <xdr:cNvCxnSpPr>
          <a:stCxn id="43285" idx="6"/>
          <a:endCxn id="43306" idx="2"/>
        </xdr:cNvCxnSpPr>
      </xdr:nvCxnSpPr>
      <xdr:spPr>
        <a:xfrm>
          <a:off x="4190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238126</xdr:colOff>
      <xdr:row>14</xdr:row>
      <xdr:rowOff>238126</xdr:rowOff>
    </xdr:from>
    <xdr:to>
      <xdr:col>87</xdr:col>
      <xdr:colOff>238125</xdr:colOff>
      <xdr:row>14</xdr:row>
      <xdr:rowOff>250826</xdr:rowOff>
    </xdr:to>
    <xdr:cxnSp macro="">
      <xdr:nvCxnSpPr>
        <xdr:cNvPr id="43302" name="CNtp87c12routev"/>
        <xdr:cNvCxnSpPr>
          <a:stCxn id="43283" idx="6"/>
          <a:endCxn id="43301" idx="2"/>
        </xdr:cNvCxnSpPr>
      </xdr:nvCxnSpPr>
      <xdr:spPr>
        <a:xfrm>
          <a:off x="4190047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238126</xdr:colOff>
      <xdr:row>4</xdr:row>
      <xdr:rowOff>238126</xdr:rowOff>
    </xdr:from>
    <xdr:to>
      <xdr:col>87</xdr:col>
      <xdr:colOff>238125</xdr:colOff>
      <xdr:row>4</xdr:row>
      <xdr:rowOff>250826</xdr:rowOff>
    </xdr:to>
    <xdr:cxnSp macro="">
      <xdr:nvCxnSpPr>
        <xdr:cNvPr id="43298" name="CNtp87c11routeb"/>
        <xdr:cNvCxnSpPr>
          <a:stCxn id="43277" idx="6"/>
          <a:endCxn id="43295" idx="2"/>
        </xdr:cNvCxnSpPr>
      </xdr:nvCxnSpPr>
      <xdr:spPr>
        <a:xfrm>
          <a:off x="4190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238126</xdr:colOff>
      <xdr:row>4</xdr:row>
      <xdr:rowOff>238126</xdr:rowOff>
    </xdr:from>
    <xdr:to>
      <xdr:col>87</xdr:col>
      <xdr:colOff>238125</xdr:colOff>
      <xdr:row>4</xdr:row>
      <xdr:rowOff>250826</xdr:rowOff>
    </xdr:to>
    <xdr:cxnSp macro="">
      <xdr:nvCxnSpPr>
        <xdr:cNvPr id="43297" name="CNtp87c11routec"/>
        <xdr:cNvCxnSpPr>
          <a:stCxn id="43277" idx="6"/>
          <a:endCxn id="43295" idx="2"/>
        </xdr:cNvCxnSpPr>
      </xdr:nvCxnSpPr>
      <xdr:spPr>
        <a:xfrm>
          <a:off x="4190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238126</xdr:colOff>
      <xdr:row>4</xdr:row>
      <xdr:rowOff>238126</xdr:rowOff>
    </xdr:from>
    <xdr:to>
      <xdr:col>87</xdr:col>
      <xdr:colOff>238125</xdr:colOff>
      <xdr:row>4</xdr:row>
      <xdr:rowOff>250826</xdr:rowOff>
    </xdr:to>
    <xdr:cxnSp macro="">
      <xdr:nvCxnSpPr>
        <xdr:cNvPr id="43296" name="CNtp87c11routev"/>
        <xdr:cNvCxnSpPr>
          <a:stCxn id="43277" idx="6"/>
          <a:endCxn id="43295" idx="2"/>
        </xdr:cNvCxnSpPr>
      </xdr:nvCxnSpPr>
      <xdr:spPr>
        <a:xfrm>
          <a:off x="4190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238126</xdr:colOff>
      <xdr:row>28</xdr:row>
      <xdr:rowOff>238126</xdr:rowOff>
    </xdr:from>
    <xdr:to>
      <xdr:col>86</xdr:col>
      <xdr:colOff>238125</xdr:colOff>
      <xdr:row>28</xdr:row>
      <xdr:rowOff>250826</xdr:rowOff>
    </xdr:to>
    <xdr:cxnSp macro="">
      <xdr:nvCxnSpPr>
        <xdr:cNvPr id="43293" name="CNtp86c13routec"/>
        <xdr:cNvCxnSpPr>
          <a:stCxn id="43273" idx="6"/>
          <a:endCxn id="43292" idx="2"/>
        </xdr:cNvCxnSpPr>
      </xdr:nvCxnSpPr>
      <xdr:spPr>
        <a:xfrm>
          <a:off x="4142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238126</xdr:colOff>
      <xdr:row>24</xdr:row>
      <xdr:rowOff>238126</xdr:rowOff>
    </xdr:from>
    <xdr:to>
      <xdr:col>86</xdr:col>
      <xdr:colOff>238125</xdr:colOff>
      <xdr:row>28</xdr:row>
      <xdr:rowOff>238126</xdr:rowOff>
    </xdr:to>
    <xdr:cxnSp macro="">
      <xdr:nvCxnSpPr>
        <xdr:cNvPr id="43291" name="CNtp86c13routeb"/>
        <xdr:cNvCxnSpPr>
          <a:stCxn id="43273" idx="6"/>
          <a:endCxn id="43289" idx="2"/>
        </xdr:cNvCxnSpPr>
      </xdr:nvCxnSpPr>
      <xdr:spPr>
        <a:xfrm flipV="1">
          <a:off x="4142422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238126</xdr:colOff>
      <xdr:row>24</xdr:row>
      <xdr:rowOff>238126</xdr:rowOff>
    </xdr:from>
    <xdr:to>
      <xdr:col>86</xdr:col>
      <xdr:colOff>238125</xdr:colOff>
      <xdr:row>24</xdr:row>
      <xdr:rowOff>250826</xdr:rowOff>
    </xdr:to>
    <xdr:cxnSp macro="">
      <xdr:nvCxnSpPr>
        <xdr:cNvPr id="43290" name="CNtp86c13routev"/>
        <xdr:cNvCxnSpPr>
          <a:stCxn id="43271" idx="6"/>
          <a:endCxn id="43289" idx="2"/>
        </xdr:cNvCxnSpPr>
      </xdr:nvCxnSpPr>
      <xdr:spPr>
        <a:xfrm>
          <a:off x="414242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238126</xdr:colOff>
      <xdr:row>18</xdr:row>
      <xdr:rowOff>238126</xdr:rowOff>
    </xdr:from>
    <xdr:to>
      <xdr:col>86</xdr:col>
      <xdr:colOff>238125</xdr:colOff>
      <xdr:row>18</xdr:row>
      <xdr:rowOff>250826</xdr:rowOff>
    </xdr:to>
    <xdr:cxnSp macro="">
      <xdr:nvCxnSpPr>
        <xdr:cNvPr id="43287" name="CNtp86c12routeb"/>
        <xdr:cNvCxnSpPr>
          <a:stCxn id="43267" idx="6"/>
          <a:endCxn id="43285" idx="2"/>
        </xdr:cNvCxnSpPr>
      </xdr:nvCxnSpPr>
      <xdr:spPr>
        <a:xfrm>
          <a:off x="4142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238126</xdr:colOff>
      <xdr:row>18</xdr:row>
      <xdr:rowOff>238126</xdr:rowOff>
    </xdr:from>
    <xdr:to>
      <xdr:col>86</xdr:col>
      <xdr:colOff>238125</xdr:colOff>
      <xdr:row>18</xdr:row>
      <xdr:rowOff>250826</xdr:rowOff>
    </xdr:to>
    <xdr:cxnSp macro="">
      <xdr:nvCxnSpPr>
        <xdr:cNvPr id="43286" name="CNtp86c12routec"/>
        <xdr:cNvCxnSpPr>
          <a:stCxn id="43267" idx="6"/>
          <a:endCxn id="43285" idx="2"/>
        </xdr:cNvCxnSpPr>
      </xdr:nvCxnSpPr>
      <xdr:spPr>
        <a:xfrm>
          <a:off x="4142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238126</xdr:colOff>
      <xdr:row>14</xdr:row>
      <xdr:rowOff>238126</xdr:rowOff>
    </xdr:from>
    <xdr:to>
      <xdr:col>86</xdr:col>
      <xdr:colOff>238125</xdr:colOff>
      <xdr:row>14</xdr:row>
      <xdr:rowOff>250826</xdr:rowOff>
    </xdr:to>
    <xdr:cxnSp macro="">
      <xdr:nvCxnSpPr>
        <xdr:cNvPr id="43284" name="CNtp86c12routev"/>
        <xdr:cNvCxnSpPr>
          <a:stCxn id="43265" idx="6"/>
          <a:endCxn id="43283" idx="2"/>
        </xdr:cNvCxnSpPr>
      </xdr:nvCxnSpPr>
      <xdr:spPr>
        <a:xfrm>
          <a:off x="4142422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238126</xdr:colOff>
      <xdr:row>4</xdr:row>
      <xdr:rowOff>238126</xdr:rowOff>
    </xdr:from>
    <xdr:to>
      <xdr:col>86</xdr:col>
      <xdr:colOff>238125</xdr:colOff>
      <xdr:row>4</xdr:row>
      <xdr:rowOff>250826</xdr:rowOff>
    </xdr:to>
    <xdr:cxnSp macro="">
      <xdr:nvCxnSpPr>
        <xdr:cNvPr id="43280" name="CNtp86c11routeb"/>
        <xdr:cNvCxnSpPr>
          <a:stCxn id="43260" idx="6"/>
          <a:endCxn id="43277" idx="2"/>
        </xdr:cNvCxnSpPr>
      </xdr:nvCxnSpPr>
      <xdr:spPr>
        <a:xfrm>
          <a:off x="4142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238126</xdr:colOff>
      <xdr:row>4</xdr:row>
      <xdr:rowOff>238126</xdr:rowOff>
    </xdr:from>
    <xdr:to>
      <xdr:col>86</xdr:col>
      <xdr:colOff>238125</xdr:colOff>
      <xdr:row>4</xdr:row>
      <xdr:rowOff>250826</xdr:rowOff>
    </xdr:to>
    <xdr:cxnSp macro="">
      <xdr:nvCxnSpPr>
        <xdr:cNvPr id="43279" name="CNtp86c11routec"/>
        <xdr:cNvCxnSpPr>
          <a:stCxn id="43260" idx="6"/>
          <a:endCxn id="43277" idx="2"/>
        </xdr:cNvCxnSpPr>
      </xdr:nvCxnSpPr>
      <xdr:spPr>
        <a:xfrm>
          <a:off x="4142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238126</xdr:colOff>
      <xdr:row>4</xdr:row>
      <xdr:rowOff>238126</xdr:rowOff>
    </xdr:from>
    <xdr:to>
      <xdr:col>86</xdr:col>
      <xdr:colOff>238125</xdr:colOff>
      <xdr:row>4</xdr:row>
      <xdr:rowOff>250826</xdr:rowOff>
    </xdr:to>
    <xdr:cxnSp macro="">
      <xdr:nvCxnSpPr>
        <xdr:cNvPr id="43278" name="CNtp86c11routev"/>
        <xdr:cNvCxnSpPr>
          <a:stCxn id="43260" idx="6"/>
          <a:endCxn id="43277" idx="2"/>
        </xdr:cNvCxnSpPr>
      </xdr:nvCxnSpPr>
      <xdr:spPr>
        <a:xfrm>
          <a:off x="4142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238126</xdr:colOff>
      <xdr:row>28</xdr:row>
      <xdr:rowOff>238126</xdr:rowOff>
    </xdr:from>
    <xdr:to>
      <xdr:col>85</xdr:col>
      <xdr:colOff>238125</xdr:colOff>
      <xdr:row>28</xdr:row>
      <xdr:rowOff>250826</xdr:rowOff>
    </xdr:to>
    <xdr:cxnSp macro="">
      <xdr:nvCxnSpPr>
        <xdr:cNvPr id="43275" name="CNtp85c13routeb"/>
        <xdr:cNvCxnSpPr>
          <a:stCxn id="43255" idx="6"/>
          <a:endCxn id="43273" idx="2"/>
        </xdr:cNvCxnSpPr>
      </xdr:nvCxnSpPr>
      <xdr:spPr>
        <a:xfrm>
          <a:off x="4094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238126</xdr:colOff>
      <xdr:row>28</xdr:row>
      <xdr:rowOff>238126</xdr:rowOff>
    </xdr:from>
    <xdr:to>
      <xdr:col>85</xdr:col>
      <xdr:colOff>238125</xdr:colOff>
      <xdr:row>28</xdr:row>
      <xdr:rowOff>250826</xdr:rowOff>
    </xdr:to>
    <xdr:cxnSp macro="">
      <xdr:nvCxnSpPr>
        <xdr:cNvPr id="43274" name="CNtp85c13routec"/>
        <xdr:cNvCxnSpPr>
          <a:stCxn id="43255" idx="6"/>
          <a:endCxn id="43273" idx="2"/>
        </xdr:cNvCxnSpPr>
      </xdr:nvCxnSpPr>
      <xdr:spPr>
        <a:xfrm>
          <a:off x="4094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238126</xdr:colOff>
      <xdr:row>24</xdr:row>
      <xdr:rowOff>238126</xdr:rowOff>
    </xdr:from>
    <xdr:to>
      <xdr:col>85</xdr:col>
      <xdr:colOff>238125</xdr:colOff>
      <xdr:row>28</xdr:row>
      <xdr:rowOff>238126</xdr:rowOff>
    </xdr:to>
    <xdr:cxnSp macro="">
      <xdr:nvCxnSpPr>
        <xdr:cNvPr id="43272" name="CNtp85c13routev"/>
        <xdr:cNvCxnSpPr>
          <a:stCxn id="43255" idx="6"/>
          <a:endCxn id="43271" idx="2"/>
        </xdr:cNvCxnSpPr>
      </xdr:nvCxnSpPr>
      <xdr:spPr>
        <a:xfrm flipV="1">
          <a:off x="409479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238126</xdr:colOff>
      <xdr:row>18</xdr:row>
      <xdr:rowOff>238126</xdr:rowOff>
    </xdr:from>
    <xdr:to>
      <xdr:col>85</xdr:col>
      <xdr:colOff>238125</xdr:colOff>
      <xdr:row>18</xdr:row>
      <xdr:rowOff>250826</xdr:rowOff>
    </xdr:to>
    <xdr:cxnSp macro="">
      <xdr:nvCxnSpPr>
        <xdr:cNvPr id="43269" name="CNtp85c12routeb"/>
        <xdr:cNvCxnSpPr>
          <a:stCxn id="43248" idx="6"/>
          <a:endCxn id="43267" idx="2"/>
        </xdr:cNvCxnSpPr>
      </xdr:nvCxnSpPr>
      <xdr:spPr>
        <a:xfrm>
          <a:off x="4094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238126</xdr:colOff>
      <xdr:row>18</xdr:row>
      <xdr:rowOff>238126</xdr:rowOff>
    </xdr:from>
    <xdr:to>
      <xdr:col>85</xdr:col>
      <xdr:colOff>238125</xdr:colOff>
      <xdr:row>18</xdr:row>
      <xdr:rowOff>250826</xdr:rowOff>
    </xdr:to>
    <xdr:cxnSp macro="">
      <xdr:nvCxnSpPr>
        <xdr:cNvPr id="43268" name="CNtp85c12routec"/>
        <xdr:cNvCxnSpPr>
          <a:stCxn id="43248" idx="6"/>
          <a:endCxn id="43267" idx="2"/>
        </xdr:cNvCxnSpPr>
      </xdr:nvCxnSpPr>
      <xdr:spPr>
        <a:xfrm>
          <a:off x="4094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238126</xdr:colOff>
      <xdr:row>14</xdr:row>
      <xdr:rowOff>238126</xdr:rowOff>
    </xdr:from>
    <xdr:to>
      <xdr:col>85</xdr:col>
      <xdr:colOff>238125</xdr:colOff>
      <xdr:row>18</xdr:row>
      <xdr:rowOff>238126</xdr:rowOff>
    </xdr:to>
    <xdr:cxnSp macro="">
      <xdr:nvCxnSpPr>
        <xdr:cNvPr id="43266" name="CNtp85c12routev"/>
        <xdr:cNvCxnSpPr>
          <a:stCxn id="43248" idx="6"/>
          <a:endCxn id="43265" idx="2"/>
        </xdr:cNvCxnSpPr>
      </xdr:nvCxnSpPr>
      <xdr:spPr>
        <a:xfrm flipV="1">
          <a:off x="409479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238126</xdr:colOff>
      <xdr:row>4</xdr:row>
      <xdr:rowOff>238126</xdr:rowOff>
    </xdr:from>
    <xdr:to>
      <xdr:col>85</xdr:col>
      <xdr:colOff>238125</xdr:colOff>
      <xdr:row>8</xdr:row>
      <xdr:rowOff>238126</xdr:rowOff>
    </xdr:to>
    <xdr:cxnSp macro="">
      <xdr:nvCxnSpPr>
        <xdr:cNvPr id="43263" name="CNtp85c11routeb"/>
        <xdr:cNvCxnSpPr>
          <a:stCxn id="43244" idx="6"/>
          <a:endCxn id="43260" idx="2"/>
        </xdr:cNvCxnSpPr>
      </xdr:nvCxnSpPr>
      <xdr:spPr>
        <a:xfrm flipV="1">
          <a:off x="409479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238126</xdr:colOff>
      <xdr:row>4</xdr:row>
      <xdr:rowOff>238126</xdr:rowOff>
    </xdr:from>
    <xdr:to>
      <xdr:col>85</xdr:col>
      <xdr:colOff>238125</xdr:colOff>
      <xdr:row>5</xdr:row>
      <xdr:rowOff>238126</xdr:rowOff>
    </xdr:to>
    <xdr:cxnSp macro="">
      <xdr:nvCxnSpPr>
        <xdr:cNvPr id="43262" name="CNtp85c11routec"/>
        <xdr:cNvCxnSpPr>
          <a:stCxn id="43239" idx="6"/>
          <a:endCxn id="43260" idx="2"/>
        </xdr:cNvCxnSpPr>
      </xdr:nvCxnSpPr>
      <xdr:spPr>
        <a:xfrm flipV="1">
          <a:off x="409479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238126</xdr:colOff>
      <xdr:row>4</xdr:row>
      <xdr:rowOff>238126</xdr:rowOff>
    </xdr:from>
    <xdr:to>
      <xdr:col>85</xdr:col>
      <xdr:colOff>238125</xdr:colOff>
      <xdr:row>5</xdr:row>
      <xdr:rowOff>238126</xdr:rowOff>
    </xdr:to>
    <xdr:cxnSp macro="">
      <xdr:nvCxnSpPr>
        <xdr:cNvPr id="43261" name="CNtp85c11routev"/>
        <xdr:cNvCxnSpPr>
          <a:stCxn id="43239" idx="6"/>
          <a:endCxn id="43260" idx="2"/>
        </xdr:cNvCxnSpPr>
      </xdr:nvCxnSpPr>
      <xdr:spPr>
        <a:xfrm flipV="1">
          <a:off x="409479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238126</xdr:colOff>
      <xdr:row>28</xdr:row>
      <xdr:rowOff>238126</xdr:rowOff>
    </xdr:from>
    <xdr:to>
      <xdr:col>84</xdr:col>
      <xdr:colOff>238125</xdr:colOff>
      <xdr:row>28</xdr:row>
      <xdr:rowOff>250826</xdr:rowOff>
    </xdr:to>
    <xdr:cxnSp macro="">
      <xdr:nvCxnSpPr>
        <xdr:cNvPr id="43258" name="CNtp84c13routeb"/>
        <xdr:cNvCxnSpPr>
          <a:stCxn id="43234" idx="6"/>
          <a:endCxn id="43255" idx="2"/>
        </xdr:cNvCxnSpPr>
      </xdr:nvCxnSpPr>
      <xdr:spPr>
        <a:xfrm>
          <a:off x="4047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238126</xdr:colOff>
      <xdr:row>28</xdr:row>
      <xdr:rowOff>238126</xdr:rowOff>
    </xdr:from>
    <xdr:to>
      <xdr:col>84</xdr:col>
      <xdr:colOff>238125</xdr:colOff>
      <xdr:row>28</xdr:row>
      <xdr:rowOff>250826</xdr:rowOff>
    </xdr:to>
    <xdr:cxnSp macro="">
      <xdr:nvCxnSpPr>
        <xdr:cNvPr id="43257" name="CNtp84c13routec"/>
        <xdr:cNvCxnSpPr>
          <a:stCxn id="43234" idx="6"/>
          <a:endCxn id="43255" idx="2"/>
        </xdr:cNvCxnSpPr>
      </xdr:nvCxnSpPr>
      <xdr:spPr>
        <a:xfrm>
          <a:off x="4047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238126</xdr:colOff>
      <xdr:row>25</xdr:row>
      <xdr:rowOff>238126</xdr:rowOff>
    </xdr:from>
    <xdr:to>
      <xdr:col>84</xdr:col>
      <xdr:colOff>238125</xdr:colOff>
      <xdr:row>28</xdr:row>
      <xdr:rowOff>238126</xdr:rowOff>
    </xdr:to>
    <xdr:cxnSp macro="">
      <xdr:nvCxnSpPr>
        <xdr:cNvPr id="43256" name="CNtp84c13routev"/>
        <xdr:cNvCxnSpPr>
          <a:stCxn id="43232" idx="6"/>
          <a:endCxn id="43255" idx="2"/>
        </xdr:cNvCxnSpPr>
      </xdr:nvCxnSpPr>
      <xdr:spPr>
        <a:xfrm>
          <a:off x="40471726" y="13287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238126</xdr:colOff>
      <xdr:row>18</xdr:row>
      <xdr:rowOff>238126</xdr:rowOff>
    </xdr:from>
    <xdr:to>
      <xdr:col>84</xdr:col>
      <xdr:colOff>238125</xdr:colOff>
      <xdr:row>18</xdr:row>
      <xdr:rowOff>250826</xdr:rowOff>
    </xdr:to>
    <xdr:cxnSp macro="">
      <xdr:nvCxnSpPr>
        <xdr:cNvPr id="43251" name="CNtp84c12routeb"/>
        <xdr:cNvCxnSpPr>
          <a:stCxn id="43228" idx="6"/>
          <a:endCxn id="43248" idx="2"/>
        </xdr:cNvCxnSpPr>
      </xdr:nvCxnSpPr>
      <xdr:spPr>
        <a:xfrm>
          <a:off x="4047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238126</xdr:colOff>
      <xdr:row>18</xdr:row>
      <xdr:rowOff>238126</xdr:rowOff>
    </xdr:from>
    <xdr:to>
      <xdr:col>84</xdr:col>
      <xdr:colOff>238125</xdr:colOff>
      <xdr:row>18</xdr:row>
      <xdr:rowOff>250826</xdr:rowOff>
    </xdr:to>
    <xdr:cxnSp macro="">
      <xdr:nvCxnSpPr>
        <xdr:cNvPr id="43250" name="CNtp84c12routec"/>
        <xdr:cNvCxnSpPr>
          <a:stCxn id="43228" idx="6"/>
          <a:endCxn id="43248" idx="2"/>
        </xdr:cNvCxnSpPr>
      </xdr:nvCxnSpPr>
      <xdr:spPr>
        <a:xfrm>
          <a:off x="4047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238126</xdr:colOff>
      <xdr:row>15</xdr:row>
      <xdr:rowOff>238126</xdr:rowOff>
    </xdr:from>
    <xdr:to>
      <xdr:col>84</xdr:col>
      <xdr:colOff>238125</xdr:colOff>
      <xdr:row>18</xdr:row>
      <xdr:rowOff>238126</xdr:rowOff>
    </xdr:to>
    <xdr:cxnSp macro="">
      <xdr:nvCxnSpPr>
        <xdr:cNvPr id="43249" name="CNtp84c12routev"/>
        <xdr:cNvCxnSpPr>
          <a:stCxn id="43226" idx="6"/>
          <a:endCxn id="43248" idx="2"/>
        </xdr:cNvCxnSpPr>
      </xdr:nvCxnSpPr>
      <xdr:spPr>
        <a:xfrm>
          <a:off x="4047172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238126</xdr:colOff>
      <xdr:row>4</xdr:row>
      <xdr:rowOff>238126</xdr:rowOff>
    </xdr:from>
    <xdr:to>
      <xdr:col>84</xdr:col>
      <xdr:colOff>238125</xdr:colOff>
      <xdr:row>8</xdr:row>
      <xdr:rowOff>238126</xdr:rowOff>
    </xdr:to>
    <xdr:cxnSp macro="">
      <xdr:nvCxnSpPr>
        <xdr:cNvPr id="43245" name="CNtp84c11routeb"/>
        <xdr:cNvCxnSpPr>
          <a:stCxn id="43215" idx="6"/>
          <a:endCxn id="43244" idx="2"/>
        </xdr:cNvCxnSpPr>
      </xdr:nvCxnSpPr>
      <xdr:spPr>
        <a:xfrm>
          <a:off x="4047172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238126</xdr:colOff>
      <xdr:row>4</xdr:row>
      <xdr:rowOff>238126</xdr:rowOff>
    </xdr:from>
    <xdr:to>
      <xdr:col>84</xdr:col>
      <xdr:colOff>238125</xdr:colOff>
      <xdr:row>5</xdr:row>
      <xdr:rowOff>238126</xdr:rowOff>
    </xdr:to>
    <xdr:cxnSp macro="">
      <xdr:nvCxnSpPr>
        <xdr:cNvPr id="43241" name="CNtp84c11routec"/>
        <xdr:cNvCxnSpPr>
          <a:stCxn id="43215" idx="6"/>
          <a:endCxn id="43239" idx="2"/>
        </xdr:cNvCxnSpPr>
      </xdr:nvCxnSpPr>
      <xdr:spPr>
        <a:xfrm>
          <a:off x="404717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238126</xdr:colOff>
      <xdr:row>4</xdr:row>
      <xdr:rowOff>238126</xdr:rowOff>
    </xdr:from>
    <xdr:to>
      <xdr:col>84</xdr:col>
      <xdr:colOff>238125</xdr:colOff>
      <xdr:row>5</xdr:row>
      <xdr:rowOff>238126</xdr:rowOff>
    </xdr:to>
    <xdr:cxnSp macro="">
      <xdr:nvCxnSpPr>
        <xdr:cNvPr id="43240" name="CNtp84c11routev"/>
        <xdr:cNvCxnSpPr>
          <a:stCxn id="43215" idx="6"/>
          <a:endCxn id="43239" idx="2"/>
        </xdr:cNvCxnSpPr>
      </xdr:nvCxnSpPr>
      <xdr:spPr>
        <a:xfrm>
          <a:off x="404717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238126</xdr:colOff>
      <xdr:row>28</xdr:row>
      <xdr:rowOff>238126</xdr:rowOff>
    </xdr:from>
    <xdr:to>
      <xdr:col>83</xdr:col>
      <xdr:colOff>238125</xdr:colOff>
      <xdr:row>28</xdr:row>
      <xdr:rowOff>250826</xdr:rowOff>
    </xdr:to>
    <xdr:cxnSp macro="">
      <xdr:nvCxnSpPr>
        <xdr:cNvPr id="43236" name="CNtp83c13routeb"/>
        <xdr:cNvCxnSpPr>
          <a:stCxn id="43210" idx="6"/>
          <a:endCxn id="43234" idx="2"/>
        </xdr:cNvCxnSpPr>
      </xdr:nvCxnSpPr>
      <xdr:spPr>
        <a:xfrm>
          <a:off x="3999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238126</xdr:colOff>
      <xdr:row>28</xdr:row>
      <xdr:rowOff>238126</xdr:rowOff>
    </xdr:from>
    <xdr:to>
      <xdr:col>83</xdr:col>
      <xdr:colOff>238125</xdr:colOff>
      <xdr:row>28</xdr:row>
      <xdr:rowOff>250826</xdr:rowOff>
    </xdr:to>
    <xdr:cxnSp macro="">
      <xdr:nvCxnSpPr>
        <xdr:cNvPr id="43235" name="CNtp83c13routec"/>
        <xdr:cNvCxnSpPr>
          <a:stCxn id="43210" idx="6"/>
          <a:endCxn id="43234" idx="2"/>
        </xdr:cNvCxnSpPr>
      </xdr:nvCxnSpPr>
      <xdr:spPr>
        <a:xfrm>
          <a:off x="3999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238126</xdr:colOff>
      <xdr:row>25</xdr:row>
      <xdr:rowOff>238126</xdr:rowOff>
    </xdr:from>
    <xdr:to>
      <xdr:col>83</xdr:col>
      <xdr:colOff>238125</xdr:colOff>
      <xdr:row>25</xdr:row>
      <xdr:rowOff>250826</xdr:rowOff>
    </xdr:to>
    <xdr:cxnSp macro="">
      <xdr:nvCxnSpPr>
        <xdr:cNvPr id="43233" name="CNtp83c13routev"/>
        <xdr:cNvCxnSpPr>
          <a:stCxn id="43208" idx="6"/>
          <a:endCxn id="43232" idx="2"/>
        </xdr:cNvCxnSpPr>
      </xdr:nvCxnSpPr>
      <xdr:spPr>
        <a:xfrm>
          <a:off x="39995476" y="13287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238126</xdr:colOff>
      <xdr:row>18</xdr:row>
      <xdr:rowOff>238126</xdr:rowOff>
    </xdr:from>
    <xdr:to>
      <xdr:col>83</xdr:col>
      <xdr:colOff>238125</xdr:colOff>
      <xdr:row>18</xdr:row>
      <xdr:rowOff>250826</xdr:rowOff>
    </xdr:to>
    <xdr:cxnSp macro="">
      <xdr:nvCxnSpPr>
        <xdr:cNvPr id="43230" name="CNtp83c12routeb"/>
        <xdr:cNvCxnSpPr>
          <a:stCxn id="43204" idx="6"/>
          <a:endCxn id="43228" idx="2"/>
        </xdr:cNvCxnSpPr>
      </xdr:nvCxnSpPr>
      <xdr:spPr>
        <a:xfrm>
          <a:off x="3999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238126</xdr:colOff>
      <xdr:row>18</xdr:row>
      <xdr:rowOff>238126</xdr:rowOff>
    </xdr:from>
    <xdr:to>
      <xdr:col>83</xdr:col>
      <xdr:colOff>238125</xdr:colOff>
      <xdr:row>18</xdr:row>
      <xdr:rowOff>250826</xdr:rowOff>
    </xdr:to>
    <xdr:cxnSp macro="">
      <xdr:nvCxnSpPr>
        <xdr:cNvPr id="43229" name="CNtp83c12routec"/>
        <xdr:cNvCxnSpPr>
          <a:stCxn id="43204" idx="6"/>
          <a:endCxn id="43228" idx="2"/>
        </xdr:cNvCxnSpPr>
      </xdr:nvCxnSpPr>
      <xdr:spPr>
        <a:xfrm>
          <a:off x="3999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238126</xdr:colOff>
      <xdr:row>15</xdr:row>
      <xdr:rowOff>238126</xdr:rowOff>
    </xdr:from>
    <xdr:to>
      <xdr:col>83</xdr:col>
      <xdr:colOff>238125</xdr:colOff>
      <xdr:row>15</xdr:row>
      <xdr:rowOff>250826</xdr:rowOff>
    </xdr:to>
    <xdr:cxnSp macro="">
      <xdr:nvCxnSpPr>
        <xdr:cNvPr id="43227" name="CNtp83c12routev"/>
        <xdr:cNvCxnSpPr>
          <a:stCxn id="43202" idx="6"/>
          <a:endCxn id="43226" idx="2"/>
        </xdr:cNvCxnSpPr>
      </xdr:nvCxnSpPr>
      <xdr:spPr>
        <a:xfrm>
          <a:off x="39995476" y="852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238126</xdr:colOff>
      <xdr:row>4</xdr:row>
      <xdr:rowOff>238126</xdr:rowOff>
    </xdr:from>
    <xdr:to>
      <xdr:col>83</xdr:col>
      <xdr:colOff>238125</xdr:colOff>
      <xdr:row>4</xdr:row>
      <xdr:rowOff>250826</xdr:rowOff>
    </xdr:to>
    <xdr:cxnSp macro="">
      <xdr:nvCxnSpPr>
        <xdr:cNvPr id="43218" name="CNtp83c11routeb"/>
        <xdr:cNvCxnSpPr>
          <a:stCxn id="43197" idx="6"/>
          <a:endCxn id="43215" idx="2"/>
        </xdr:cNvCxnSpPr>
      </xdr:nvCxnSpPr>
      <xdr:spPr>
        <a:xfrm>
          <a:off x="3999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238126</xdr:colOff>
      <xdr:row>4</xdr:row>
      <xdr:rowOff>238126</xdr:rowOff>
    </xdr:from>
    <xdr:to>
      <xdr:col>83</xdr:col>
      <xdr:colOff>238125</xdr:colOff>
      <xdr:row>4</xdr:row>
      <xdr:rowOff>250826</xdr:rowOff>
    </xdr:to>
    <xdr:cxnSp macro="">
      <xdr:nvCxnSpPr>
        <xdr:cNvPr id="43217" name="CNtp83c11routec"/>
        <xdr:cNvCxnSpPr>
          <a:stCxn id="43197" idx="6"/>
          <a:endCxn id="43215" idx="2"/>
        </xdr:cNvCxnSpPr>
      </xdr:nvCxnSpPr>
      <xdr:spPr>
        <a:xfrm>
          <a:off x="3999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238126</xdr:colOff>
      <xdr:row>4</xdr:row>
      <xdr:rowOff>238126</xdr:rowOff>
    </xdr:from>
    <xdr:to>
      <xdr:col>83</xdr:col>
      <xdr:colOff>238125</xdr:colOff>
      <xdr:row>4</xdr:row>
      <xdr:rowOff>250826</xdr:rowOff>
    </xdr:to>
    <xdr:cxnSp macro="">
      <xdr:nvCxnSpPr>
        <xdr:cNvPr id="43216" name="CNtp83c11routev"/>
        <xdr:cNvCxnSpPr>
          <a:stCxn id="43197" idx="6"/>
          <a:endCxn id="43215" idx="2"/>
        </xdr:cNvCxnSpPr>
      </xdr:nvCxnSpPr>
      <xdr:spPr>
        <a:xfrm>
          <a:off x="3999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238126</xdr:colOff>
      <xdr:row>28</xdr:row>
      <xdr:rowOff>238126</xdr:rowOff>
    </xdr:from>
    <xdr:to>
      <xdr:col>82</xdr:col>
      <xdr:colOff>238125</xdr:colOff>
      <xdr:row>28</xdr:row>
      <xdr:rowOff>250826</xdr:rowOff>
    </xdr:to>
    <xdr:cxnSp macro="">
      <xdr:nvCxnSpPr>
        <xdr:cNvPr id="43212" name="CNtp82c13routeb"/>
        <xdr:cNvCxnSpPr>
          <a:stCxn id="43192" idx="6"/>
          <a:endCxn id="43210" idx="2"/>
        </xdr:cNvCxnSpPr>
      </xdr:nvCxnSpPr>
      <xdr:spPr>
        <a:xfrm>
          <a:off x="3951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238126</xdr:colOff>
      <xdr:row>28</xdr:row>
      <xdr:rowOff>238126</xdr:rowOff>
    </xdr:from>
    <xdr:to>
      <xdr:col>82</xdr:col>
      <xdr:colOff>238125</xdr:colOff>
      <xdr:row>28</xdr:row>
      <xdr:rowOff>250826</xdr:rowOff>
    </xdr:to>
    <xdr:cxnSp macro="">
      <xdr:nvCxnSpPr>
        <xdr:cNvPr id="43211" name="CNtp82c13routec"/>
        <xdr:cNvCxnSpPr>
          <a:stCxn id="43192" idx="6"/>
          <a:endCxn id="43210" idx="2"/>
        </xdr:cNvCxnSpPr>
      </xdr:nvCxnSpPr>
      <xdr:spPr>
        <a:xfrm>
          <a:off x="3951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238126</xdr:colOff>
      <xdr:row>25</xdr:row>
      <xdr:rowOff>238126</xdr:rowOff>
    </xdr:from>
    <xdr:to>
      <xdr:col>82</xdr:col>
      <xdr:colOff>238125</xdr:colOff>
      <xdr:row>28</xdr:row>
      <xdr:rowOff>238126</xdr:rowOff>
    </xdr:to>
    <xdr:cxnSp macro="">
      <xdr:nvCxnSpPr>
        <xdr:cNvPr id="43209" name="CNtp82c13routev"/>
        <xdr:cNvCxnSpPr>
          <a:stCxn id="43192" idx="6"/>
          <a:endCxn id="43208" idx="2"/>
        </xdr:cNvCxnSpPr>
      </xdr:nvCxnSpPr>
      <xdr:spPr>
        <a:xfrm flipV="1">
          <a:off x="39519226" y="13287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238126</xdr:colOff>
      <xdr:row>18</xdr:row>
      <xdr:rowOff>238126</xdr:rowOff>
    </xdr:from>
    <xdr:to>
      <xdr:col>82</xdr:col>
      <xdr:colOff>238125</xdr:colOff>
      <xdr:row>18</xdr:row>
      <xdr:rowOff>250826</xdr:rowOff>
    </xdr:to>
    <xdr:cxnSp macro="">
      <xdr:nvCxnSpPr>
        <xdr:cNvPr id="43206" name="CNtp82c12routeb"/>
        <xdr:cNvCxnSpPr>
          <a:stCxn id="43188" idx="6"/>
          <a:endCxn id="43204" idx="2"/>
        </xdr:cNvCxnSpPr>
      </xdr:nvCxnSpPr>
      <xdr:spPr>
        <a:xfrm>
          <a:off x="3951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238126</xdr:colOff>
      <xdr:row>18</xdr:row>
      <xdr:rowOff>238126</xdr:rowOff>
    </xdr:from>
    <xdr:to>
      <xdr:col>82</xdr:col>
      <xdr:colOff>238125</xdr:colOff>
      <xdr:row>18</xdr:row>
      <xdr:rowOff>250826</xdr:rowOff>
    </xdr:to>
    <xdr:cxnSp macro="">
      <xdr:nvCxnSpPr>
        <xdr:cNvPr id="43205" name="CNtp82c12routec"/>
        <xdr:cNvCxnSpPr>
          <a:stCxn id="43188" idx="6"/>
          <a:endCxn id="43204" idx="2"/>
        </xdr:cNvCxnSpPr>
      </xdr:nvCxnSpPr>
      <xdr:spPr>
        <a:xfrm>
          <a:off x="3951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238126</xdr:colOff>
      <xdr:row>15</xdr:row>
      <xdr:rowOff>238126</xdr:rowOff>
    </xdr:from>
    <xdr:to>
      <xdr:col>82</xdr:col>
      <xdr:colOff>238125</xdr:colOff>
      <xdr:row>18</xdr:row>
      <xdr:rowOff>238126</xdr:rowOff>
    </xdr:to>
    <xdr:cxnSp macro="">
      <xdr:nvCxnSpPr>
        <xdr:cNvPr id="43203" name="CNtp82c12routev"/>
        <xdr:cNvCxnSpPr>
          <a:stCxn id="43188" idx="6"/>
          <a:endCxn id="43202" idx="2"/>
        </xdr:cNvCxnSpPr>
      </xdr:nvCxnSpPr>
      <xdr:spPr>
        <a:xfrm flipV="1">
          <a:off x="3951922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238126</xdr:colOff>
      <xdr:row>4</xdr:row>
      <xdr:rowOff>238126</xdr:rowOff>
    </xdr:from>
    <xdr:to>
      <xdr:col>82</xdr:col>
      <xdr:colOff>238125</xdr:colOff>
      <xdr:row>4</xdr:row>
      <xdr:rowOff>250826</xdr:rowOff>
    </xdr:to>
    <xdr:cxnSp macro="">
      <xdr:nvCxnSpPr>
        <xdr:cNvPr id="43200" name="CNtp82c11routeb"/>
        <xdr:cNvCxnSpPr>
          <a:stCxn id="43176" idx="6"/>
          <a:endCxn id="43197" idx="2"/>
        </xdr:cNvCxnSpPr>
      </xdr:nvCxnSpPr>
      <xdr:spPr>
        <a:xfrm>
          <a:off x="3951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238126</xdr:colOff>
      <xdr:row>4</xdr:row>
      <xdr:rowOff>238126</xdr:rowOff>
    </xdr:from>
    <xdr:to>
      <xdr:col>82</xdr:col>
      <xdr:colOff>238125</xdr:colOff>
      <xdr:row>4</xdr:row>
      <xdr:rowOff>250826</xdr:rowOff>
    </xdr:to>
    <xdr:cxnSp macro="">
      <xdr:nvCxnSpPr>
        <xdr:cNvPr id="43199" name="CNtp82c11routec"/>
        <xdr:cNvCxnSpPr>
          <a:stCxn id="43176" idx="6"/>
          <a:endCxn id="43197" idx="2"/>
        </xdr:cNvCxnSpPr>
      </xdr:nvCxnSpPr>
      <xdr:spPr>
        <a:xfrm>
          <a:off x="3951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238126</xdr:colOff>
      <xdr:row>4</xdr:row>
      <xdr:rowOff>238126</xdr:rowOff>
    </xdr:from>
    <xdr:to>
      <xdr:col>82</xdr:col>
      <xdr:colOff>238125</xdr:colOff>
      <xdr:row>4</xdr:row>
      <xdr:rowOff>250826</xdr:rowOff>
    </xdr:to>
    <xdr:cxnSp macro="">
      <xdr:nvCxnSpPr>
        <xdr:cNvPr id="43198" name="CNtp82c11routev"/>
        <xdr:cNvCxnSpPr>
          <a:stCxn id="43176" idx="6"/>
          <a:endCxn id="43197" idx="2"/>
        </xdr:cNvCxnSpPr>
      </xdr:nvCxnSpPr>
      <xdr:spPr>
        <a:xfrm>
          <a:off x="3951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238126</xdr:colOff>
      <xdr:row>28</xdr:row>
      <xdr:rowOff>238126</xdr:rowOff>
    </xdr:from>
    <xdr:to>
      <xdr:col>81</xdr:col>
      <xdr:colOff>238125</xdr:colOff>
      <xdr:row>28</xdr:row>
      <xdr:rowOff>250826</xdr:rowOff>
    </xdr:to>
    <xdr:cxnSp macro="">
      <xdr:nvCxnSpPr>
        <xdr:cNvPr id="43195" name="CNtp81c13routeb"/>
        <xdr:cNvCxnSpPr>
          <a:stCxn id="43170" idx="6"/>
          <a:endCxn id="43192" idx="2"/>
        </xdr:cNvCxnSpPr>
      </xdr:nvCxnSpPr>
      <xdr:spPr>
        <a:xfrm>
          <a:off x="3904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238126</xdr:colOff>
      <xdr:row>28</xdr:row>
      <xdr:rowOff>238126</xdr:rowOff>
    </xdr:from>
    <xdr:to>
      <xdr:col>81</xdr:col>
      <xdr:colOff>238125</xdr:colOff>
      <xdr:row>28</xdr:row>
      <xdr:rowOff>250826</xdr:rowOff>
    </xdr:to>
    <xdr:cxnSp macro="">
      <xdr:nvCxnSpPr>
        <xdr:cNvPr id="43194" name="CNtp81c13routec"/>
        <xdr:cNvCxnSpPr>
          <a:stCxn id="43170" idx="6"/>
          <a:endCxn id="43192" idx="2"/>
        </xdr:cNvCxnSpPr>
      </xdr:nvCxnSpPr>
      <xdr:spPr>
        <a:xfrm>
          <a:off x="3904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238126</xdr:colOff>
      <xdr:row>28</xdr:row>
      <xdr:rowOff>238126</xdr:rowOff>
    </xdr:from>
    <xdr:to>
      <xdr:col>81</xdr:col>
      <xdr:colOff>238125</xdr:colOff>
      <xdr:row>28</xdr:row>
      <xdr:rowOff>250826</xdr:rowOff>
    </xdr:to>
    <xdr:cxnSp macro="">
      <xdr:nvCxnSpPr>
        <xdr:cNvPr id="43193" name="CNtp81c13routev"/>
        <xdr:cNvCxnSpPr>
          <a:stCxn id="43170" idx="6"/>
          <a:endCxn id="43192" idx="2"/>
        </xdr:cNvCxnSpPr>
      </xdr:nvCxnSpPr>
      <xdr:spPr>
        <a:xfrm>
          <a:off x="3904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238126</xdr:colOff>
      <xdr:row>18</xdr:row>
      <xdr:rowOff>238126</xdr:rowOff>
    </xdr:from>
    <xdr:to>
      <xdr:col>81</xdr:col>
      <xdr:colOff>238125</xdr:colOff>
      <xdr:row>18</xdr:row>
      <xdr:rowOff>250826</xdr:rowOff>
    </xdr:to>
    <xdr:cxnSp macro="">
      <xdr:nvCxnSpPr>
        <xdr:cNvPr id="43191" name="CNtp81c12routeb"/>
        <xdr:cNvCxnSpPr>
          <a:stCxn id="43164" idx="6"/>
          <a:endCxn id="43188" idx="2"/>
        </xdr:cNvCxnSpPr>
      </xdr:nvCxnSpPr>
      <xdr:spPr>
        <a:xfrm>
          <a:off x="3904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238126</xdr:colOff>
      <xdr:row>18</xdr:row>
      <xdr:rowOff>238126</xdr:rowOff>
    </xdr:from>
    <xdr:to>
      <xdr:col>81</xdr:col>
      <xdr:colOff>238125</xdr:colOff>
      <xdr:row>18</xdr:row>
      <xdr:rowOff>250826</xdr:rowOff>
    </xdr:to>
    <xdr:cxnSp macro="">
      <xdr:nvCxnSpPr>
        <xdr:cNvPr id="43190" name="CNtp81c12routec"/>
        <xdr:cNvCxnSpPr>
          <a:stCxn id="43164" idx="6"/>
          <a:endCxn id="43188" idx="2"/>
        </xdr:cNvCxnSpPr>
      </xdr:nvCxnSpPr>
      <xdr:spPr>
        <a:xfrm>
          <a:off x="3904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238126</xdr:colOff>
      <xdr:row>18</xdr:row>
      <xdr:rowOff>238126</xdr:rowOff>
    </xdr:from>
    <xdr:to>
      <xdr:col>81</xdr:col>
      <xdr:colOff>238125</xdr:colOff>
      <xdr:row>18</xdr:row>
      <xdr:rowOff>250826</xdr:rowOff>
    </xdr:to>
    <xdr:cxnSp macro="">
      <xdr:nvCxnSpPr>
        <xdr:cNvPr id="43189" name="CNtp81c12routev"/>
        <xdr:cNvCxnSpPr>
          <a:stCxn id="43164" idx="6"/>
          <a:endCxn id="43188" idx="2"/>
        </xdr:cNvCxnSpPr>
      </xdr:nvCxnSpPr>
      <xdr:spPr>
        <a:xfrm>
          <a:off x="3904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238126</xdr:colOff>
      <xdr:row>4</xdr:row>
      <xdr:rowOff>238126</xdr:rowOff>
    </xdr:from>
    <xdr:to>
      <xdr:col>81</xdr:col>
      <xdr:colOff>238125</xdr:colOff>
      <xdr:row>4</xdr:row>
      <xdr:rowOff>250826</xdr:rowOff>
    </xdr:to>
    <xdr:cxnSp macro="">
      <xdr:nvCxnSpPr>
        <xdr:cNvPr id="43179" name="CNtp81c11routeb"/>
        <xdr:cNvCxnSpPr>
          <a:stCxn id="43150" idx="6"/>
          <a:endCxn id="43176" idx="2"/>
        </xdr:cNvCxnSpPr>
      </xdr:nvCxnSpPr>
      <xdr:spPr>
        <a:xfrm>
          <a:off x="3904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238126</xdr:colOff>
      <xdr:row>4</xdr:row>
      <xdr:rowOff>238126</xdr:rowOff>
    </xdr:from>
    <xdr:to>
      <xdr:col>81</xdr:col>
      <xdr:colOff>238125</xdr:colOff>
      <xdr:row>4</xdr:row>
      <xdr:rowOff>250826</xdr:rowOff>
    </xdr:to>
    <xdr:cxnSp macro="">
      <xdr:nvCxnSpPr>
        <xdr:cNvPr id="43178" name="CNtp81c11routec"/>
        <xdr:cNvCxnSpPr>
          <a:stCxn id="43150" idx="6"/>
          <a:endCxn id="43176" idx="2"/>
        </xdr:cNvCxnSpPr>
      </xdr:nvCxnSpPr>
      <xdr:spPr>
        <a:xfrm>
          <a:off x="3904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238126</xdr:colOff>
      <xdr:row>4</xdr:row>
      <xdr:rowOff>238126</xdr:rowOff>
    </xdr:from>
    <xdr:to>
      <xdr:col>81</xdr:col>
      <xdr:colOff>238125</xdr:colOff>
      <xdr:row>4</xdr:row>
      <xdr:rowOff>250826</xdr:rowOff>
    </xdr:to>
    <xdr:cxnSp macro="">
      <xdr:nvCxnSpPr>
        <xdr:cNvPr id="43177" name="CNtp81c11routev"/>
        <xdr:cNvCxnSpPr>
          <a:stCxn id="43150" idx="6"/>
          <a:endCxn id="43176" idx="2"/>
        </xdr:cNvCxnSpPr>
      </xdr:nvCxnSpPr>
      <xdr:spPr>
        <a:xfrm>
          <a:off x="3904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238126</xdr:colOff>
      <xdr:row>28</xdr:row>
      <xdr:rowOff>238126</xdr:rowOff>
    </xdr:from>
    <xdr:to>
      <xdr:col>80</xdr:col>
      <xdr:colOff>238125</xdr:colOff>
      <xdr:row>28</xdr:row>
      <xdr:rowOff>250826</xdr:rowOff>
    </xdr:to>
    <xdr:cxnSp macro="">
      <xdr:nvCxnSpPr>
        <xdr:cNvPr id="43173" name="CNtp80c13routeb"/>
        <xdr:cNvCxnSpPr>
          <a:stCxn id="43145" idx="6"/>
          <a:endCxn id="43170" idx="2"/>
        </xdr:cNvCxnSpPr>
      </xdr:nvCxnSpPr>
      <xdr:spPr>
        <a:xfrm>
          <a:off x="3856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238126</xdr:colOff>
      <xdr:row>28</xdr:row>
      <xdr:rowOff>238126</xdr:rowOff>
    </xdr:from>
    <xdr:to>
      <xdr:col>80</xdr:col>
      <xdr:colOff>238125</xdr:colOff>
      <xdr:row>28</xdr:row>
      <xdr:rowOff>250826</xdr:rowOff>
    </xdr:to>
    <xdr:cxnSp macro="">
      <xdr:nvCxnSpPr>
        <xdr:cNvPr id="43172" name="CNtp80c13routec"/>
        <xdr:cNvCxnSpPr>
          <a:stCxn id="43145" idx="6"/>
          <a:endCxn id="43170" idx="2"/>
        </xdr:cNvCxnSpPr>
      </xdr:nvCxnSpPr>
      <xdr:spPr>
        <a:xfrm>
          <a:off x="3856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238126</xdr:colOff>
      <xdr:row>24</xdr:row>
      <xdr:rowOff>238126</xdr:rowOff>
    </xdr:from>
    <xdr:to>
      <xdr:col>80</xdr:col>
      <xdr:colOff>238125</xdr:colOff>
      <xdr:row>28</xdr:row>
      <xdr:rowOff>238126</xdr:rowOff>
    </xdr:to>
    <xdr:cxnSp macro="">
      <xdr:nvCxnSpPr>
        <xdr:cNvPr id="43171" name="CNtp80c13routev"/>
        <xdr:cNvCxnSpPr>
          <a:stCxn id="43143" idx="6"/>
          <a:endCxn id="43170" idx="2"/>
        </xdr:cNvCxnSpPr>
      </xdr:nvCxnSpPr>
      <xdr:spPr>
        <a:xfrm>
          <a:off x="3856672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238126</xdr:colOff>
      <xdr:row>18</xdr:row>
      <xdr:rowOff>238126</xdr:rowOff>
    </xdr:from>
    <xdr:to>
      <xdr:col>80</xdr:col>
      <xdr:colOff>238125</xdr:colOff>
      <xdr:row>18</xdr:row>
      <xdr:rowOff>250826</xdr:rowOff>
    </xdr:to>
    <xdr:cxnSp macro="">
      <xdr:nvCxnSpPr>
        <xdr:cNvPr id="43167" name="CNtp80c12routeb"/>
        <xdr:cNvCxnSpPr>
          <a:stCxn id="43138" idx="6"/>
          <a:endCxn id="43164" idx="2"/>
        </xdr:cNvCxnSpPr>
      </xdr:nvCxnSpPr>
      <xdr:spPr>
        <a:xfrm>
          <a:off x="3856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238126</xdr:colOff>
      <xdr:row>18</xdr:row>
      <xdr:rowOff>238126</xdr:rowOff>
    </xdr:from>
    <xdr:to>
      <xdr:col>80</xdr:col>
      <xdr:colOff>238125</xdr:colOff>
      <xdr:row>18</xdr:row>
      <xdr:rowOff>250826</xdr:rowOff>
    </xdr:to>
    <xdr:cxnSp macro="">
      <xdr:nvCxnSpPr>
        <xdr:cNvPr id="43166" name="CNtp80c12routec"/>
        <xdr:cNvCxnSpPr>
          <a:stCxn id="43138" idx="6"/>
          <a:endCxn id="43164" idx="2"/>
        </xdr:cNvCxnSpPr>
      </xdr:nvCxnSpPr>
      <xdr:spPr>
        <a:xfrm>
          <a:off x="3856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238126</xdr:colOff>
      <xdr:row>18</xdr:row>
      <xdr:rowOff>238126</xdr:rowOff>
    </xdr:from>
    <xdr:to>
      <xdr:col>80</xdr:col>
      <xdr:colOff>238125</xdr:colOff>
      <xdr:row>18</xdr:row>
      <xdr:rowOff>250826</xdr:rowOff>
    </xdr:to>
    <xdr:cxnSp macro="">
      <xdr:nvCxnSpPr>
        <xdr:cNvPr id="43165" name="CNtp80c12routev"/>
        <xdr:cNvCxnSpPr>
          <a:stCxn id="43138" idx="6"/>
          <a:endCxn id="43164" idx="2"/>
        </xdr:cNvCxnSpPr>
      </xdr:nvCxnSpPr>
      <xdr:spPr>
        <a:xfrm>
          <a:off x="3856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238126</xdr:colOff>
      <xdr:row>4</xdr:row>
      <xdr:rowOff>238126</xdr:rowOff>
    </xdr:from>
    <xdr:to>
      <xdr:col>80</xdr:col>
      <xdr:colOff>238125</xdr:colOff>
      <xdr:row>4</xdr:row>
      <xdr:rowOff>250826</xdr:rowOff>
    </xdr:to>
    <xdr:cxnSp macro="">
      <xdr:nvCxnSpPr>
        <xdr:cNvPr id="43153" name="CNtp80c11routeb"/>
        <xdr:cNvCxnSpPr>
          <a:stCxn id="43130" idx="6"/>
          <a:endCxn id="43150" idx="2"/>
        </xdr:cNvCxnSpPr>
      </xdr:nvCxnSpPr>
      <xdr:spPr>
        <a:xfrm>
          <a:off x="3856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238126</xdr:colOff>
      <xdr:row>4</xdr:row>
      <xdr:rowOff>238126</xdr:rowOff>
    </xdr:from>
    <xdr:to>
      <xdr:col>80</xdr:col>
      <xdr:colOff>238125</xdr:colOff>
      <xdr:row>4</xdr:row>
      <xdr:rowOff>250826</xdr:rowOff>
    </xdr:to>
    <xdr:cxnSp macro="">
      <xdr:nvCxnSpPr>
        <xdr:cNvPr id="43152" name="CNtp80c11routec"/>
        <xdr:cNvCxnSpPr>
          <a:stCxn id="43130" idx="6"/>
          <a:endCxn id="43150" idx="2"/>
        </xdr:cNvCxnSpPr>
      </xdr:nvCxnSpPr>
      <xdr:spPr>
        <a:xfrm>
          <a:off x="3856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238126</xdr:colOff>
      <xdr:row>4</xdr:row>
      <xdr:rowOff>238126</xdr:rowOff>
    </xdr:from>
    <xdr:to>
      <xdr:col>80</xdr:col>
      <xdr:colOff>238125</xdr:colOff>
      <xdr:row>4</xdr:row>
      <xdr:rowOff>250826</xdr:rowOff>
    </xdr:to>
    <xdr:cxnSp macro="">
      <xdr:nvCxnSpPr>
        <xdr:cNvPr id="43151" name="CNtp80c11routev"/>
        <xdr:cNvCxnSpPr>
          <a:stCxn id="43130" idx="6"/>
          <a:endCxn id="43150" idx="2"/>
        </xdr:cNvCxnSpPr>
      </xdr:nvCxnSpPr>
      <xdr:spPr>
        <a:xfrm>
          <a:off x="3856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238126</xdr:colOff>
      <xdr:row>28</xdr:row>
      <xdr:rowOff>238126</xdr:rowOff>
    </xdr:from>
    <xdr:to>
      <xdr:col>79</xdr:col>
      <xdr:colOff>238125</xdr:colOff>
      <xdr:row>28</xdr:row>
      <xdr:rowOff>250826</xdr:rowOff>
    </xdr:to>
    <xdr:cxnSp macro="">
      <xdr:nvCxnSpPr>
        <xdr:cNvPr id="43147" name="CNtp79c13routeb"/>
        <xdr:cNvCxnSpPr>
          <a:stCxn id="43125" idx="6"/>
          <a:endCxn id="43145" idx="2"/>
        </xdr:cNvCxnSpPr>
      </xdr:nvCxnSpPr>
      <xdr:spPr>
        <a:xfrm>
          <a:off x="3809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238126</xdr:colOff>
      <xdr:row>28</xdr:row>
      <xdr:rowOff>238126</xdr:rowOff>
    </xdr:from>
    <xdr:to>
      <xdr:col>79</xdr:col>
      <xdr:colOff>238125</xdr:colOff>
      <xdr:row>28</xdr:row>
      <xdr:rowOff>250826</xdr:rowOff>
    </xdr:to>
    <xdr:cxnSp macro="">
      <xdr:nvCxnSpPr>
        <xdr:cNvPr id="43146" name="CNtp79c13routec"/>
        <xdr:cNvCxnSpPr>
          <a:stCxn id="43125" idx="6"/>
          <a:endCxn id="43145" idx="2"/>
        </xdr:cNvCxnSpPr>
      </xdr:nvCxnSpPr>
      <xdr:spPr>
        <a:xfrm>
          <a:off x="3809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238126</xdr:colOff>
      <xdr:row>24</xdr:row>
      <xdr:rowOff>238126</xdr:rowOff>
    </xdr:from>
    <xdr:to>
      <xdr:col>79</xdr:col>
      <xdr:colOff>238125</xdr:colOff>
      <xdr:row>28</xdr:row>
      <xdr:rowOff>238126</xdr:rowOff>
    </xdr:to>
    <xdr:cxnSp macro="">
      <xdr:nvCxnSpPr>
        <xdr:cNvPr id="43144" name="CNtp79c13routev"/>
        <xdr:cNvCxnSpPr>
          <a:stCxn id="43125" idx="6"/>
          <a:endCxn id="43143" idx="2"/>
        </xdr:cNvCxnSpPr>
      </xdr:nvCxnSpPr>
      <xdr:spPr>
        <a:xfrm flipV="1">
          <a:off x="380904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238126</xdr:colOff>
      <xdr:row>18</xdr:row>
      <xdr:rowOff>238126</xdr:rowOff>
    </xdr:from>
    <xdr:to>
      <xdr:col>79</xdr:col>
      <xdr:colOff>238125</xdr:colOff>
      <xdr:row>18</xdr:row>
      <xdr:rowOff>250826</xdr:rowOff>
    </xdr:to>
    <xdr:cxnSp macro="">
      <xdr:nvCxnSpPr>
        <xdr:cNvPr id="43141" name="CNtp79c12routeb"/>
        <xdr:cNvCxnSpPr>
          <a:stCxn id="43121" idx="6"/>
          <a:endCxn id="43138" idx="2"/>
        </xdr:cNvCxnSpPr>
      </xdr:nvCxnSpPr>
      <xdr:spPr>
        <a:xfrm>
          <a:off x="3809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238126</xdr:colOff>
      <xdr:row>18</xdr:row>
      <xdr:rowOff>238126</xdr:rowOff>
    </xdr:from>
    <xdr:to>
      <xdr:col>79</xdr:col>
      <xdr:colOff>238125</xdr:colOff>
      <xdr:row>18</xdr:row>
      <xdr:rowOff>250826</xdr:rowOff>
    </xdr:to>
    <xdr:cxnSp macro="">
      <xdr:nvCxnSpPr>
        <xdr:cNvPr id="43140" name="CNtp79c12routec"/>
        <xdr:cNvCxnSpPr>
          <a:stCxn id="43121" idx="6"/>
          <a:endCxn id="43138" idx="2"/>
        </xdr:cNvCxnSpPr>
      </xdr:nvCxnSpPr>
      <xdr:spPr>
        <a:xfrm>
          <a:off x="3809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238126</xdr:colOff>
      <xdr:row>18</xdr:row>
      <xdr:rowOff>238126</xdr:rowOff>
    </xdr:from>
    <xdr:to>
      <xdr:col>79</xdr:col>
      <xdr:colOff>238125</xdr:colOff>
      <xdr:row>18</xdr:row>
      <xdr:rowOff>250826</xdr:rowOff>
    </xdr:to>
    <xdr:cxnSp macro="">
      <xdr:nvCxnSpPr>
        <xdr:cNvPr id="43139" name="CNtp79c12routev"/>
        <xdr:cNvCxnSpPr>
          <a:stCxn id="43121" idx="6"/>
          <a:endCxn id="43138" idx="2"/>
        </xdr:cNvCxnSpPr>
      </xdr:nvCxnSpPr>
      <xdr:spPr>
        <a:xfrm>
          <a:off x="3809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238126</xdr:colOff>
      <xdr:row>4</xdr:row>
      <xdr:rowOff>238126</xdr:rowOff>
    </xdr:from>
    <xdr:to>
      <xdr:col>79</xdr:col>
      <xdr:colOff>238125</xdr:colOff>
      <xdr:row>8</xdr:row>
      <xdr:rowOff>238126</xdr:rowOff>
    </xdr:to>
    <xdr:cxnSp macro="">
      <xdr:nvCxnSpPr>
        <xdr:cNvPr id="43133" name="CNtp79c11routeb"/>
        <xdr:cNvCxnSpPr>
          <a:stCxn id="43115" idx="6"/>
          <a:endCxn id="43130" idx="2"/>
        </xdr:cNvCxnSpPr>
      </xdr:nvCxnSpPr>
      <xdr:spPr>
        <a:xfrm flipV="1">
          <a:off x="380904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238126</xdr:colOff>
      <xdr:row>4</xdr:row>
      <xdr:rowOff>238126</xdr:rowOff>
    </xdr:from>
    <xdr:to>
      <xdr:col>79</xdr:col>
      <xdr:colOff>238125</xdr:colOff>
      <xdr:row>4</xdr:row>
      <xdr:rowOff>250826</xdr:rowOff>
    </xdr:to>
    <xdr:cxnSp macro="">
      <xdr:nvCxnSpPr>
        <xdr:cNvPr id="43132" name="CNtp79c11routec"/>
        <xdr:cNvCxnSpPr>
          <a:stCxn id="43111" idx="6"/>
          <a:endCxn id="43130" idx="2"/>
        </xdr:cNvCxnSpPr>
      </xdr:nvCxnSpPr>
      <xdr:spPr>
        <a:xfrm>
          <a:off x="3809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238126</xdr:colOff>
      <xdr:row>4</xdr:row>
      <xdr:rowOff>238126</xdr:rowOff>
    </xdr:from>
    <xdr:to>
      <xdr:col>79</xdr:col>
      <xdr:colOff>238125</xdr:colOff>
      <xdr:row>4</xdr:row>
      <xdr:rowOff>250826</xdr:rowOff>
    </xdr:to>
    <xdr:cxnSp macro="">
      <xdr:nvCxnSpPr>
        <xdr:cNvPr id="43131" name="CNtp79c11routev"/>
        <xdr:cNvCxnSpPr>
          <a:stCxn id="43111" idx="6"/>
          <a:endCxn id="43130" idx="2"/>
        </xdr:cNvCxnSpPr>
      </xdr:nvCxnSpPr>
      <xdr:spPr>
        <a:xfrm>
          <a:off x="3809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238126</xdr:colOff>
      <xdr:row>28</xdr:row>
      <xdr:rowOff>238126</xdr:rowOff>
    </xdr:from>
    <xdr:to>
      <xdr:col>78</xdr:col>
      <xdr:colOff>238125</xdr:colOff>
      <xdr:row>28</xdr:row>
      <xdr:rowOff>250826</xdr:rowOff>
    </xdr:to>
    <xdr:cxnSp macro="">
      <xdr:nvCxnSpPr>
        <xdr:cNvPr id="43128" name="CNtp78c13routeb"/>
        <xdr:cNvCxnSpPr>
          <a:stCxn id="43106" idx="6"/>
          <a:endCxn id="43125" idx="2"/>
        </xdr:cNvCxnSpPr>
      </xdr:nvCxnSpPr>
      <xdr:spPr>
        <a:xfrm>
          <a:off x="3761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238126</xdr:colOff>
      <xdr:row>28</xdr:row>
      <xdr:rowOff>238126</xdr:rowOff>
    </xdr:from>
    <xdr:to>
      <xdr:col>78</xdr:col>
      <xdr:colOff>238125</xdr:colOff>
      <xdr:row>28</xdr:row>
      <xdr:rowOff>250826</xdr:rowOff>
    </xdr:to>
    <xdr:cxnSp macro="">
      <xdr:nvCxnSpPr>
        <xdr:cNvPr id="43127" name="CNtp78c13routec"/>
        <xdr:cNvCxnSpPr>
          <a:stCxn id="43106" idx="6"/>
          <a:endCxn id="43125" idx="2"/>
        </xdr:cNvCxnSpPr>
      </xdr:nvCxnSpPr>
      <xdr:spPr>
        <a:xfrm>
          <a:off x="3761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238126</xdr:colOff>
      <xdr:row>28</xdr:row>
      <xdr:rowOff>238126</xdr:rowOff>
    </xdr:from>
    <xdr:to>
      <xdr:col>78</xdr:col>
      <xdr:colOff>238125</xdr:colOff>
      <xdr:row>28</xdr:row>
      <xdr:rowOff>250826</xdr:rowOff>
    </xdr:to>
    <xdr:cxnSp macro="">
      <xdr:nvCxnSpPr>
        <xdr:cNvPr id="43126" name="CNtp78c13routev"/>
        <xdr:cNvCxnSpPr>
          <a:stCxn id="43106" idx="6"/>
          <a:endCxn id="43125" idx="2"/>
        </xdr:cNvCxnSpPr>
      </xdr:nvCxnSpPr>
      <xdr:spPr>
        <a:xfrm>
          <a:off x="3761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238126</xdr:colOff>
      <xdr:row>18</xdr:row>
      <xdr:rowOff>238126</xdr:rowOff>
    </xdr:from>
    <xdr:to>
      <xdr:col>78</xdr:col>
      <xdr:colOff>238125</xdr:colOff>
      <xdr:row>18</xdr:row>
      <xdr:rowOff>250826</xdr:rowOff>
    </xdr:to>
    <xdr:cxnSp macro="">
      <xdr:nvCxnSpPr>
        <xdr:cNvPr id="43124" name="CNtp78c12routeb"/>
        <xdr:cNvCxnSpPr>
          <a:stCxn id="43100" idx="6"/>
          <a:endCxn id="43121" idx="2"/>
        </xdr:cNvCxnSpPr>
      </xdr:nvCxnSpPr>
      <xdr:spPr>
        <a:xfrm>
          <a:off x="3761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238126</xdr:colOff>
      <xdr:row>18</xdr:row>
      <xdr:rowOff>238126</xdr:rowOff>
    </xdr:from>
    <xdr:to>
      <xdr:col>78</xdr:col>
      <xdr:colOff>238125</xdr:colOff>
      <xdr:row>18</xdr:row>
      <xdr:rowOff>250826</xdr:rowOff>
    </xdr:to>
    <xdr:cxnSp macro="">
      <xdr:nvCxnSpPr>
        <xdr:cNvPr id="43123" name="CNtp78c12routec"/>
        <xdr:cNvCxnSpPr>
          <a:stCxn id="43100" idx="6"/>
          <a:endCxn id="43121" idx="2"/>
        </xdr:cNvCxnSpPr>
      </xdr:nvCxnSpPr>
      <xdr:spPr>
        <a:xfrm>
          <a:off x="3761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238126</xdr:colOff>
      <xdr:row>18</xdr:row>
      <xdr:rowOff>238126</xdr:rowOff>
    </xdr:from>
    <xdr:to>
      <xdr:col>78</xdr:col>
      <xdr:colOff>238125</xdr:colOff>
      <xdr:row>18</xdr:row>
      <xdr:rowOff>250826</xdr:rowOff>
    </xdr:to>
    <xdr:cxnSp macro="">
      <xdr:nvCxnSpPr>
        <xdr:cNvPr id="43122" name="CNtp78c12routev"/>
        <xdr:cNvCxnSpPr>
          <a:stCxn id="43100" idx="6"/>
          <a:endCxn id="43121" idx="2"/>
        </xdr:cNvCxnSpPr>
      </xdr:nvCxnSpPr>
      <xdr:spPr>
        <a:xfrm>
          <a:off x="3761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238126</xdr:colOff>
      <xdr:row>8</xdr:row>
      <xdr:rowOff>238126</xdr:rowOff>
    </xdr:from>
    <xdr:to>
      <xdr:col>78</xdr:col>
      <xdr:colOff>238125</xdr:colOff>
      <xdr:row>8</xdr:row>
      <xdr:rowOff>250826</xdr:rowOff>
    </xdr:to>
    <xdr:cxnSp macro="">
      <xdr:nvCxnSpPr>
        <xdr:cNvPr id="43116" name="CNtp78c11routeb"/>
        <xdr:cNvCxnSpPr>
          <a:stCxn id="43094" idx="6"/>
          <a:endCxn id="43115" idx="2"/>
        </xdr:cNvCxnSpPr>
      </xdr:nvCxnSpPr>
      <xdr:spPr>
        <a:xfrm>
          <a:off x="376142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238126</xdr:colOff>
      <xdr:row>4</xdr:row>
      <xdr:rowOff>238126</xdr:rowOff>
    </xdr:from>
    <xdr:to>
      <xdr:col>78</xdr:col>
      <xdr:colOff>238125</xdr:colOff>
      <xdr:row>4</xdr:row>
      <xdr:rowOff>250826</xdr:rowOff>
    </xdr:to>
    <xdr:cxnSp macro="">
      <xdr:nvCxnSpPr>
        <xdr:cNvPr id="43113" name="CNtp78c11routec"/>
        <xdr:cNvCxnSpPr>
          <a:stCxn id="43087" idx="6"/>
          <a:endCxn id="43111" idx="2"/>
        </xdr:cNvCxnSpPr>
      </xdr:nvCxnSpPr>
      <xdr:spPr>
        <a:xfrm>
          <a:off x="3761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238126</xdr:colOff>
      <xdr:row>4</xdr:row>
      <xdr:rowOff>238126</xdr:rowOff>
    </xdr:from>
    <xdr:to>
      <xdr:col>78</xdr:col>
      <xdr:colOff>238125</xdr:colOff>
      <xdr:row>4</xdr:row>
      <xdr:rowOff>250826</xdr:rowOff>
    </xdr:to>
    <xdr:cxnSp macro="">
      <xdr:nvCxnSpPr>
        <xdr:cNvPr id="43112" name="CNtp78c11routev"/>
        <xdr:cNvCxnSpPr>
          <a:stCxn id="43087" idx="6"/>
          <a:endCxn id="43111" idx="2"/>
        </xdr:cNvCxnSpPr>
      </xdr:nvCxnSpPr>
      <xdr:spPr>
        <a:xfrm>
          <a:off x="3761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238126</xdr:colOff>
      <xdr:row>28</xdr:row>
      <xdr:rowOff>238126</xdr:rowOff>
    </xdr:from>
    <xdr:to>
      <xdr:col>77</xdr:col>
      <xdr:colOff>238125</xdr:colOff>
      <xdr:row>28</xdr:row>
      <xdr:rowOff>250826</xdr:rowOff>
    </xdr:to>
    <xdr:cxnSp macro="">
      <xdr:nvCxnSpPr>
        <xdr:cNvPr id="43109" name="CNtp77c13routeb"/>
        <xdr:cNvCxnSpPr>
          <a:stCxn id="43081" idx="6"/>
          <a:endCxn id="43106" idx="2"/>
        </xdr:cNvCxnSpPr>
      </xdr:nvCxnSpPr>
      <xdr:spPr>
        <a:xfrm>
          <a:off x="3713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238126</xdr:colOff>
      <xdr:row>28</xdr:row>
      <xdr:rowOff>238126</xdr:rowOff>
    </xdr:from>
    <xdr:to>
      <xdr:col>77</xdr:col>
      <xdr:colOff>238125</xdr:colOff>
      <xdr:row>28</xdr:row>
      <xdr:rowOff>250826</xdr:rowOff>
    </xdr:to>
    <xdr:cxnSp macro="">
      <xdr:nvCxnSpPr>
        <xdr:cNvPr id="43108" name="CNtp77c13routec"/>
        <xdr:cNvCxnSpPr>
          <a:stCxn id="43081" idx="6"/>
          <a:endCxn id="43106" idx="2"/>
        </xdr:cNvCxnSpPr>
      </xdr:nvCxnSpPr>
      <xdr:spPr>
        <a:xfrm>
          <a:off x="3713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238126</xdr:colOff>
      <xdr:row>28</xdr:row>
      <xdr:rowOff>238126</xdr:rowOff>
    </xdr:from>
    <xdr:to>
      <xdr:col>77</xdr:col>
      <xdr:colOff>238125</xdr:colOff>
      <xdr:row>28</xdr:row>
      <xdr:rowOff>250826</xdr:rowOff>
    </xdr:to>
    <xdr:cxnSp macro="">
      <xdr:nvCxnSpPr>
        <xdr:cNvPr id="43107" name="CNtp77c13routev"/>
        <xdr:cNvCxnSpPr>
          <a:stCxn id="43081" idx="6"/>
          <a:endCxn id="43106" idx="2"/>
        </xdr:cNvCxnSpPr>
      </xdr:nvCxnSpPr>
      <xdr:spPr>
        <a:xfrm>
          <a:off x="3713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238126</xdr:colOff>
      <xdr:row>18</xdr:row>
      <xdr:rowOff>238126</xdr:rowOff>
    </xdr:from>
    <xdr:to>
      <xdr:col>77</xdr:col>
      <xdr:colOff>238125</xdr:colOff>
      <xdr:row>18</xdr:row>
      <xdr:rowOff>250826</xdr:rowOff>
    </xdr:to>
    <xdr:cxnSp macro="">
      <xdr:nvCxnSpPr>
        <xdr:cNvPr id="43103" name="CNtp77c12routeb"/>
        <xdr:cNvCxnSpPr>
          <a:stCxn id="43075" idx="6"/>
          <a:endCxn id="43100" idx="2"/>
        </xdr:cNvCxnSpPr>
      </xdr:nvCxnSpPr>
      <xdr:spPr>
        <a:xfrm>
          <a:off x="3713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238126</xdr:colOff>
      <xdr:row>18</xdr:row>
      <xdr:rowOff>238126</xdr:rowOff>
    </xdr:from>
    <xdr:to>
      <xdr:col>77</xdr:col>
      <xdr:colOff>238125</xdr:colOff>
      <xdr:row>18</xdr:row>
      <xdr:rowOff>250826</xdr:rowOff>
    </xdr:to>
    <xdr:cxnSp macro="">
      <xdr:nvCxnSpPr>
        <xdr:cNvPr id="43102" name="CNtp77c12routec"/>
        <xdr:cNvCxnSpPr>
          <a:stCxn id="43075" idx="6"/>
          <a:endCxn id="43100" idx="2"/>
        </xdr:cNvCxnSpPr>
      </xdr:nvCxnSpPr>
      <xdr:spPr>
        <a:xfrm>
          <a:off x="3713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238126</xdr:colOff>
      <xdr:row>18</xdr:row>
      <xdr:rowOff>238126</xdr:rowOff>
    </xdr:from>
    <xdr:to>
      <xdr:col>77</xdr:col>
      <xdr:colOff>238125</xdr:colOff>
      <xdr:row>18</xdr:row>
      <xdr:rowOff>250826</xdr:rowOff>
    </xdr:to>
    <xdr:cxnSp macro="">
      <xdr:nvCxnSpPr>
        <xdr:cNvPr id="43101" name="CNtp77c12routev"/>
        <xdr:cNvCxnSpPr>
          <a:stCxn id="43075" idx="6"/>
          <a:endCxn id="43100" idx="2"/>
        </xdr:cNvCxnSpPr>
      </xdr:nvCxnSpPr>
      <xdr:spPr>
        <a:xfrm>
          <a:off x="3713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238126</xdr:colOff>
      <xdr:row>8</xdr:row>
      <xdr:rowOff>238126</xdr:rowOff>
    </xdr:from>
    <xdr:to>
      <xdr:col>77</xdr:col>
      <xdr:colOff>238125</xdr:colOff>
      <xdr:row>8</xdr:row>
      <xdr:rowOff>250826</xdr:rowOff>
    </xdr:to>
    <xdr:cxnSp macro="">
      <xdr:nvCxnSpPr>
        <xdr:cNvPr id="43095" name="CNtp77c11routeb"/>
        <xdr:cNvCxnSpPr>
          <a:stCxn id="43069" idx="6"/>
          <a:endCxn id="43094" idx="2"/>
        </xdr:cNvCxnSpPr>
      </xdr:nvCxnSpPr>
      <xdr:spPr>
        <a:xfrm>
          <a:off x="37137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238126</xdr:colOff>
      <xdr:row>4</xdr:row>
      <xdr:rowOff>238126</xdr:rowOff>
    </xdr:from>
    <xdr:to>
      <xdr:col>77</xdr:col>
      <xdr:colOff>238125</xdr:colOff>
      <xdr:row>4</xdr:row>
      <xdr:rowOff>250826</xdr:rowOff>
    </xdr:to>
    <xdr:cxnSp macro="">
      <xdr:nvCxnSpPr>
        <xdr:cNvPr id="43089" name="CNtp77c11routec"/>
        <xdr:cNvCxnSpPr>
          <a:stCxn id="43062" idx="6"/>
          <a:endCxn id="43087" idx="2"/>
        </xdr:cNvCxnSpPr>
      </xdr:nvCxnSpPr>
      <xdr:spPr>
        <a:xfrm>
          <a:off x="3713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238126</xdr:colOff>
      <xdr:row>4</xdr:row>
      <xdr:rowOff>238126</xdr:rowOff>
    </xdr:from>
    <xdr:to>
      <xdr:col>77</xdr:col>
      <xdr:colOff>238125</xdr:colOff>
      <xdr:row>4</xdr:row>
      <xdr:rowOff>250826</xdr:rowOff>
    </xdr:to>
    <xdr:cxnSp macro="">
      <xdr:nvCxnSpPr>
        <xdr:cNvPr id="43088" name="CNtp77c11routev"/>
        <xdr:cNvCxnSpPr>
          <a:stCxn id="43062" idx="6"/>
          <a:endCxn id="43087" idx="2"/>
        </xdr:cNvCxnSpPr>
      </xdr:nvCxnSpPr>
      <xdr:spPr>
        <a:xfrm>
          <a:off x="3713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238126</xdr:colOff>
      <xdr:row>28</xdr:row>
      <xdr:rowOff>238126</xdr:rowOff>
    </xdr:from>
    <xdr:to>
      <xdr:col>76</xdr:col>
      <xdr:colOff>238125</xdr:colOff>
      <xdr:row>28</xdr:row>
      <xdr:rowOff>250826</xdr:rowOff>
    </xdr:to>
    <xdr:cxnSp macro="">
      <xdr:nvCxnSpPr>
        <xdr:cNvPr id="43084" name="CNtp76c13routeb"/>
        <xdr:cNvCxnSpPr>
          <a:stCxn id="43054" idx="6"/>
          <a:endCxn id="43081" idx="2"/>
        </xdr:cNvCxnSpPr>
      </xdr:nvCxnSpPr>
      <xdr:spPr>
        <a:xfrm>
          <a:off x="3666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238126</xdr:colOff>
      <xdr:row>28</xdr:row>
      <xdr:rowOff>238126</xdr:rowOff>
    </xdr:from>
    <xdr:to>
      <xdr:col>76</xdr:col>
      <xdr:colOff>238125</xdr:colOff>
      <xdr:row>28</xdr:row>
      <xdr:rowOff>250826</xdr:rowOff>
    </xdr:to>
    <xdr:cxnSp macro="">
      <xdr:nvCxnSpPr>
        <xdr:cNvPr id="43083" name="CNtp76c13routec"/>
        <xdr:cNvCxnSpPr>
          <a:stCxn id="43054" idx="6"/>
          <a:endCxn id="43081" idx="2"/>
        </xdr:cNvCxnSpPr>
      </xdr:nvCxnSpPr>
      <xdr:spPr>
        <a:xfrm>
          <a:off x="3666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238126</xdr:colOff>
      <xdr:row>28</xdr:row>
      <xdr:rowOff>238126</xdr:rowOff>
    </xdr:from>
    <xdr:to>
      <xdr:col>76</xdr:col>
      <xdr:colOff>238125</xdr:colOff>
      <xdr:row>28</xdr:row>
      <xdr:rowOff>250826</xdr:rowOff>
    </xdr:to>
    <xdr:cxnSp macro="">
      <xdr:nvCxnSpPr>
        <xdr:cNvPr id="43082" name="CNtp76c13routev"/>
        <xdr:cNvCxnSpPr>
          <a:stCxn id="43054" idx="6"/>
          <a:endCxn id="43081" idx="2"/>
        </xdr:cNvCxnSpPr>
      </xdr:nvCxnSpPr>
      <xdr:spPr>
        <a:xfrm>
          <a:off x="3666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238126</xdr:colOff>
      <xdr:row>18</xdr:row>
      <xdr:rowOff>238126</xdr:rowOff>
    </xdr:from>
    <xdr:to>
      <xdr:col>76</xdr:col>
      <xdr:colOff>238125</xdr:colOff>
      <xdr:row>18</xdr:row>
      <xdr:rowOff>250826</xdr:rowOff>
    </xdr:to>
    <xdr:cxnSp macro="">
      <xdr:nvCxnSpPr>
        <xdr:cNvPr id="43078" name="CNtp76c12routeb"/>
        <xdr:cNvCxnSpPr>
          <a:stCxn id="43044" idx="6"/>
          <a:endCxn id="43075" idx="2"/>
        </xdr:cNvCxnSpPr>
      </xdr:nvCxnSpPr>
      <xdr:spPr>
        <a:xfrm>
          <a:off x="3666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238126</xdr:colOff>
      <xdr:row>18</xdr:row>
      <xdr:rowOff>238126</xdr:rowOff>
    </xdr:from>
    <xdr:to>
      <xdr:col>76</xdr:col>
      <xdr:colOff>238125</xdr:colOff>
      <xdr:row>18</xdr:row>
      <xdr:rowOff>250826</xdr:rowOff>
    </xdr:to>
    <xdr:cxnSp macro="">
      <xdr:nvCxnSpPr>
        <xdr:cNvPr id="43077" name="CNtp76c12routec"/>
        <xdr:cNvCxnSpPr>
          <a:stCxn id="43044" idx="6"/>
          <a:endCxn id="43075" idx="2"/>
        </xdr:cNvCxnSpPr>
      </xdr:nvCxnSpPr>
      <xdr:spPr>
        <a:xfrm>
          <a:off x="3666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238126</xdr:colOff>
      <xdr:row>18</xdr:row>
      <xdr:rowOff>238126</xdr:rowOff>
    </xdr:from>
    <xdr:to>
      <xdr:col>76</xdr:col>
      <xdr:colOff>238125</xdr:colOff>
      <xdr:row>18</xdr:row>
      <xdr:rowOff>250826</xdr:rowOff>
    </xdr:to>
    <xdr:cxnSp macro="">
      <xdr:nvCxnSpPr>
        <xdr:cNvPr id="43076" name="CNtp76c12routev"/>
        <xdr:cNvCxnSpPr>
          <a:stCxn id="43044" idx="6"/>
          <a:endCxn id="43075" idx="2"/>
        </xdr:cNvCxnSpPr>
      </xdr:nvCxnSpPr>
      <xdr:spPr>
        <a:xfrm>
          <a:off x="3666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238126</xdr:colOff>
      <xdr:row>8</xdr:row>
      <xdr:rowOff>238126</xdr:rowOff>
    </xdr:from>
    <xdr:to>
      <xdr:col>76</xdr:col>
      <xdr:colOff>238125</xdr:colOff>
      <xdr:row>8</xdr:row>
      <xdr:rowOff>250826</xdr:rowOff>
    </xdr:to>
    <xdr:cxnSp macro="">
      <xdr:nvCxnSpPr>
        <xdr:cNvPr id="43070" name="CNtp76c11routeb"/>
        <xdr:cNvCxnSpPr>
          <a:stCxn id="43039" idx="6"/>
          <a:endCxn id="43069" idx="2"/>
        </xdr:cNvCxnSpPr>
      </xdr:nvCxnSpPr>
      <xdr:spPr>
        <a:xfrm>
          <a:off x="36661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238126</xdr:colOff>
      <xdr:row>4</xdr:row>
      <xdr:rowOff>238126</xdr:rowOff>
    </xdr:from>
    <xdr:to>
      <xdr:col>76</xdr:col>
      <xdr:colOff>238125</xdr:colOff>
      <xdr:row>4</xdr:row>
      <xdr:rowOff>250826</xdr:rowOff>
    </xdr:to>
    <xdr:cxnSp macro="">
      <xdr:nvCxnSpPr>
        <xdr:cNvPr id="43064" name="CNtp76c11routec"/>
        <xdr:cNvCxnSpPr>
          <a:stCxn id="43032" idx="6"/>
          <a:endCxn id="43062" idx="2"/>
        </xdr:cNvCxnSpPr>
      </xdr:nvCxnSpPr>
      <xdr:spPr>
        <a:xfrm>
          <a:off x="3666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238126</xdr:colOff>
      <xdr:row>4</xdr:row>
      <xdr:rowOff>238126</xdr:rowOff>
    </xdr:from>
    <xdr:to>
      <xdr:col>76</xdr:col>
      <xdr:colOff>238125</xdr:colOff>
      <xdr:row>4</xdr:row>
      <xdr:rowOff>250826</xdr:rowOff>
    </xdr:to>
    <xdr:cxnSp macro="">
      <xdr:nvCxnSpPr>
        <xdr:cNvPr id="43063" name="CNtp76c11routev"/>
        <xdr:cNvCxnSpPr>
          <a:stCxn id="43032" idx="6"/>
          <a:endCxn id="43062" idx="2"/>
        </xdr:cNvCxnSpPr>
      </xdr:nvCxnSpPr>
      <xdr:spPr>
        <a:xfrm>
          <a:off x="3666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238126</xdr:colOff>
      <xdr:row>28</xdr:row>
      <xdr:rowOff>238126</xdr:rowOff>
    </xdr:from>
    <xdr:to>
      <xdr:col>75</xdr:col>
      <xdr:colOff>238125</xdr:colOff>
      <xdr:row>28</xdr:row>
      <xdr:rowOff>250826</xdr:rowOff>
    </xdr:to>
    <xdr:cxnSp macro="">
      <xdr:nvCxnSpPr>
        <xdr:cNvPr id="43057" name="CNtp75c13routeb"/>
        <xdr:cNvCxnSpPr>
          <a:stCxn id="43024" idx="6"/>
          <a:endCxn id="43054" idx="2"/>
        </xdr:cNvCxnSpPr>
      </xdr:nvCxnSpPr>
      <xdr:spPr>
        <a:xfrm>
          <a:off x="3618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238126</xdr:colOff>
      <xdr:row>28</xdr:row>
      <xdr:rowOff>238126</xdr:rowOff>
    </xdr:from>
    <xdr:to>
      <xdr:col>75</xdr:col>
      <xdr:colOff>238125</xdr:colOff>
      <xdr:row>28</xdr:row>
      <xdr:rowOff>250826</xdr:rowOff>
    </xdr:to>
    <xdr:cxnSp macro="">
      <xdr:nvCxnSpPr>
        <xdr:cNvPr id="43056" name="CNtp75c13routec"/>
        <xdr:cNvCxnSpPr>
          <a:stCxn id="43024" idx="6"/>
          <a:endCxn id="43054" idx="2"/>
        </xdr:cNvCxnSpPr>
      </xdr:nvCxnSpPr>
      <xdr:spPr>
        <a:xfrm>
          <a:off x="3618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238126</xdr:colOff>
      <xdr:row>28</xdr:row>
      <xdr:rowOff>238126</xdr:rowOff>
    </xdr:from>
    <xdr:to>
      <xdr:col>75</xdr:col>
      <xdr:colOff>238125</xdr:colOff>
      <xdr:row>28</xdr:row>
      <xdr:rowOff>250826</xdr:rowOff>
    </xdr:to>
    <xdr:cxnSp macro="">
      <xdr:nvCxnSpPr>
        <xdr:cNvPr id="43055" name="CNtp75c13routev"/>
        <xdr:cNvCxnSpPr>
          <a:stCxn id="43024" idx="6"/>
          <a:endCxn id="43054" idx="2"/>
        </xdr:cNvCxnSpPr>
      </xdr:nvCxnSpPr>
      <xdr:spPr>
        <a:xfrm>
          <a:off x="3618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238126</xdr:colOff>
      <xdr:row>18</xdr:row>
      <xdr:rowOff>238126</xdr:rowOff>
    </xdr:from>
    <xdr:to>
      <xdr:col>75</xdr:col>
      <xdr:colOff>238125</xdr:colOff>
      <xdr:row>18</xdr:row>
      <xdr:rowOff>250826</xdr:rowOff>
    </xdr:to>
    <xdr:cxnSp macro="">
      <xdr:nvCxnSpPr>
        <xdr:cNvPr id="43047" name="CNtp75c12routeb"/>
        <xdr:cNvCxnSpPr>
          <a:stCxn id="43015" idx="6"/>
          <a:endCxn id="43044" idx="2"/>
        </xdr:cNvCxnSpPr>
      </xdr:nvCxnSpPr>
      <xdr:spPr>
        <a:xfrm>
          <a:off x="3618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238126</xdr:colOff>
      <xdr:row>18</xdr:row>
      <xdr:rowOff>238126</xdr:rowOff>
    </xdr:from>
    <xdr:to>
      <xdr:col>75</xdr:col>
      <xdr:colOff>238125</xdr:colOff>
      <xdr:row>18</xdr:row>
      <xdr:rowOff>250826</xdr:rowOff>
    </xdr:to>
    <xdr:cxnSp macro="">
      <xdr:nvCxnSpPr>
        <xdr:cNvPr id="43046" name="CNtp75c12routec"/>
        <xdr:cNvCxnSpPr>
          <a:stCxn id="43015" idx="6"/>
          <a:endCxn id="43044" idx="2"/>
        </xdr:cNvCxnSpPr>
      </xdr:nvCxnSpPr>
      <xdr:spPr>
        <a:xfrm>
          <a:off x="3618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238126</xdr:colOff>
      <xdr:row>17</xdr:row>
      <xdr:rowOff>238126</xdr:rowOff>
    </xdr:from>
    <xdr:to>
      <xdr:col>75</xdr:col>
      <xdr:colOff>238125</xdr:colOff>
      <xdr:row>18</xdr:row>
      <xdr:rowOff>238126</xdr:rowOff>
    </xdr:to>
    <xdr:cxnSp macro="">
      <xdr:nvCxnSpPr>
        <xdr:cNvPr id="43045" name="CNtp75c12routev"/>
        <xdr:cNvCxnSpPr>
          <a:stCxn id="43012" idx="6"/>
          <a:endCxn id="43044" idx="2"/>
        </xdr:cNvCxnSpPr>
      </xdr:nvCxnSpPr>
      <xdr:spPr>
        <a:xfrm>
          <a:off x="36185476" y="94773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238126</xdr:colOff>
      <xdr:row>4</xdr:row>
      <xdr:rowOff>238126</xdr:rowOff>
    </xdr:from>
    <xdr:to>
      <xdr:col>75</xdr:col>
      <xdr:colOff>238125</xdr:colOff>
      <xdr:row>8</xdr:row>
      <xdr:rowOff>238126</xdr:rowOff>
    </xdr:to>
    <xdr:cxnSp macro="">
      <xdr:nvCxnSpPr>
        <xdr:cNvPr id="43040" name="CNtp75c11routeb"/>
        <xdr:cNvCxnSpPr>
          <a:stCxn id="43005" idx="6"/>
          <a:endCxn id="43039" idx="2"/>
        </xdr:cNvCxnSpPr>
      </xdr:nvCxnSpPr>
      <xdr:spPr>
        <a:xfrm>
          <a:off x="361854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238126</xdr:colOff>
      <xdr:row>4</xdr:row>
      <xdr:rowOff>238126</xdr:rowOff>
    </xdr:from>
    <xdr:to>
      <xdr:col>75</xdr:col>
      <xdr:colOff>238125</xdr:colOff>
      <xdr:row>4</xdr:row>
      <xdr:rowOff>250826</xdr:rowOff>
    </xdr:to>
    <xdr:cxnSp macro="">
      <xdr:nvCxnSpPr>
        <xdr:cNvPr id="43034" name="CNtp75c11routec"/>
        <xdr:cNvCxnSpPr>
          <a:stCxn id="43005" idx="6"/>
          <a:endCxn id="43032" idx="2"/>
        </xdr:cNvCxnSpPr>
      </xdr:nvCxnSpPr>
      <xdr:spPr>
        <a:xfrm>
          <a:off x="3618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238126</xdr:colOff>
      <xdr:row>4</xdr:row>
      <xdr:rowOff>238126</xdr:rowOff>
    </xdr:from>
    <xdr:to>
      <xdr:col>75</xdr:col>
      <xdr:colOff>238125</xdr:colOff>
      <xdr:row>4</xdr:row>
      <xdr:rowOff>250826</xdr:rowOff>
    </xdr:to>
    <xdr:cxnSp macro="">
      <xdr:nvCxnSpPr>
        <xdr:cNvPr id="43033" name="CNtp75c11routev"/>
        <xdr:cNvCxnSpPr>
          <a:stCxn id="43005" idx="6"/>
          <a:endCxn id="43032" idx="2"/>
        </xdr:cNvCxnSpPr>
      </xdr:nvCxnSpPr>
      <xdr:spPr>
        <a:xfrm>
          <a:off x="3618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238126</xdr:colOff>
      <xdr:row>28</xdr:row>
      <xdr:rowOff>238126</xdr:rowOff>
    </xdr:from>
    <xdr:to>
      <xdr:col>74</xdr:col>
      <xdr:colOff>238125</xdr:colOff>
      <xdr:row>28</xdr:row>
      <xdr:rowOff>250826</xdr:rowOff>
    </xdr:to>
    <xdr:cxnSp macro="">
      <xdr:nvCxnSpPr>
        <xdr:cNvPr id="43027" name="CNtp74c13routeb"/>
        <xdr:cNvCxnSpPr>
          <a:stCxn id="42998" idx="6"/>
          <a:endCxn id="43024" idx="2"/>
        </xdr:cNvCxnSpPr>
      </xdr:nvCxnSpPr>
      <xdr:spPr>
        <a:xfrm>
          <a:off x="3570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238126</xdr:colOff>
      <xdr:row>28</xdr:row>
      <xdr:rowOff>238126</xdr:rowOff>
    </xdr:from>
    <xdr:to>
      <xdr:col>74</xdr:col>
      <xdr:colOff>238125</xdr:colOff>
      <xdr:row>28</xdr:row>
      <xdr:rowOff>250826</xdr:rowOff>
    </xdr:to>
    <xdr:cxnSp macro="">
      <xdr:nvCxnSpPr>
        <xdr:cNvPr id="43026" name="CNtp74c13routec"/>
        <xdr:cNvCxnSpPr>
          <a:stCxn id="42998" idx="6"/>
          <a:endCxn id="43024" idx="2"/>
        </xdr:cNvCxnSpPr>
      </xdr:nvCxnSpPr>
      <xdr:spPr>
        <a:xfrm>
          <a:off x="3570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238126</xdr:colOff>
      <xdr:row>28</xdr:row>
      <xdr:rowOff>238126</xdr:rowOff>
    </xdr:from>
    <xdr:to>
      <xdr:col>74</xdr:col>
      <xdr:colOff>238125</xdr:colOff>
      <xdr:row>28</xdr:row>
      <xdr:rowOff>250826</xdr:rowOff>
    </xdr:to>
    <xdr:cxnSp macro="">
      <xdr:nvCxnSpPr>
        <xdr:cNvPr id="43025" name="CNtp74c13routev"/>
        <xdr:cNvCxnSpPr>
          <a:stCxn id="42998" idx="6"/>
          <a:endCxn id="43024" idx="2"/>
        </xdr:cNvCxnSpPr>
      </xdr:nvCxnSpPr>
      <xdr:spPr>
        <a:xfrm>
          <a:off x="3570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238126</xdr:colOff>
      <xdr:row>18</xdr:row>
      <xdr:rowOff>238126</xdr:rowOff>
    </xdr:from>
    <xdr:to>
      <xdr:col>74</xdr:col>
      <xdr:colOff>238125</xdr:colOff>
      <xdr:row>18</xdr:row>
      <xdr:rowOff>250826</xdr:rowOff>
    </xdr:to>
    <xdr:cxnSp macro="">
      <xdr:nvCxnSpPr>
        <xdr:cNvPr id="43017" name="CNtp74c12routeb"/>
        <xdr:cNvCxnSpPr>
          <a:stCxn id="42989" idx="6"/>
          <a:endCxn id="43015" idx="2"/>
        </xdr:cNvCxnSpPr>
      </xdr:nvCxnSpPr>
      <xdr:spPr>
        <a:xfrm>
          <a:off x="3570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238126</xdr:colOff>
      <xdr:row>18</xdr:row>
      <xdr:rowOff>238126</xdr:rowOff>
    </xdr:from>
    <xdr:to>
      <xdr:col>74</xdr:col>
      <xdr:colOff>238125</xdr:colOff>
      <xdr:row>18</xdr:row>
      <xdr:rowOff>250826</xdr:rowOff>
    </xdr:to>
    <xdr:cxnSp macro="">
      <xdr:nvCxnSpPr>
        <xdr:cNvPr id="43016" name="CNtp74c12routec"/>
        <xdr:cNvCxnSpPr>
          <a:stCxn id="42989" idx="6"/>
          <a:endCxn id="43015" idx="2"/>
        </xdr:cNvCxnSpPr>
      </xdr:nvCxnSpPr>
      <xdr:spPr>
        <a:xfrm>
          <a:off x="3570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238126</xdr:colOff>
      <xdr:row>17</xdr:row>
      <xdr:rowOff>238126</xdr:rowOff>
    </xdr:from>
    <xdr:to>
      <xdr:col>74</xdr:col>
      <xdr:colOff>238125</xdr:colOff>
      <xdr:row>17</xdr:row>
      <xdr:rowOff>250826</xdr:rowOff>
    </xdr:to>
    <xdr:cxnSp macro="">
      <xdr:nvCxnSpPr>
        <xdr:cNvPr id="43013" name="CNtp74c12routev"/>
        <xdr:cNvCxnSpPr>
          <a:stCxn id="42986" idx="6"/>
          <a:endCxn id="43012" idx="2"/>
        </xdr:cNvCxnSpPr>
      </xdr:nvCxnSpPr>
      <xdr:spPr>
        <a:xfrm>
          <a:off x="35709226" y="9477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238126</xdr:colOff>
      <xdr:row>4</xdr:row>
      <xdr:rowOff>238126</xdr:rowOff>
    </xdr:from>
    <xdr:to>
      <xdr:col>74</xdr:col>
      <xdr:colOff>238125</xdr:colOff>
      <xdr:row>4</xdr:row>
      <xdr:rowOff>250826</xdr:rowOff>
    </xdr:to>
    <xdr:cxnSp macro="">
      <xdr:nvCxnSpPr>
        <xdr:cNvPr id="43008" name="CNtp74c11routeb"/>
        <xdr:cNvCxnSpPr>
          <a:stCxn id="42979" idx="6"/>
          <a:endCxn id="43005" idx="2"/>
        </xdr:cNvCxnSpPr>
      </xdr:nvCxnSpPr>
      <xdr:spPr>
        <a:xfrm>
          <a:off x="3570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238126</xdr:colOff>
      <xdr:row>4</xdr:row>
      <xdr:rowOff>238126</xdr:rowOff>
    </xdr:from>
    <xdr:to>
      <xdr:col>74</xdr:col>
      <xdr:colOff>238125</xdr:colOff>
      <xdr:row>4</xdr:row>
      <xdr:rowOff>250826</xdr:rowOff>
    </xdr:to>
    <xdr:cxnSp macro="">
      <xdr:nvCxnSpPr>
        <xdr:cNvPr id="43007" name="CNtp74c11routec"/>
        <xdr:cNvCxnSpPr>
          <a:stCxn id="42979" idx="6"/>
          <a:endCxn id="43005" idx="2"/>
        </xdr:cNvCxnSpPr>
      </xdr:nvCxnSpPr>
      <xdr:spPr>
        <a:xfrm>
          <a:off x="3570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238126</xdr:colOff>
      <xdr:row>4</xdr:row>
      <xdr:rowOff>238126</xdr:rowOff>
    </xdr:from>
    <xdr:to>
      <xdr:col>74</xdr:col>
      <xdr:colOff>238125</xdr:colOff>
      <xdr:row>4</xdr:row>
      <xdr:rowOff>250826</xdr:rowOff>
    </xdr:to>
    <xdr:cxnSp macro="">
      <xdr:nvCxnSpPr>
        <xdr:cNvPr id="43006" name="CNtp74c11routev"/>
        <xdr:cNvCxnSpPr>
          <a:stCxn id="42979" idx="6"/>
          <a:endCxn id="43005" idx="2"/>
        </xdr:cNvCxnSpPr>
      </xdr:nvCxnSpPr>
      <xdr:spPr>
        <a:xfrm>
          <a:off x="3570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238126</xdr:colOff>
      <xdr:row>28</xdr:row>
      <xdr:rowOff>238126</xdr:rowOff>
    </xdr:from>
    <xdr:to>
      <xdr:col>73</xdr:col>
      <xdr:colOff>238125</xdr:colOff>
      <xdr:row>28</xdr:row>
      <xdr:rowOff>250826</xdr:rowOff>
    </xdr:to>
    <xdr:cxnSp macro="">
      <xdr:nvCxnSpPr>
        <xdr:cNvPr id="43001" name="CNtp73c13routeb"/>
        <xdr:cNvCxnSpPr>
          <a:stCxn id="42972" idx="6"/>
          <a:endCxn id="42998" idx="2"/>
        </xdr:cNvCxnSpPr>
      </xdr:nvCxnSpPr>
      <xdr:spPr>
        <a:xfrm>
          <a:off x="3523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238126</xdr:colOff>
      <xdr:row>28</xdr:row>
      <xdr:rowOff>238126</xdr:rowOff>
    </xdr:from>
    <xdr:to>
      <xdr:col>73</xdr:col>
      <xdr:colOff>238125</xdr:colOff>
      <xdr:row>28</xdr:row>
      <xdr:rowOff>250826</xdr:rowOff>
    </xdr:to>
    <xdr:cxnSp macro="">
      <xdr:nvCxnSpPr>
        <xdr:cNvPr id="43000" name="CNtp73c13routec"/>
        <xdr:cNvCxnSpPr>
          <a:stCxn id="42972" idx="6"/>
          <a:endCxn id="42998" idx="2"/>
        </xdr:cNvCxnSpPr>
      </xdr:nvCxnSpPr>
      <xdr:spPr>
        <a:xfrm>
          <a:off x="3523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238126</xdr:colOff>
      <xdr:row>28</xdr:row>
      <xdr:rowOff>238126</xdr:rowOff>
    </xdr:from>
    <xdr:to>
      <xdr:col>73</xdr:col>
      <xdr:colOff>238125</xdr:colOff>
      <xdr:row>28</xdr:row>
      <xdr:rowOff>250826</xdr:rowOff>
    </xdr:to>
    <xdr:cxnSp macro="">
      <xdr:nvCxnSpPr>
        <xdr:cNvPr id="42999" name="CNtp73c13routev"/>
        <xdr:cNvCxnSpPr>
          <a:stCxn id="42972" idx="6"/>
          <a:endCxn id="42998" idx="2"/>
        </xdr:cNvCxnSpPr>
      </xdr:nvCxnSpPr>
      <xdr:spPr>
        <a:xfrm>
          <a:off x="3523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238126</xdr:colOff>
      <xdr:row>18</xdr:row>
      <xdr:rowOff>238126</xdr:rowOff>
    </xdr:from>
    <xdr:to>
      <xdr:col>73</xdr:col>
      <xdr:colOff>238125</xdr:colOff>
      <xdr:row>18</xdr:row>
      <xdr:rowOff>250826</xdr:rowOff>
    </xdr:to>
    <xdr:cxnSp macro="">
      <xdr:nvCxnSpPr>
        <xdr:cNvPr id="42991" name="CNtp73c12routeb"/>
        <xdr:cNvCxnSpPr>
          <a:stCxn id="42963" idx="6"/>
          <a:endCxn id="42989" idx="2"/>
        </xdr:cNvCxnSpPr>
      </xdr:nvCxnSpPr>
      <xdr:spPr>
        <a:xfrm>
          <a:off x="3523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238126</xdr:colOff>
      <xdr:row>18</xdr:row>
      <xdr:rowOff>238126</xdr:rowOff>
    </xdr:from>
    <xdr:to>
      <xdr:col>73</xdr:col>
      <xdr:colOff>238125</xdr:colOff>
      <xdr:row>18</xdr:row>
      <xdr:rowOff>250826</xdr:rowOff>
    </xdr:to>
    <xdr:cxnSp macro="">
      <xdr:nvCxnSpPr>
        <xdr:cNvPr id="42990" name="CNtp73c12routec"/>
        <xdr:cNvCxnSpPr>
          <a:stCxn id="42963" idx="6"/>
          <a:endCxn id="42989" idx="2"/>
        </xdr:cNvCxnSpPr>
      </xdr:nvCxnSpPr>
      <xdr:spPr>
        <a:xfrm>
          <a:off x="3523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238126</xdr:colOff>
      <xdr:row>17</xdr:row>
      <xdr:rowOff>238126</xdr:rowOff>
    </xdr:from>
    <xdr:to>
      <xdr:col>73</xdr:col>
      <xdr:colOff>238125</xdr:colOff>
      <xdr:row>17</xdr:row>
      <xdr:rowOff>250826</xdr:rowOff>
    </xdr:to>
    <xdr:cxnSp macro="">
      <xdr:nvCxnSpPr>
        <xdr:cNvPr id="42987" name="CNtp73c12routev"/>
        <xdr:cNvCxnSpPr>
          <a:stCxn id="42960" idx="6"/>
          <a:endCxn id="42986" idx="2"/>
        </xdr:cNvCxnSpPr>
      </xdr:nvCxnSpPr>
      <xdr:spPr>
        <a:xfrm>
          <a:off x="35232976" y="9477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238126</xdr:colOff>
      <xdr:row>4</xdr:row>
      <xdr:rowOff>238126</xdr:rowOff>
    </xdr:from>
    <xdr:to>
      <xdr:col>73</xdr:col>
      <xdr:colOff>238125</xdr:colOff>
      <xdr:row>8</xdr:row>
      <xdr:rowOff>238126</xdr:rowOff>
    </xdr:to>
    <xdr:cxnSp macro="">
      <xdr:nvCxnSpPr>
        <xdr:cNvPr id="42982" name="CNtp73c11routeb"/>
        <xdr:cNvCxnSpPr>
          <a:stCxn id="42955" idx="6"/>
          <a:endCxn id="42979" idx="2"/>
        </xdr:cNvCxnSpPr>
      </xdr:nvCxnSpPr>
      <xdr:spPr>
        <a:xfrm flipV="1">
          <a:off x="352329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238126</xdr:colOff>
      <xdr:row>4</xdr:row>
      <xdr:rowOff>238126</xdr:rowOff>
    </xdr:from>
    <xdr:to>
      <xdr:col>73</xdr:col>
      <xdr:colOff>238125</xdr:colOff>
      <xdr:row>4</xdr:row>
      <xdr:rowOff>250826</xdr:rowOff>
    </xdr:to>
    <xdr:cxnSp macro="">
      <xdr:nvCxnSpPr>
        <xdr:cNvPr id="42981" name="CNtp73c11routec"/>
        <xdr:cNvCxnSpPr>
          <a:stCxn id="42950" idx="6"/>
          <a:endCxn id="42979" idx="2"/>
        </xdr:cNvCxnSpPr>
      </xdr:nvCxnSpPr>
      <xdr:spPr>
        <a:xfrm>
          <a:off x="3523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238126</xdr:colOff>
      <xdr:row>4</xdr:row>
      <xdr:rowOff>238126</xdr:rowOff>
    </xdr:from>
    <xdr:to>
      <xdr:col>73</xdr:col>
      <xdr:colOff>238125</xdr:colOff>
      <xdr:row>4</xdr:row>
      <xdr:rowOff>250826</xdr:rowOff>
    </xdr:to>
    <xdr:cxnSp macro="">
      <xdr:nvCxnSpPr>
        <xdr:cNvPr id="42980" name="CNtp73c11routev"/>
        <xdr:cNvCxnSpPr>
          <a:stCxn id="42950" idx="6"/>
          <a:endCxn id="42979" idx="2"/>
        </xdr:cNvCxnSpPr>
      </xdr:nvCxnSpPr>
      <xdr:spPr>
        <a:xfrm>
          <a:off x="3523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238126</xdr:colOff>
      <xdr:row>23</xdr:row>
      <xdr:rowOff>238126</xdr:rowOff>
    </xdr:from>
    <xdr:to>
      <xdr:col>72</xdr:col>
      <xdr:colOff>238125</xdr:colOff>
      <xdr:row>28</xdr:row>
      <xdr:rowOff>238126</xdr:rowOff>
    </xdr:to>
    <xdr:cxnSp macro="">
      <xdr:nvCxnSpPr>
        <xdr:cNvPr id="42975" name="CNtp72c13routeb"/>
        <xdr:cNvCxnSpPr>
          <a:stCxn id="42944" idx="6"/>
          <a:endCxn id="42972" idx="2"/>
        </xdr:cNvCxnSpPr>
      </xdr:nvCxnSpPr>
      <xdr:spPr>
        <a:xfrm>
          <a:off x="347567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238126</xdr:colOff>
      <xdr:row>23</xdr:row>
      <xdr:rowOff>238126</xdr:rowOff>
    </xdr:from>
    <xdr:to>
      <xdr:col>72</xdr:col>
      <xdr:colOff>238125</xdr:colOff>
      <xdr:row>28</xdr:row>
      <xdr:rowOff>238126</xdr:rowOff>
    </xdr:to>
    <xdr:cxnSp macro="">
      <xdr:nvCxnSpPr>
        <xdr:cNvPr id="42974" name="CNtp72c13routec"/>
        <xdr:cNvCxnSpPr>
          <a:stCxn id="42944" idx="6"/>
          <a:endCxn id="42972" idx="2"/>
        </xdr:cNvCxnSpPr>
      </xdr:nvCxnSpPr>
      <xdr:spPr>
        <a:xfrm>
          <a:off x="347567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238126</xdr:colOff>
      <xdr:row>23</xdr:row>
      <xdr:rowOff>238126</xdr:rowOff>
    </xdr:from>
    <xdr:to>
      <xdr:col>72</xdr:col>
      <xdr:colOff>238125</xdr:colOff>
      <xdr:row>28</xdr:row>
      <xdr:rowOff>238126</xdr:rowOff>
    </xdr:to>
    <xdr:cxnSp macro="">
      <xdr:nvCxnSpPr>
        <xdr:cNvPr id="42973" name="CNtp72c13routev"/>
        <xdr:cNvCxnSpPr>
          <a:stCxn id="42944" idx="6"/>
          <a:endCxn id="42972" idx="2"/>
        </xdr:cNvCxnSpPr>
      </xdr:nvCxnSpPr>
      <xdr:spPr>
        <a:xfrm>
          <a:off x="347567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238126</xdr:colOff>
      <xdr:row>18</xdr:row>
      <xdr:rowOff>238126</xdr:rowOff>
    </xdr:from>
    <xdr:to>
      <xdr:col>72</xdr:col>
      <xdr:colOff>238125</xdr:colOff>
      <xdr:row>18</xdr:row>
      <xdr:rowOff>250826</xdr:rowOff>
    </xdr:to>
    <xdr:cxnSp macro="">
      <xdr:nvCxnSpPr>
        <xdr:cNvPr id="42965" name="CNtp72c12routeb"/>
        <xdr:cNvCxnSpPr>
          <a:stCxn id="42940" idx="6"/>
          <a:endCxn id="42963" idx="2"/>
        </xdr:cNvCxnSpPr>
      </xdr:nvCxnSpPr>
      <xdr:spPr>
        <a:xfrm>
          <a:off x="3475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238126</xdr:colOff>
      <xdr:row>18</xdr:row>
      <xdr:rowOff>238126</xdr:rowOff>
    </xdr:from>
    <xdr:to>
      <xdr:col>72</xdr:col>
      <xdr:colOff>238125</xdr:colOff>
      <xdr:row>18</xdr:row>
      <xdr:rowOff>250826</xdr:rowOff>
    </xdr:to>
    <xdr:cxnSp macro="">
      <xdr:nvCxnSpPr>
        <xdr:cNvPr id="42964" name="CNtp72c12routec"/>
        <xdr:cNvCxnSpPr>
          <a:stCxn id="42940" idx="6"/>
          <a:endCxn id="42963" idx="2"/>
        </xdr:cNvCxnSpPr>
      </xdr:nvCxnSpPr>
      <xdr:spPr>
        <a:xfrm>
          <a:off x="3475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238126</xdr:colOff>
      <xdr:row>17</xdr:row>
      <xdr:rowOff>238126</xdr:rowOff>
    </xdr:from>
    <xdr:to>
      <xdr:col>72</xdr:col>
      <xdr:colOff>238125</xdr:colOff>
      <xdr:row>17</xdr:row>
      <xdr:rowOff>250826</xdr:rowOff>
    </xdr:to>
    <xdr:cxnSp macro="">
      <xdr:nvCxnSpPr>
        <xdr:cNvPr id="42961" name="CNtp72c12routev"/>
        <xdr:cNvCxnSpPr>
          <a:stCxn id="42937" idx="6"/>
          <a:endCxn id="42960" idx="2"/>
        </xdr:cNvCxnSpPr>
      </xdr:nvCxnSpPr>
      <xdr:spPr>
        <a:xfrm>
          <a:off x="34756726" y="9477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238126</xdr:colOff>
      <xdr:row>8</xdr:row>
      <xdr:rowOff>238126</xdr:rowOff>
    </xdr:from>
    <xdr:to>
      <xdr:col>72</xdr:col>
      <xdr:colOff>238125</xdr:colOff>
      <xdr:row>8</xdr:row>
      <xdr:rowOff>250826</xdr:rowOff>
    </xdr:to>
    <xdr:cxnSp macro="">
      <xdr:nvCxnSpPr>
        <xdr:cNvPr id="42956" name="CNtp72c11routeb"/>
        <xdr:cNvCxnSpPr>
          <a:stCxn id="42932" idx="6"/>
          <a:endCxn id="42955" idx="2"/>
        </xdr:cNvCxnSpPr>
      </xdr:nvCxnSpPr>
      <xdr:spPr>
        <a:xfrm>
          <a:off x="34756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238126</xdr:colOff>
      <xdr:row>4</xdr:row>
      <xdr:rowOff>238126</xdr:rowOff>
    </xdr:from>
    <xdr:to>
      <xdr:col>72</xdr:col>
      <xdr:colOff>238125</xdr:colOff>
      <xdr:row>4</xdr:row>
      <xdr:rowOff>250826</xdr:rowOff>
    </xdr:to>
    <xdr:cxnSp macro="">
      <xdr:nvCxnSpPr>
        <xdr:cNvPr id="42952" name="CNtp72c11routec"/>
        <xdr:cNvCxnSpPr>
          <a:stCxn id="42927" idx="6"/>
          <a:endCxn id="42950" idx="2"/>
        </xdr:cNvCxnSpPr>
      </xdr:nvCxnSpPr>
      <xdr:spPr>
        <a:xfrm>
          <a:off x="3475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238126</xdr:colOff>
      <xdr:row>4</xdr:row>
      <xdr:rowOff>238126</xdr:rowOff>
    </xdr:from>
    <xdr:to>
      <xdr:col>72</xdr:col>
      <xdr:colOff>238125</xdr:colOff>
      <xdr:row>4</xdr:row>
      <xdr:rowOff>250826</xdr:rowOff>
    </xdr:to>
    <xdr:cxnSp macro="">
      <xdr:nvCxnSpPr>
        <xdr:cNvPr id="42951" name="CNtp72c11routev"/>
        <xdr:cNvCxnSpPr>
          <a:stCxn id="42927" idx="6"/>
          <a:endCxn id="42950" idx="2"/>
        </xdr:cNvCxnSpPr>
      </xdr:nvCxnSpPr>
      <xdr:spPr>
        <a:xfrm>
          <a:off x="3475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238126</xdr:colOff>
      <xdr:row>23</xdr:row>
      <xdr:rowOff>238126</xdr:rowOff>
    </xdr:from>
    <xdr:to>
      <xdr:col>71</xdr:col>
      <xdr:colOff>238125</xdr:colOff>
      <xdr:row>28</xdr:row>
      <xdr:rowOff>238126</xdr:rowOff>
    </xdr:to>
    <xdr:cxnSp macro="">
      <xdr:nvCxnSpPr>
        <xdr:cNvPr id="42947" name="CNtp71c13routeb"/>
        <xdr:cNvCxnSpPr>
          <a:stCxn id="42920" idx="6"/>
          <a:endCxn id="42944" idx="2"/>
        </xdr:cNvCxnSpPr>
      </xdr:nvCxnSpPr>
      <xdr:spPr>
        <a:xfrm flipV="1">
          <a:off x="342804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238126</xdr:colOff>
      <xdr:row>23</xdr:row>
      <xdr:rowOff>238126</xdr:rowOff>
    </xdr:from>
    <xdr:to>
      <xdr:col>71</xdr:col>
      <xdr:colOff>238125</xdr:colOff>
      <xdr:row>28</xdr:row>
      <xdr:rowOff>238126</xdr:rowOff>
    </xdr:to>
    <xdr:cxnSp macro="">
      <xdr:nvCxnSpPr>
        <xdr:cNvPr id="42946" name="CNtp71c13routec"/>
        <xdr:cNvCxnSpPr>
          <a:stCxn id="42920" idx="6"/>
          <a:endCxn id="42944" idx="2"/>
        </xdr:cNvCxnSpPr>
      </xdr:nvCxnSpPr>
      <xdr:spPr>
        <a:xfrm flipV="1">
          <a:off x="342804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238126</xdr:colOff>
      <xdr:row>23</xdr:row>
      <xdr:rowOff>238126</xdr:rowOff>
    </xdr:from>
    <xdr:to>
      <xdr:col>71</xdr:col>
      <xdr:colOff>238125</xdr:colOff>
      <xdr:row>28</xdr:row>
      <xdr:rowOff>238126</xdr:rowOff>
    </xdr:to>
    <xdr:cxnSp macro="">
      <xdr:nvCxnSpPr>
        <xdr:cNvPr id="42945" name="CNtp71c13routev"/>
        <xdr:cNvCxnSpPr>
          <a:stCxn id="42920" idx="6"/>
          <a:endCxn id="42944" idx="2"/>
        </xdr:cNvCxnSpPr>
      </xdr:nvCxnSpPr>
      <xdr:spPr>
        <a:xfrm flipV="1">
          <a:off x="342804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238126</xdr:colOff>
      <xdr:row>18</xdr:row>
      <xdr:rowOff>238126</xdr:rowOff>
    </xdr:from>
    <xdr:to>
      <xdr:col>71</xdr:col>
      <xdr:colOff>238125</xdr:colOff>
      <xdr:row>18</xdr:row>
      <xdr:rowOff>250826</xdr:rowOff>
    </xdr:to>
    <xdr:cxnSp macro="">
      <xdr:nvCxnSpPr>
        <xdr:cNvPr id="42942" name="CNtp71c12routeb"/>
        <xdr:cNvCxnSpPr>
          <a:stCxn id="42911" idx="6"/>
          <a:endCxn id="42940" idx="2"/>
        </xdr:cNvCxnSpPr>
      </xdr:nvCxnSpPr>
      <xdr:spPr>
        <a:xfrm>
          <a:off x="3428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238126</xdr:colOff>
      <xdr:row>18</xdr:row>
      <xdr:rowOff>238126</xdr:rowOff>
    </xdr:from>
    <xdr:to>
      <xdr:col>71</xdr:col>
      <xdr:colOff>238125</xdr:colOff>
      <xdr:row>18</xdr:row>
      <xdr:rowOff>250826</xdr:rowOff>
    </xdr:to>
    <xdr:cxnSp macro="">
      <xdr:nvCxnSpPr>
        <xdr:cNvPr id="42941" name="CNtp71c12routec"/>
        <xdr:cNvCxnSpPr>
          <a:stCxn id="42911" idx="6"/>
          <a:endCxn id="42940" idx="2"/>
        </xdr:cNvCxnSpPr>
      </xdr:nvCxnSpPr>
      <xdr:spPr>
        <a:xfrm>
          <a:off x="3428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238126</xdr:colOff>
      <xdr:row>17</xdr:row>
      <xdr:rowOff>238126</xdr:rowOff>
    </xdr:from>
    <xdr:to>
      <xdr:col>71</xdr:col>
      <xdr:colOff>238125</xdr:colOff>
      <xdr:row>17</xdr:row>
      <xdr:rowOff>250826</xdr:rowOff>
    </xdr:to>
    <xdr:cxnSp macro="">
      <xdr:nvCxnSpPr>
        <xdr:cNvPr id="42938" name="CNtp71c12routev"/>
        <xdr:cNvCxnSpPr>
          <a:stCxn id="42908" idx="6"/>
          <a:endCxn id="42937" idx="2"/>
        </xdr:cNvCxnSpPr>
      </xdr:nvCxnSpPr>
      <xdr:spPr>
        <a:xfrm>
          <a:off x="34280476" y="9477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238126</xdr:colOff>
      <xdr:row>8</xdr:row>
      <xdr:rowOff>238126</xdr:rowOff>
    </xdr:from>
    <xdr:to>
      <xdr:col>71</xdr:col>
      <xdr:colOff>238125</xdr:colOff>
      <xdr:row>8</xdr:row>
      <xdr:rowOff>250826</xdr:rowOff>
    </xdr:to>
    <xdr:cxnSp macro="">
      <xdr:nvCxnSpPr>
        <xdr:cNvPr id="42933" name="CNtp71c11routeb"/>
        <xdr:cNvCxnSpPr>
          <a:stCxn id="42902" idx="6"/>
          <a:endCxn id="42932" idx="2"/>
        </xdr:cNvCxnSpPr>
      </xdr:nvCxnSpPr>
      <xdr:spPr>
        <a:xfrm>
          <a:off x="34280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238126</xdr:colOff>
      <xdr:row>4</xdr:row>
      <xdr:rowOff>238126</xdr:rowOff>
    </xdr:from>
    <xdr:to>
      <xdr:col>71</xdr:col>
      <xdr:colOff>238125</xdr:colOff>
      <xdr:row>4</xdr:row>
      <xdr:rowOff>250826</xdr:rowOff>
    </xdr:to>
    <xdr:cxnSp macro="">
      <xdr:nvCxnSpPr>
        <xdr:cNvPr id="42929" name="CNtp71c11routec"/>
        <xdr:cNvCxnSpPr>
          <a:stCxn id="42895" idx="6"/>
          <a:endCxn id="42927" idx="2"/>
        </xdr:cNvCxnSpPr>
      </xdr:nvCxnSpPr>
      <xdr:spPr>
        <a:xfrm>
          <a:off x="3428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238126</xdr:colOff>
      <xdr:row>4</xdr:row>
      <xdr:rowOff>238126</xdr:rowOff>
    </xdr:from>
    <xdr:to>
      <xdr:col>71</xdr:col>
      <xdr:colOff>238125</xdr:colOff>
      <xdr:row>4</xdr:row>
      <xdr:rowOff>250826</xdr:rowOff>
    </xdr:to>
    <xdr:cxnSp macro="">
      <xdr:nvCxnSpPr>
        <xdr:cNvPr id="42928" name="CNtp71c11routev"/>
        <xdr:cNvCxnSpPr>
          <a:stCxn id="42895" idx="6"/>
          <a:endCxn id="42927" idx="2"/>
        </xdr:cNvCxnSpPr>
      </xdr:nvCxnSpPr>
      <xdr:spPr>
        <a:xfrm>
          <a:off x="3428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238126</xdr:colOff>
      <xdr:row>28</xdr:row>
      <xdr:rowOff>238126</xdr:rowOff>
    </xdr:from>
    <xdr:to>
      <xdr:col>70</xdr:col>
      <xdr:colOff>238125</xdr:colOff>
      <xdr:row>28</xdr:row>
      <xdr:rowOff>250826</xdr:rowOff>
    </xdr:to>
    <xdr:cxnSp macro="">
      <xdr:nvCxnSpPr>
        <xdr:cNvPr id="42923" name="CNtp70c13routeb"/>
        <xdr:cNvCxnSpPr>
          <a:stCxn id="42887" idx="6"/>
          <a:endCxn id="42920" idx="2"/>
        </xdr:cNvCxnSpPr>
      </xdr:nvCxnSpPr>
      <xdr:spPr>
        <a:xfrm>
          <a:off x="3380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238126</xdr:colOff>
      <xdr:row>28</xdr:row>
      <xdr:rowOff>238126</xdr:rowOff>
    </xdr:from>
    <xdr:to>
      <xdr:col>70</xdr:col>
      <xdr:colOff>238125</xdr:colOff>
      <xdr:row>28</xdr:row>
      <xdr:rowOff>250826</xdr:rowOff>
    </xdr:to>
    <xdr:cxnSp macro="">
      <xdr:nvCxnSpPr>
        <xdr:cNvPr id="42922" name="CNtp70c13routec"/>
        <xdr:cNvCxnSpPr>
          <a:stCxn id="42887" idx="6"/>
          <a:endCxn id="42920" idx="2"/>
        </xdr:cNvCxnSpPr>
      </xdr:nvCxnSpPr>
      <xdr:spPr>
        <a:xfrm>
          <a:off x="3380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238126</xdr:colOff>
      <xdr:row>28</xdr:row>
      <xdr:rowOff>238126</xdr:rowOff>
    </xdr:from>
    <xdr:to>
      <xdr:col>70</xdr:col>
      <xdr:colOff>238125</xdr:colOff>
      <xdr:row>28</xdr:row>
      <xdr:rowOff>250826</xdr:rowOff>
    </xdr:to>
    <xdr:cxnSp macro="">
      <xdr:nvCxnSpPr>
        <xdr:cNvPr id="42921" name="CNtp70c13routev"/>
        <xdr:cNvCxnSpPr>
          <a:stCxn id="42887" idx="6"/>
          <a:endCxn id="42920" idx="2"/>
        </xdr:cNvCxnSpPr>
      </xdr:nvCxnSpPr>
      <xdr:spPr>
        <a:xfrm>
          <a:off x="3380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238126</xdr:colOff>
      <xdr:row>18</xdr:row>
      <xdr:rowOff>238126</xdr:rowOff>
    </xdr:from>
    <xdr:to>
      <xdr:col>70</xdr:col>
      <xdr:colOff>238125</xdr:colOff>
      <xdr:row>18</xdr:row>
      <xdr:rowOff>250826</xdr:rowOff>
    </xdr:to>
    <xdr:cxnSp macro="">
      <xdr:nvCxnSpPr>
        <xdr:cNvPr id="42913" name="CNtp70c12routeb"/>
        <xdr:cNvCxnSpPr>
          <a:stCxn id="42878" idx="6"/>
          <a:endCxn id="42911" idx="2"/>
        </xdr:cNvCxnSpPr>
      </xdr:nvCxnSpPr>
      <xdr:spPr>
        <a:xfrm>
          <a:off x="3380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238126</xdr:colOff>
      <xdr:row>18</xdr:row>
      <xdr:rowOff>238126</xdr:rowOff>
    </xdr:from>
    <xdr:to>
      <xdr:col>70</xdr:col>
      <xdr:colOff>238125</xdr:colOff>
      <xdr:row>18</xdr:row>
      <xdr:rowOff>250826</xdr:rowOff>
    </xdr:to>
    <xdr:cxnSp macro="">
      <xdr:nvCxnSpPr>
        <xdr:cNvPr id="42912" name="CNtp70c12routec"/>
        <xdr:cNvCxnSpPr>
          <a:stCxn id="42878" idx="6"/>
          <a:endCxn id="42911" idx="2"/>
        </xdr:cNvCxnSpPr>
      </xdr:nvCxnSpPr>
      <xdr:spPr>
        <a:xfrm>
          <a:off x="3380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238126</xdr:colOff>
      <xdr:row>17</xdr:row>
      <xdr:rowOff>238126</xdr:rowOff>
    </xdr:from>
    <xdr:to>
      <xdr:col>70</xdr:col>
      <xdr:colOff>238125</xdr:colOff>
      <xdr:row>17</xdr:row>
      <xdr:rowOff>250826</xdr:rowOff>
    </xdr:to>
    <xdr:cxnSp macro="">
      <xdr:nvCxnSpPr>
        <xdr:cNvPr id="42909" name="CNtp70c12routev"/>
        <xdr:cNvCxnSpPr>
          <a:stCxn id="42875" idx="6"/>
          <a:endCxn id="42908" idx="2"/>
        </xdr:cNvCxnSpPr>
      </xdr:nvCxnSpPr>
      <xdr:spPr>
        <a:xfrm>
          <a:off x="33804226" y="9477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238126</xdr:colOff>
      <xdr:row>8</xdr:row>
      <xdr:rowOff>238126</xdr:rowOff>
    </xdr:from>
    <xdr:to>
      <xdr:col>70</xdr:col>
      <xdr:colOff>238125</xdr:colOff>
      <xdr:row>8</xdr:row>
      <xdr:rowOff>250826</xdr:rowOff>
    </xdr:to>
    <xdr:cxnSp macro="">
      <xdr:nvCxnSpPr>
        <xdr:cNvPr id="42903" name="CNtp70c11routeb"/>
        <xdr:cNvCxnSpPr>
          <a:stCxn id="42869" idx="6"/>
          <a:endCxn id="42902" idx="2"/>
        </xdr:cNvCxnSpPr>
      </xdr:nvCxnSpPr>
      <xdr:spPr>
        <a:xfrm>
          <a:off x="338042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238126</xdr:colOff>
      <xdr:row>4</xdr:row>
      <xdr:rowOff>238126</xdr:rowOff>
    </xdr:from>
    <xdr:to>
      <xdr:col>70</xdr:col>
      <xdr:colOff>238125</xdr:colOff>
      <xdr:row>4</xdr:row>
      <xdr:rowOff>250826</xdr:rowOff>
    </xdr:to>
    <xdr:cxnSp macro="">
      <xdr:nvCxnSpPr>
        <xdr:cNvPr id="42897" name="CNtp70c11routec"/>
        <xdr:cNvCxnSpPr>
          <a:stCxn id="42862" idx="6"/>
          <a:endCxn id="42895" idx="2"/>
        </xdr:cNvCxnSpPr>
      </xdr:nvCxnSpPr>
      <xdr:spPr>
        <a:xfrm>
          <a:off x="3380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238126</xdr:colOff>
      <xdr:row>4</xdr:row>
      <xdr:rowOff>238126</xdr:rowOff>
    </xdr:from>
    <xdr:to>
      <xdr:col>70</xdr:col>
      <xdr:colOff>238125</xdr:colOff>
      <xdr:row>4</xdr:row>
      <xdr:rowOff>250826</xdr:rowOff>
    </xdr:to>
    <xdr:cxnSp macro="">
      <xdr:nvCxnSpPr>
        <xdr:cNvPr id="42896" name="CNtp70c11routev"/>
        <xdr:cNvCxnSpPr>
          <a:stCxn id="42862" idx="6"/>
          <a:endCxn id="42895" idx="2"/>
        </xdr:cNvCxnSpPr>
      </xdr:nvCxnSpPr>
      <xdr:spPr>
        <a:xfrm>
          <a:off x="3380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238126</xdr:colOff>
      <xdr:row>28</xdr:row>
      <xdr:rowOff>238126</xdr:rowOff>
    </xdr:from>
    <xdr:to>
      <xdr:col>69</xdr:col>
      <xdr:colOff>238125</xdr:colOff>
      <xdr:row>28</xdr:row>
      <xdr:rowOff>250826</xdr:rowOff>
    </xdr:to>
    <xdr:cxnSp macro="">
      <xdr:nvCxnSpPr>
        <xdr:cNvPr id="42890" name="CNtp69c13routeb"/>
        <xdr:cNvCxnSpPr>
          <a:stCxn id="42854" idx="6"/>
          <a:endCxn id="42887" idx="2"/>
        </xdr:cNvCxnSpPr>
      </xdr:nvCxnSpPr>
      <xdr:spPr>
        <a:xfrm>
          <a:off x="3332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238126</xdr:colOff>
      <xdr:row>28</xdr:row>
      <xdr:rowOff>238126</xdr:rowOff>
    </xdr:from>
    <xdr:to>
      <xdr:col>69</xdr:col>
      <xdr:colOff>238125</xdr:colOff>
      <xdr:row>28</xdr:row>
      <xdr:rowOff>250826</xdr:rowOff>
    </xdr:to>
    <xdr:cxnSp macro="">
      <xdr:nvCxnSpPr>
        <xdr:cNvPr id="42889" name="CNtp69c13routec"/>
        <xdr:cNvCxnSpPr>
          <a:stCxn id="42854" idx="6"/>
          <a:endCxn id="42887" idx="2"/>
        </xdr:cNvCxnSpPr>
      </xdr:nvCxnSpPr>
      <xdr:spPr>
        <a:xfrm>
          <a:off x="3332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238126</xdr:colOff>
      <xdr:row>28</xdr:row>
      <xdr:rowOff>238126</xdr:rowOff>
    </xdr:from>
    <xdr:to>
      <xdr:col>69</xdr:col>
      <xdr:colOff>238125</xdr:colOff>
      <xdr:row>28</xdr:row>
      <xdr:rowOff>250826</xdr:rowOff>
    </xdr:to>
    <xdr:cxnSp macro="">
      <xdr:nvCxnSpPr>
        <xdr:cNvPr id="42888" name="CNtp69c13routev"/>
        <xdr:cNvCxnSpPr>
          <a:stCxn id="42854" idx="6"/>
          <a:endCxn id="42887" idx="2"/>
        </xdr:cNvCxnSpPr>
      </xdr:nvCxnSpPr>
      <xdr:spPr>
        <a:xfrm>
          <a:off x="3332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238126</xdr:colOff>
      <xdr:row>18</xdr:row>
      <xdr:rowOff>238126</xdr:rowOff>
    </xdr:from>
    <xdr:to>
      <xdr:col>69</xdr:col>
      <xdr:colOff>238125</xdr:colOff>
      <xdr:row>18</xdr:row>
      <xdr:rowOff>250826</xdr:rowOff>
    </xdr:to>
    <xdr:cxnSp macro="">
      <xdr:nvCxnSpPr>
        <xdr:cNvPr id="42880" name="CNtp69c12routeb"/>
        <xdr:cNvCxnSpPr>
          <a:stCxn id="42845" idx="6"/>
          <a:endCxn id="42878" idx="2"/>
        </xdr:cNvCxnSpPr>
      </xdr:nvCxnSpPr>
      <xdr:spPr>
        <a:xfrm>
          <a:off x="3332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238126</xdr:colOff>
      <xdr:row>18</xdr:row>
      <xdr:rowOff>238126</xdr:rowOff>
    </xdr:from>
    <xdr:to>
      <xdr:col>69</xdr:col>
      <xdr:colOff>238125</xdr:colOff>
      <xdr:row>18</xdr:row>
      <xdr:rowOff>250826</xdr:rowOff>
    </xdr:to>
    <xdr:cxnSp macro="">
      <xdr:nvCxnSpPr>
        <xdr:cNvPr id="42879" name="CNtp69c12routec"/>
        <xdr:cNvCxnSpPr>
          <a:stCxn id="42845" idx="6"/>
          <a:endCxn id="42878" idx="2"/>
        </xdr:cNvCxnSpPr>
      </xdr:nvCxnSpPr>
      <xdr:spPr>
        <a:xfrm>
          <a:off x="3332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238126</xdr:colOff>
      <xdr:row>14</xdr:row>
      <xdr:rowOff>238126</xdr:rowOff>
    </xdr:from>
    <xdr:to>
      <xdr:col>69</xdr:col>
      <xdr:colOff>238125</xdr:colOff>
      <xdr:row>17</xdr:row>
      <xdr:rowOff>238126</xdr:rowOff>
    </xdr:to>
    <xdr:cxnSp macro="">
      <xdr:nvCxnSpPr>
        <xdr:cNvPr id="42876" name="CNtp69c12routev"/>
        <xdr:cNvCxnSpPr>
          <a:stCxn id="42842" idx="6"/>
          <a:endCxn id="42875" idx="2"/>
        </xdr:cNvCxnSpPr>
      </xdr:nvCxnSpPr>
      <xdr:spPr>
        <a:xfrm>
          <a:off x="33327976" y="804862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238126</xdr:colOff>
      <xdr:row>8</xdr:row>
      <xdr:rowOff>238126</xdr:rowOff>
    </xdr:from>
    <xdr:to>
      <xdr:col>69</xdr:col>
      <xdr:colOff>238125</xdr:colOff>
      <xdr:row>8</xdr:row>
      <xdr:rowOff>250826</xdr:rowOff>
    </xdr:to>
    <xdr:cxnSp macro="">
      <xdr:nvCxnSpPr>
        <xdr:cNvPr id="42870" name="CNtp69c11routeb"/>
        <xdr:cNvCxnSpPr>
          <a:stCxn id="42837" idx="6"/>
          <a:endCxn id="42869" idx="2"/>
        </xdr:cNvCxnSpPr>
      </xdr:nvCxnSpPr>
      <xdr:spPr>
        <a:xfrm>
          <a:off x="33327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238126</xdr:colOff>
      <xdr:row>4</xdr:row>
      <xdr:rowOff>238126</xdr:rowOff>
    </xdr:from>
    <xdr:to>
      <xdr:col>69</xdr:col>
      <xdr:colOff>238125</xdr:colOff>
      <xdr:row>4</xdr:row>
      <xdr:rowOff>250826</xdr:rowOff>
    </xdr:to>
    <xdr:cxnSp macro="">
      <xdr:nvCxnSpPr>
        <xdr:cNvPr id="42864" name="CNtp69c11routec"/>
        <xdr:cNvCxnSpPr>
          <a:stCxn id="42830" idx="6"/>
          <a:endCxn id="42862" idx="2"/>
        </xdr:cNvCxnSpPr>
      </xdr:nvCxnSpPr>
      <xdr:spPr>
        <a:xfrm>
          <a:off x="3332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238126</xdr:colOff>
      <xdr:row>4</xdr:row>
      <xdr:rowOff>238126</xdr:rowOff>
    </xdr:from>
    <xdr:to>
      <xdr:col>69</xdr:col>
      <xdr:colOff>238125</xdr:colOff>
      <xdr:row>4</xdr:row>
      <xdr:rowOff>250826</xdr:rowOff>
    </xdr:to>
    <xdr:cxnSp macro="">
      <xdr:nvCxnSpPr>
        <xdr:cNvPr id="42863" name="CNtp69c11routev"/>
        <xdr:cNvCxnSpPr>
          <a:stCxn id="42830" idx="6"/>
          <a:endCxn id="42862" idx="2"/>
        </xdr:cNvCxnSpPr>
      </xdr:nvCxnSpPr>
      <xdr:spPr>
        <a:xfrm>
          <a:off x="3332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238126</xdr:colOff>
      <xdr:row>28</xdr:row>
      <xdr:rowOff>238126</xdr:rowOff>
    </xdr:from>
    <xdr:to>
      <xdr:col>68</xdr:col>
      <xdr:colOff>238125</xdr:colOff>
      <xdr:row>28</xdr:row>
      <xdr:rowOff>250826</xdr:rowOff>
    </xdr:to>
    <xdr:cxnSp macro="">
      <xdr:nvCxnSpPr>
        <xdr:cNvPr id="42857" name="CNtp68c13routeb"/>
        <xdr:cNvCxnSpPr>
          <a:stCxn id="42824" idx="6"/>
          <a:endCxn id="42854" idx="2"/>
        </xdr:cNvCxnSpPr>
      </xdr:nvCxnSpPr>
      <xdr:spPr>
        <a:xfrm>
          <a:off x="3285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238126</xdr:colOff>
      <xdr:row>28</xdr:row>
      <xdr:rowOff>238126</xdr:rowOff>
    </xdr:from>
    <xdr:to>
      <xdr:col>68</xdr:col>
      <xdr:colOff>238125</xdr:colOff>
      <xdr:row>28</xdr:row>
      <xdr:rowOff>250826</xdr:rowOff>
    </xdr:to>
    <xdr:cxnSp macro="">
      <xdr:nvCxnSpPr>
        <xdr:cNvPr id="42856" name="CNtp68c13routec"/>
        <xdr:cNvCxnSpPr>
          <a:stCxn id="42824" idx="6"/>
          <a:endCxn id="42854" idx="2"/>
        </xdr:cNvCxnSpPr>
      </xdr:nvCxnSpPr>
      <xdr:spPr>
        <a:xfrm>
          <a:off x="3285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238126</xdr:colOff>
      <xdr:row>28</xdr:row>
      <xdr:rowOff>238126</xdr:rowOff>
    </xdr:from>
    <xdr:to>
      <xdr:col>68</xdr:col>
      <xdr:colOff>238125</xdr:colOff>
      <xdr:row>28</xdr:row>
      <xdr:rowOff>250826</xdr:rowOff>
    </xdr:to>
    <xdr:cxnSp macro="">
      <xdr:nvCxnSpPr>
        <xdr:cNvPr id="42855" name="CNtp68c13routev"/>
        <xdr:cNvCxnSpPr>
          <a:stCxn id="42824" idx="6"/>
          <a:endCxn id="42854" idx="2"/>
        </xdr:cNvCxnSpPr>
      </xdr:nvCxnSpPr>
      <xdr:spPr>
        <a:xfrm>
          <a:off x="3285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238126</xdr:colOff>
      <xdr:row>18</xdr:row>
      <xdr:rowOff>238126</xdr:rowOff>
    </xdr:from>
    <xdr:to>
      <xdr:col>68</xdr:col>
      <xdr:colOff>238125</xdr:colOff>
      <xdr:row>18</xdr:row>
      <xdr:rowOff>250826</xdr:rowOff>
    </xdr:to>
    <xdr:cxnSp macro="">
      <xdr:nvCxnSpPr>
        <xdr:cNvPr id="42847" name="CNtp68c12routeb"/>
        <xdr:cNvCxnSpPr>
          <a:stCxn id="42818" idx="6"/>
          <a:endCxn id="42845" idx="2"/>
        </xdr:cNvCxnSpPr>
      </xdr:nvCxnSpPr>
      <xdr:spPr>
        <a:xfrm>
          <a:off x="3285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238126</xdr:colOff>
      <xdr:row>18</xdr:row>
      <xdr:rowOff>238126</xdr:rowOff>
    </xdr:from>
    <xdr:to>
      <xdr:col>68</xdr:col>
      <xdr:colOff>238125</xdr:colOff>
      <xdr:row>18</xdr:row>
      <xdr:rowOff>250826</xdr:rowOff>
    </xdr:to>
    <xdr:cxnSp macro="">
      <xdr:nvCxnSpPr>
        <xdr:cNvPr id="42846" name="CNtp68c12routec"/>
        <xdr:cNvCxnSpPr>
          <a:stCxn id="42818" idx="6"/>
          <a:endCxn id="42845" idx="2"/>
        </xdr:cNvCxnSpPr>
      </xdr:nvCxnSpPr>
      <xdr:spPr>
        <a:xfrm>
          <a:off x="3285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238126</xdr:colOff>
      <xdr:row>14</xdr:row>
      <xdr:rowOff>238126</xdr:rowOff>
    </xdr:from>
    <xdr:to>
      <xdr:col>68</xdr:col>
      <xdr:colOff>238125</xdr:colOff>
      <xdr:row>18</xdr:row>
      <xdr:rowOff>238126</xdr:rowOff>
    </xdr:to>
    <xdr:cxnSp macro="">
      <xdr:nvCxnSpPr>
        <xdr:cNvPr id="42843" name="CNtp68c12routev"/>
        <xdr:cNvCxnSpPr>
          <a:stCxn id="42818" idx="6"/>
          <a:endCxn id="42842" idx="2"/>
        </xdr:cNvCxnSpPr>
      </xdr:nvCxnSpPr>
      <xdr:spPr>
        <a:xfrm flipV="1">
          <a:off x="328517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238126</xdr:colOff>
      <xdr:row>8</xdr:row>
      <xdr:rowOff>238126</xdr:rowOff>
    </xdr:from>
    <xdr:to>
      <xdr:col>68</xdr:col>
      <xdr:colOff>238125</xdr:colOff>
      <xdr:row>8</xdr:row>
      <xdr:rowOff>250826</xdr:rowOff>
    </xdr:to>
    <xdr:cxnSp macro="">
      <xdr:nvCxnSpPr>
        <xdr:cNvPr id="42838" name="CNtp68c11routeb"/>
        <xdr:cNvCxnSpPr>
          <a:stCxn id="42813" idx="6"/>
          <a:endCxn id="42837" idx="2"/>
        </xdr:cNvCxnSpPr>
      </xdr:nvCxnSpPr>
      <xdr:spPr>
        <a:xfrm>
          <a:off x="32851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238126</xdr:colOff>
      <xdr:row>4</xdr:row>
      <xdr:rowOff>238126</xdr:rowOff>
    </xdr:from>
    <xdr:to>
      <xdr:col>68</xdr:col>
      <xdr:colOff>238125</xdr:colOff>
      <xdr:row>4</xdr:row>
      <xdr:rowOff>250826</xdr:rowOff>
    </xdr:to>
    <xdr:cxnSp macro="">
      <xdr:nvCxnSpPr>
        <xdr:cNvPr id="42832" name="CNtp68c11routec"/>
        <xdr:cNvCxnSpPr>
          <a:stCxn id="42809" idx="6"/>
          <a:endCxn id="42830" idx="2"/>
        </xdr:cNvCxnSpPr>
      </xdr:nvCxnSpPr>
      <xdr:spPr>
        <a:xfrm>
          <a:off x="3285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238126</xdr:colOff>
      <xdr:row>4</xdr:row>
      <xdr:rowOff>238126</xdr:rowOff>
    </xdr:from>
    <xdr:to>
      <xdr:col>68</xdr:col>
      <xdr:colOff>238125</xdr:colOff>
      <xdr:row>4</xdr:row>
      <xdr:rowOff>250826</xdr:rowOff>
    </xdr:to>
    <xdr:cxnSp macro="">
      <xdr:nvCxnSpPr>
        <xdr:cNvPr id="42831" name="CNtp68c11routev"/>
        <xdr:cNvCxnSpPr>
          <a:stCxn id="42809" idx="6"/>
          <a:endCxn id="42830" idx="2"/>
        </xdr:cNvCxnSpPr>
      </xdr:nvCxnSpPr>
      <xdr:spPr>
        <a:xfrm>
          <a:off x="3285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238126</xdr:colOff>
      <xdr:row>28</xdr:row>
      <xdr:rowOff>238126</xdr:rowOff>
    </xdr:from>
    <xdr:to>
      <xdr:col>67</xdr:col>
      <xdr:colOff>238125</xdr:colOff>
      <xdr:row>28</xdr:row>
      <xdr:rowOff>250826</xdr:rowOff>
    </xdr:to>
    <xdr:cxnSp macro="">
      <xdr:nvCxnSpPr>
        <xdr:cNvPr id="42827" name="CNtp67c13routeb"/>
        <xdr:cNvCxnSpPr>
          <a:stCxn id="42805" idx="6"/>
          <a:endCxn id="42824" idx="2"/>
        </xdr:cNvCxnSpPr>
      </xdr:nvCxnSpPr>
      <xdr:spPr>
        <a:xfrm>
          <a:off x="3237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238126</xdr:colOff>
      <xdr:row>28</xdr:row>
      <xdr:rowOff>238126</xdr:rowOff>
    </xdr:from>
    <xdr:to>
      <xdr:col>67</xdr:col>
      <xdr:colOff>238125</xdr:colOff>
      <xdr:row>28</xdr:row>
      <xdr:rowOff>250826</xdr:rowOff>
    </xdr:to>
    <xdr:cxnSp macro="">
      <xdr:nvCxnSpPr>
        <xdr:cNvPr id="42826" name="CNtp67c13routec"/>
        <xdr:cNvCxnSpPr>
          <a:stCxn id="42805" idx="6"/>
          <a:endCxn id="42824" idx="2"/>
        </xdr:cNvCxnSpPr>
      </xdr:nvCxnSpPr>
      <xdr:spPr>
        <a:xfrm>
          <a:off x="3237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238126</xdr:colOff>
      <xdr:row>24</xdr:row>
      <xdr:rowOff>238126</xdr:rowOff>
    </xdr:from>
    <xdr:to>
      <xdr:col>67</xdr:col>
      <xdr:colOff>238125</xdr:colOff>
      <xdr:row>28</xdr:row>
      <xdr:rowOff>238126</xdr:rowOff>
    </xdr:to>
    <xdr:cxnSp macro="">
      <xdr:nvCxnSpPr>
        <xdr:cNvPr id="42825" name="CNtp67c13routev"/>
        <xdr:cNvCxnSpPr>
          <a:stCxn id="42802" idx="6"/>
          <a:endCxn id="42824" idx="2"/>
        </xdr:cNvCxnSpPr>
      </xdr:nvCxnSpPr>
      <xdr:spPr>
        <a:xfrm>
          <a:off x="323754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238126</xdr:colOff>
      <xdr:row>18</xdr:row>
      <xdr:rowOff>238126</xdr:rowOff>
    </xdr:from>
    <xdr:to>
      <xdr:col>67</xdr:col>
      <xdr:colOff>238125</xdr:colOff>
      <xdr:row>18</xdr:row>
      <xdr:rowOff>250826</xdr:rowOff>
    </xdr:to>
    <xdr:cxnSp macro="">
      <xdr:nvCxnSpPr>
        <xdr:cNvPr id="42821" name="CNtp67c12routeb"/>
        <xdr:cNvCxnSpPr>
          <a:stCxn id="42798" idx="6"/>
          <a:endCxn id="42818" idx="2"/>
        </xdr:cNvCxnSpPr>
      </xdr:nvCxnSpPr>
      <xdr:spPr>
        <a:xfrm>
          <a:off x="3237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238126</xdr:colOff>
      <xdr:row>18</xdr:row>
      <xdr:rowOff>238126</xdr:rowOff>
    </xdr:from>
    <xdr:to>
      <xdr:col>67</xdr:col>
      <xdr:colOff>238125</xdr:colOff>
      <xdr:row>18</xdr:row>
      <xdr:rowOff>250826</xdr:rowOff>
    </xdr:to>
    <xdr:cxnSp macro="">
      <xdr:nvCxnSpPr>
        <xdr:cNvPr id="42820" name="CNtp67c12routec"/>
        <xdr:cNvCxnSpPr>
          <a:stCxn id="42798" idx="6"/>
          <a:endCxn id="42818" idx="2"/>
        </xdr:cNvCxnSpPr>
      </xdr:nvCxnSpPr>
      <xdr:spPr>
        <a:xfrm>
          <a:off x="3237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238126</xdr:colOff>
      <xdr:row>14</xdr:row>
      <xdr:rowOff>238126</xdr:rowOff>
    </xdr:from>
    <xdr:to>
      <xdr:col>67</xdr:col>
      <xdr:colOff>238125</xdr:colOff>
      <xdr:row>18</xdr:row>
      <xdr:rowOff>238126</xdr:rowOff>
    </xdr:to>
    <xdr:cxnSp macro="">
      <xdr:nvCxnSpPr>
        <xdr:cNvPr id="42819" name="CNtp67c12routev"/>
        <xdr:cNvCxnSpPr>
          <a:stCxn id="42796" idx="6"/>
          <a:endCxn id="42818" idx="2"/>
        </xdr:cNvCxnSpPr>
      </xdr:nvCxnSpPr>
      <xdr:spPr>
        <a:xfrm>
          <a:off x="323754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238126</xdr:colOff>
      <xdr:row>8</xdr:row>
      <xdr:rowOff>238126</xdr:rowOff>
    </xdr:from>
    <xdr:to>
      <xdr:col>67</xdr:col>
      <xdr:colOff>238125</xdr:colOff>
      <xdr:row>8</xdr:row>
      <xdr:rowOff>250826</xdr:rowOff>
    </xdr:to>
    <xdr:cxnSp macro="">
      <xdr:nvCxnSpPr>
        <xdr:cNvPr id="42814" name="CNtp67c11routeb"/>
        <xdr:cNvCxnSpPr>
          <a:stCxn id="42793" idx="6"/>
          <a:endCxn id="42813" idx="2"/>
        </xdr:cNvCxnSpPr>
      </xdr:nvCxnSpPr>
      <xdr:spPr>
        <a:xfrm>
          <a:off x="32375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238126</xdr:colOff>
      <xdr:row>4</xdr:row>
      <xdr:rowOff>238126</xdr:rowOff>
    </xdr:from>
    <xdr:to>
      <xdr:col>67</xdr:col>
      <xdr:colOff>238125</xdr:colOff>
      <xdr:row>4</xdr:row>
      <xdr:rowOff>250826</xdr:rowOff>
    </xdr:to>
    <xdr:cxnSp macro="">
      <xdr:nvCxnSpPr>
        <xdr:cNvPr id="42811" name="CNtp67c11routec"/>
        <xdr:cNvCxnSpPr>
          <a:stCxn id="42789" idx="6"/>
          <a:endCxn id="42809" idx="2"/>
        </xdr:cNvCxnSpPr>
      </xdr:nvCxnSpPr>
      <xdr:spPr>
        <a:xfrm>
          <a:off x="3237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238126</xdr:colOff>
      <xdr:row>4</xdr:row>
      <xdr:rowOff>238126</xdr:rowOff>
    </xdr:from>
    <xdr:to>
      <xdr:col>67</xdr:col>
      <xdr:colOff>238125</xdr:colOff>
      <xdr:row>4</xdr:row>
      <xdr:rowOff>250826</xdr:rowOff>
    </xdr:to>
    <xdr:cxnSp macro="">
      <xdr:nvCxnSpPr>
        <xdr:cNvPr id="42810" name="CNtp67c11routev"/>
        <xdr:cNvCxnSpPr>
          <a:stCxn id="42789" idx="6"/>
          <a:endCxn id="42809" idx="2"/>
        </xdr:cNvCxnSpPr>
      </xdr:nvCxnSpPr>
      <xdr:spPr>
        <a:xfrm>
          <a:off x="3237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238126</xdr:colOff>
      <xdr:row>28</xdr:row>
      <xdr:rowOff>238126</xdr:rowOff>
    </xdr:from>
    <xdr:to>
      <xdr:col>66</xdr:col>
      <xdr:colOff>238125</xdr:colOff>
      <xdr:row>28</xdr:row>
      <xdr:rowOff>250826</xdr:rowOff>
    </xdr:to>
    <xdr:cxnSp macro="">
      <xdr:nvCxnSpPr>
        <xdr:cNvPr id="42807" name="CNtp66c13routeb"/>
        <xdr:cNvCxnSpPr>
          <a:stCxn id="42784" idx="6"/>
          <a:endCxn id="42805" idx="2"/>
        </xdr:cNvCxnSpPr>
      </xdr:nvCxnSpPr>
      <xdr:spPr>
        <a:xfrm>
          <a:off x="3189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238126</xdr:colOff>
      <xdr:row>28</xdr:row>
      <xdr:rowOff>238126</xdr:rowOff>
    </xdr:from>
    <xdr:to>
      <xdr:col>66</xdr:col>
      <xdr:colOff>238125</xdr:colOff>
      <xdr:row>28</xdr:row>
      <xdr:rowOff>250826</xdr:rowOff>
    </xdr:to>
    <xdr:cxnSp macro="">
      <xdr:nvCxnSpPr>
        <xdr:cNvPr id="42806" name="CNtp66c13routec"/>
        <xdr:cNvCxnSpPr>
          <a:stCxn id="42784" idx="6"/>
          <a:endCxn id="42805" idx="2"/>
        </xdr:cNvCxnSpPr>
      </xdr:nvCxnSpPr>
      <xdr:spPr>
        <a:xfrm>
          <a:off x="3189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238126</xdr:colOff>
      <xdr:row>24</xdr:row>
      <xdr:rowOff>238126</xdr:rowOff>
    </xdr:from>
    <xdr:to>
      <xdr:col>66</xdr:col>
      <xdr:colOff>238125</xdr:colOff>
      <xdr:row>28</xdr:row>
      <xdr:rowOff>238126</xdr:rowOff>
    </xdr:to>
    <xdr:cxnSp macro="">
      <xdr:nvCxnSpPr>
        <xdr:cNvPr id="42803" name="CNtp66c13routev"/>
        <xdr:cNvCxnSpPr>
          <a:stCxn id="42784" idx="6"/>
          <a:endCxn id="42802" idx="2"/>
        </xdr:cNvCxnSpPr>
      </xdr:nvCxnSpPr>
      <xdr:spPr>
        <a:xfrm flipV="1">
          <a:off x="3189922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238126</xdr:colOff>
      <xdr:row>18</xdr:row>
      <xdr:rowOff>238126</xdr:rowOff>
    </xdr:from>
    <xdr:to>
      <xdr:col>66</xdr:col>
      <xdr:colOff>238125</xdr:colOff>
      <xdr:row>18</xdr:row>
      <xdr:rowOff>250826</xdr:rowOff>
    </xdr:to>
    <xdr:cxnSp macro="">
      <xdr:nvCxnSpPr>
        <xdr:cNvPr id="42800" name="CNtp66c12routeb"/>
        <xdr:cNvCxnSpPr>
          <a:stCxn id="42777" idx="6"/>
          <a:endCxn id="42798" idx="2"/>
        </xdr:cNvCxnSpPr>
      </xdr:nvCxnSpPr>
      <xdr:spPr>
        <a:xfrm>
          <a:off x="3189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238126</xdr:colOff>
      <xdr:row>18</xdr:row>
      <xdr:rowOff>238126</xdr:rowOff>
    </xdr:from>
    <xdr:to>
      <xdr:col>66</xdr:col>
      <xdr:colOff>238125</xdr:colOff>
      <xdr:row>18</xdr:row>
      <xdr:rowOff>250826</xdr:rowOff>
    </xdr:to>
    <xdr:cxnSp macro="">
      <xdr:nvCxnSpPr>
        <xdr:cNvPr id="42799" name="CNtp66c12routec"/>
        <xdr:cNvCxnSpPr>
          <a:stCxn id="42777" idx="6"/>
          <a:endCxn id="42798" idx="2"/>
        </xdr:cNvCxnSpPr>
      </xdr:nvCxnSpPr>
      <xdr:spPr>
        <a:xfrm>
          <a:off x="3189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238126</xdr:colOff>
      <xdr:row>14</xdr:row>
      <xdr:rowOff>238126</xdr:rowOff>
    </xdr:from>
    <xdr:to>
      <xdr:col>66</xdr:col>
      <xdr:colOff>238125</xdr:colOff>
      <xdr:row>18</xdr:row>
      <xdr:rowOff>238126</xdr:rowOff>
    </xdr:to>
    <xdr:cxnSp macro="">
      <xdr:nvCxnSpPr>
        <xdr:cNvPr id="42797" name="CNtp66c12routev"/>
        <xdr:cNvCxnSpPr>
          <a:stCxn id="42777" idx="6"/>
          <a:endCxn id="42796" idx="2"/>
        </xdr:cNvCxnSpPr>
      </xdr:nvCxnSpPr>
      <xdr:spPr>
        <a:xfrm flipV="1">
          <a:off x="318992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238126</xdr:colOff>
      <xdr:row>8</xdr:row>
      <xdr:rowOff>238126</xdr:rowOff>
    </xdr:from>
    <xdr:to>
      <xdr:col>66</xdr:col>
      <xdr:colOff>238125</xdr:colOff>
      <xdr:row>8</xdr:row>
      <xdr:rowOff>250826</xdr:rowOff>
    </xdr:to>
    <xdr:cxnSp macro="">
      <xdr:nvCxnSpPr>
        <xdr:cNvPr id="42794" name="CNtp66c11routeb"/>
        <xdr:cNvCxnSpPr>
          <a:stCxn id="42771" idx="6"/>
          <a:endCxn id="42793" idx="2"/>
        </xdr:cNvCxnSpPr>
      </xdr:nvCxnSpPr>
      <xdr:spPr>
        <a:xfrm>
          <a:off x="318992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238126</xdr:colOff>
      <xdr:row>4</xdr:row>
      <xdr:rowOff>238126</xdr:rowOff>
    </xdr:from>
    <xdr:to>
      <xdr:col>66</xdr:col>
      <xdr:colOff>238125</xdr:colOff>
      <xdr:row>7</xdr:row>
      <xdr:rowOff>238126</xdr:rowOff>
    </xdr:to>
    <xdr:cxnSp macro="">
      <xdr:nvCxnSpPr>
        <xdr:cNvPr id="42791" name="CNtp66c11routec"/>
        <xdr:cNvCxnSpPr>
          <a:stCxn id="42768" idx="6"/>
          <a:endCxn id="42789" idx="2"/>
        </xdr:cNvCxnSpPr>
      </xdr:nvCxnSpPr>
      <xdr:spPr>
        <a:xfrm flipV="1">
          <a:off x="31899226" y="328612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238126</xdr:colOff>
      <xdr:row>4</xdr:row>
      <xdr:rowOff>238126</xdr:rowOff>
    </xdr:from>
    <xdr:to>
      <xdr:col>66</xdr:col>
      <xdr:colOff>238125</xdr:colOff>
      <xdr:row>8</xdr:row>
      <xdr:rowOff>238126</xdr:rowOff>
    </xdr:to>
    <xdr:cxnSp macro="">
      <xdr:nvCxnSpPr>
        <xdr:cNvPr id="42790" name="CNtp66c11routev"/>
        <xdr:cNvCxnSpPr>
          <a:stCxn id="42771" idx="6"/>
          <a:endCxn id="42789" idx="2"/>
        </xdr:cNvCxnSpPr>
      </xdr:nvCxnSpPr>
      <xdr:spPr>
        <a:xfrm flipV="1">
          <a:off x="3189922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238126</xdr:colOff>
      <xdr:row>28</xdr:row>
      <xdr:rowOff>238126</xdr:rowOff>
    </xdr:from>
    <xdr:to>
      <xdr:col>65</xdr:col>
      <xdr:colOff>238125</xdr:colOff>
      <xdr:row>28</xdr:row>
      <xdr:rowOff>250826</xdr:rowOff>
    </xdr:to>
    <xdr:cxnSp macro="">
      <xdr:nvCxnSpPr>
        <xdr:cNvPr id="42787" name="CNtp65c13routeb"/>
        <xdr:cNvCxnSpPr>
          <a:stCxn id="42763" idx="6"/>
          <a:endCxn id="42784" idx="2"/>
        </xdr:cNvCxnSpPr>
      </xdr:nvCxnSpPr>
      <xdr:spPr>
        <a:xfrm>
          <a:off x="3142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238126</xdr:colOff>
      <xdr:row>28</xdr:row>
      <xdr:rowOff>238126</xdr:rowOff>
    </xdr:from>
    <xdr:to>
      <xdr:col>65</xdr:col>
      <xdr:colOff>238125</xdr:colOff>
      <xdr:row>28</xdr:row>
      <xdr:rowOff>250826</xdr:rowOff>
    </xdr:to>
    <xdr:cxnSp macro="">
      <xdr:nvCxnSpPr>
        <xdr:cNvPr id="42786" name="CNtp65c13routec"/>
        <xdr:cNvCxnSpPr>
          <a:stCxn id="42763" idx="6"/>
          <a:endCxn id="42784" idx="2"/>
        </xdr:cNvCxnSpPr>
      </xdr:nvCxnSpPr>
      <xdr:spPr>
        <a:xfrm>
          <a:off x="3142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238126</xdr:colOff>
      <xdr:row>24</xdr:row>
      <xdr:rowOff>238126</xdr:rowOff>
    </xdr:from>
    <xdr:to>
      <xdr:col>65</xdr:col>
      <xdr:colOff>238125</xdr:colOff>
      <xdr:row>28</xdr:row>
      <xdr:rowOff>238126</xdr:rowOff>
    </xdr:to>
    <xdr:cxnSp macro="">
      <xdr:nvCxnSpPr>
        <xdr:cNvPr id="42785" name="CNtp65c13routev"/>
        <xdr:cNvCxnSpPr>
          <a:stCxn id="42759" idx="6"/>
          <a:endCxn id="42784" idx="2"/>
        </xdr:cNvCxnSpPr>
      </xdr:nvCxnSpPr>
      <xdr:spPr>
        <a:xfrm>
          <a:off x="314229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238126</xdr:colOff>
      <xdr:row>18</xdr:row>
      <xdr:rowOff>238126</xdr:rowOff>
    </xdr:from>
    <xdr:to>
      <xdr:col>65</xdr:col>
      <xdr:colOff>238125</xdr:colOff>
      <xdr:row>18</xdr:row>
      <xdr:rowOff>250826</xdr:rowOff>
    </xdr:to>
    <xdr:cxnSp macro="">
      <xdr:nvCxnSpPr>
        <xdr:cNvPr id="42780" name="CNtp65c12routeb"/>
        <xdr:cNvCxnSpPr>
          <a:stCxn id="42755" idx="6"/>
          <a:endCxn id="42777" idx="2"/>
        </xdr:cNvCxnSpPr>
      </xdr:nvCxnSpPr>
      <xdr:spPr>
        <a:xfrm>
          <a:off x="3142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238126</xdr:colOff>
      <xdr:row>18</xdr:row>
      <xdr:rowOff>238126</xdr:rowOff>
    </xdr:from>
    <xdr:to>
      <xdr:col>65</xdr:col>
      <xdr:colOff>238125</xdr:colOff>
      <xdr:row>18</xdr:row>
      <xdr:rowOff>250826</xdr:rowOff>
    </xdr:to>
    <xdr:cxnSp macro="">
      <xdr:nvCxnSpPr>
        <xdr:cNvPr id="42779" name="CNtp65c12routec"/>
        <xdr:cNvCxnSpPr>
          <a:stCxn id="42755" idx="6"/>
          <a:endCxn id="42777" idx="2"/>
        </xdr:cNvCxnSpPr>
      </xdr:nvCxnSpPr>
      <xdr:spPr>
        <a:xfrm>
          <a:off x="3142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238126</xdr:colOff>
      <xdr:row>14</xdr:row>
      <xdr:rowOff>238126</xdr:rowOff>
    </xdr:from>
    <xdr:to>
      <xdr:col>65</xdr:col>
      <xdr:colOff>238125</xdr:colOff>
      <xdr:row>18</xdr:row>
      <xdr:rowOff>238126</xdr:rowOff>
    </xdr:to>
    <xdr:cxnSp macro="">
      <xdr:nvCxnSpPr>
        <xdr:cNvPr id="42778" name="CNtp65c12routev"/>
        <xdr:cNvCxnSpPr>
          <a:stCxn id="42751" idx="6"/>
          <a:endCxn id="42777" idx="2"/>
        </xdr:cNvCxnSpPr>
      </xdr:nvCxnSpPr>
      <xdr:spPr>
        <a:xfrm>
          <a:off x="314229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238126</xdr:colOff>
      <xdr:row>8</xdr:row>
      <xdr:rowOff>238126</xdr:rowOff>
    </xdr:from>
    <xdr:to>
      <xdr:col>65</xdr:col>
      <xdr:colOff>238125</xdr:colOff>
      <xdr:row>8</xdr:row>
      <xdr:rowOff>250826</xdr:rowOff>
    </xdr:to>
    <xdr:cxnSp macro="">
      <xdr:nvCxnSpPr>
        <xdr:cNvPr id="42773" name="CNtp65c11routeb"/>
        <xdr:cNvCxnSpPr>
          <a:stCxn id="42747" idx="6"/>
          <a:endCxn id="42771" idx="2"/>
        </xdr:cNvCxnSpPr>
      </xdr:nvCxnSpPr>
      <xdr:spPr>
        <a:xfrm>
          <a:off x="31422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238126</xdr:colOff>
      <xdr:row>4</xdr:row>
      <xdr:rowOff>238126</xdr:rowOff>
    </xdr:from>
    <xdr:to>
      <xdr:col>65</xdr:col>
      <xdr:colOff>238125</xdr:colOff>
      <xdr:row>8</xdr:row>
      <xdr:rowOff>238126</xdr:rowOff>
    </xdr:to>
    <xdr:cxnSp macro="">
      <xdr:nvCxnSpPr>
        <xdr:cNvPr id="42772" name="CNtp65c11routev"/>
        <xdr:cNvCxnSpPr>
          <a:stCxn id="42741" idx="6"/>
          <a:endCxn id="42771" idx="2"/>
        </xdr:cNvCxnSpPr>
      </xdr:nvCxnSpPr>
      <xdr:spPr>
        <a:xfrm>
          <a:off x="3142297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238126</xdr:colOff>
      <xdr:row>4</xdr:row>
      <xdr:rowOff>238126</xdr:rowOff>
    </xdr:from>
    <xdr:to>
      <xdr:col>65</xdr:col>
      <xdr:colOff>238125</xdr:colOff>
      <xdr:row>7</xdr:row>
      <xdr:rowOff>238126</xdr:rowOff>
    </xdr:to>
    <xdr:cxnSp macro="">
      <xdr:nvCxnSpPr>
        <xdr:cNvPr id="42769" name="CNtp65c11routec"/>
        <xdr:cNvCxnSpPr>
          <a:stCxn id="42741" idx="6"/>
          <a:endCxn id="42768" idx="2"/>
        </xdr:cNvCxnSpPr>
      </xdr:nvCxnSpPr>
      <xdr:spPr>
        <a:xfrm>
          <a:off x="31422976" y="328612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238126</xdr:colOff>
      <xdr:row>28</xdr:row>
      <xdr:rowOff>238126</xdr:rowOff>
    </xdr:from>
    <xdr:to>
      <xdr:col>64</xdr:col>
      <xdr:colOff>238125</xdr:colOff>
      <xdr:row>28</xdr:row>
      <xdr:rowOff>250826</xdr:rowOff>
    </xdr:to>
    <xdr:cxnSp macro="">
      <xdr:nvCxnSpPr>
        <xdr:cNvPr id="42765" name="CNtp64c13routeb"/>
        <xdr:cNvCxnSpPr>
          <a:stCxn id="42735" idx="6"/>
          <a:endCxn id="42763" idx="2"/>
        </xdr:cNvCxnSpPr>
      </xdr:nvCxnSpPr>
      <xdr:spPr>
        <a:xfrm>
          <a:off x="3094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238126</xdr:colOff>
      <xdr:row>24</xdr:row>
      <xdr:rowOff>238126</xdr:rowOff>
    </xdr:from>
    <xdr:to>
      <xdr:col>64</xdr:col>
      <xdr:colOff>238125</xdr:colOff>
      <xdr:row>28</xdr:row>
      <xdr:rowOff>238126</xdr:rowOff>
    </xdr:to>
    <xdr:cxnSp macro="">
      <xdr:nvCxnSpPr>
        <xdr:cNvPr id="42764" name="CNtp64c13routec"/>
        <xdr:cNvCxnSpPr>
          <a:stCxn id="42728" idx="6"/>
          <a:endCxn id="42763" idx="2"/>
        </xdr:cNvCxnSpPr>
      </xdr:nvCxnSpPr>
      <xdr:spPr>
        <a:xfrm>
          <a:off x="3094672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238126</xdr:colOff>
      <xdr:row>24</xdr:row>
      <xdr:rowOff>238126</xdr:rowOff>
    </xdr:from>
    <xdr:to>
      <xdr:col>64</xdr:col>
      <xdr:colOff>238125</xdr:colOff>
      <xdr:row>24</xdr:row>
      <xdr:rowOff>250826</xdr:rowOff>
    </xdr:to>
    <xdr:cxnSp macro="">
      <xdr:nvCxnSpPr>
        <xdr:cNvPr id="42760" name="CNtp64c13routev"/>
        <xdr:cNvCxnSpPr>
          <a:stCxn id="42728" idx="6"/>
          <a:endCxn id="42759" idx="2"/>
        </xdr:cNvCxnSpPr>
      </xdr:nvCxnSpPr>
      <xdr:spPr>
        <a:xfrm>
          <a:off x="309467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238126</xdr:colOff>
      <xdr:row>16</xdr:row>
      <xdr:rowOff>238126</xdr:rowOff>
    </xdr:from>
    <xdr:to>
      <xdr:col>64</xdr:col>
      <xdr:colOff>238125</xdr:colOff>
      <xdr:row>18</xdr:row>
      <xdr:rowOff>238126</xdr:rowOff>
    </xdr:to>
    <xdr:cxnSp macro="">
      <xdr:nvCxnSpPr>
        <xdr:cNvPr id="42757" name="CNtp64c12routeb"/>
        <xdr:cNvCxnSpPr>
          <a:stCxn id="42722" idx="6"/>
          <a:endCxn id="42755" idx="2"/>
        </xdr:cNvCxnSpPr>
      </xdr:nvCxnSpPr>
      <xdr:spPr>
        <a:xfrm>
          <a:off x="3094672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238126</xdr:colOff>
      <xdr:row>16</xdr:row>
      <xdr:rowOff>238126</xdr:rowOff>
    </xdr:from>
    <xdr:to>
      <xdr:col>64</xdr:col>
      <xdr:colOff>238125</xdr:colOff>
      <xdr:row>18</xdr:row>
      <xdr:rowOff>238126</xdr:rowOff>
    </xdr:to>
    <xdr:cxnSp macro="">
      <xdr:nvCxnSpPr>
        <xdr:cNvPr id="42756" name="CNtp64c12routec"/>
        <xdr:cNvCxnSpPr>
          <a:stCxn id="42722" idx="6"/>
          <a:endCxn id="42755" idx="2"/>
        </xdr:cNvCxnSpPr>
      </xdr:nvCxnSpPr>
      <xdr:spPr>
        <a:xfrm>
          <a:off x="3094672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238126</xdr:colOff>
      <xdr:row>14</xdr:row>
      <xdr:rowOff>238126</xdr:rowOff>
    </xdr:from>
    <xdr:to>
      <xdr:col>64</xdr:col>
      <xdr:colOff>238125</xdr:colOff>
      <xdr:row>16</xdr:row>
      <xdr:rowOff>238126</xdr:rowOff>
    </xdr:to>
    <xdr:cxnSp macro="">
      <xdr:nvCxnSpPr>
        <xdr:cNvPr id="42752" name="CNtp64c12routev"/>
        <xdr:cNvCxnSpPr>
          <a:stCxn id="42722" idx="6"/>
          <a:endCxn id="42751" idx="2"/>
        </xdr:cNvCxnSpPr>
      </xdr:nvCxnSpPr>
      <xdr:spPr>
        <a:xfrm flipV="1">
          <a:off x="30946726" y="8048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238126</xdr:colOff>
      <xdr:row>8</xdr:row>
      <xdr:rowOff>238126</xdr:rowOff>
    </xdr:from>
    <xdr:to>
      <xdr:col>64</xdr:col>
      <xdr:colOff>238125</xdr:colOff>
      <xdr:row>8</xdr:row>
      <xdr:rowOff>250826</xdr:rowOff>
    </xdr:to>
    <xdr:cxnSp macro="">
      <xdr:nvCxnSpPr>
        <xdr:cNvPr id="42748" name="CNtp64c11routeb"/>
        <xdr:cNvCxnSpPr>
          <a:stCxn id="42716" idx="6"/>
          <a:endCxn id="42747" idx="2"/>
        </xdr:cNvCxnSpPr>
      </xdr:nvCxnSpPr>
      <xdr:spPr>
        <a:xfrm>
          <a:off x="30946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238126</xdr:colOff>
      <xdr:row>4</xdr:row>
      <xdr:rowOff>238126</xdr:rowOff>
    </xdr:from>
    <xdr:to>
      <xdr:col>64</xdr:col>
      <xdr:colOff>238125</xdr:colOff>
      <xdr:row>4</xdr:row>
      <xdr:rowOff>250826</xdr:rowOff>
    </xdr:to>
    <xdr:cxnSp macro="">
      <xdr:nvCxnSpPr>
        <xdr:cNvPr id="42743" name="CNtp64c11routec"/>
        <xdr:cNvCxnSpPr>
          <a:stCxn id="42709" idx="6"/>
          <a:endCxn id="42741" idx="2"/>
        </xdr:cNvCxnSpPr>
      </xdr:nvCxnSpPr>
      <xdr:spPr>
        <a:xfrm>
          <a:off x="3094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238126</xdr:colOff>
      <xdr:row>4</xdr:row>
      <xdr:rowOff>238126</xdr:rowOff>
    </xdr:from>
    <xdr:to>
      <xdr:col>64</xdr:col>
      <xdr:colOff>238125</xdr:colOff>
      <xdr:row>4</xdr:row>
      <xdr:rowOff>250826</xdr:rowOff>
    </xdr:to>
    <xdr:cxnSp macro="">
      <xdr:nvCxnSpPr>
        <xdr:cNvPr id="42742" name="CNtp64c11routev"/>
        <xdr:cNvCxnSpPr>
          <a:stCxn id="42709" idx="6"/>
          <a:endCxn id="42741" idx="2"/>
        </xdr:cNvCxnSpPr>
      </xdr:nvCxnSpPr>
      <xdr:spPr>
        <a:xfrm>
          <a:off x="3094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238126</xdr:colOff>
      <xdr:row>28</xdr:row>
      <xdr:rowOff>238126</xdr:rowOff>
    </xdr:from>
    <xdr:to>
      <xdr:col>63</xdr:col>
      <xdr:colOff>238125</xdr:colOff>
      <xdr:row>28</xdr:row>
      <xdr:rowOff>250826</xdr:rowOff>
    </xdr:to>
    <xdr:cxnSp macro="">
      <xdr:nvCxnSpPr>
        <xdr:cNvPr id="42736" name="CNtp63c13routeb"/>
        <xdr:cNvCxnSpPr>
          <a:stCxn id="42705" idx="6"/>
          <a:endCxn id="42735" idx="2"/>
        </xdr:cNvCxnSpPr>
      </xdr:nvCxnSpPr>
      <xdr:spPr>
        <a:xfrm>
          <a:off x="3047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238126</xdr:colOff>
      <xdr:row>24</xdr:row>
      <xdr:rowOff>238126</xdr:rowOff>
    </xdr:from>
    <xdr:to>
      <xdr:col>63</xdr:col>
      <xdr:colOff>238125</xdr:colOff>
      <xdr:row>24</xdr:row>
      <xdr:rowOff>250826</xdr:rowOff>
    </xdr:to>
    <xdr:cxnSp macro="">
      <xdr:nvCxnSpPr>
        <xdr:cNvPr id="42730" name="CNtp63c13routec"/>
        <xdr:cNvCxnSpPr>
          <a:stCxn id="42700" idx="6"/>
          <a:endCxn id="42728" idx="2"/>
        </xdr:cNvCxnSpPr>
      </xdr:nvCxnSpPr>
      <xdr:spPr>
        <a:xfrm>
          <a:off x="304704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238126</xdr:colOff>
      <xdr:row>24</xdr:row>
      <xdr:rowOff>238126</xdr:rowOff>
    </xdr:from>
    <xdr:to>
      <xdr:col>63</xdr:col>
      <xdr:colOff>238125</xdr:colOff>
      <xdr:row>24</xdr:row>
      <xdr:rowOff>250826</xdr:rowOff>
    </xdr:to>
    <xdr:cxnSp macro="">
      <xdr:nvCxnSpPr>
        <xdr:cNvPr id="42729" name="CNtp63c13routev"/>
        <xdr:cNvCxnSpPr>
          <a:stCxn id="42700" idx="6"/>
          <a:endCxn id="42728" idx="2"/>
        </xdr:cNvCxnSpPr>
      </xdr:nvCxnSpPr>
      <xdr:spPr>
        <a:xfrm>
          <a:off x="304704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238126</xdr:colOff>
      <xdr:row>16</xdr:row>
      <xdr:rowOff>238126</xdr:rowOff>
    </xdr:from>
    <xdr:to>
      <xdr:col>63</xdr:col>
      <xdr:colOff>238125</xdr:colOff>
      <xdr:row>18</xdr:row>
      <xdr:rowOff>238126</xdr:rowOff>
    </xdr:to>
    <xdr:cxnSp macro="">
      <xdr:nvCxnSpPr>
        <xdr:cNvPr id="42725" name="CNtp63c12routeb"/>
        <xdr:cNvCxnSpPr>
          <a:stCxn id="42697" idx="6"/>
          <a:endCxn id="42722" idx="2"/>
        </xdr:cNvCxnSpPr>
      </xdr:nvCxnSpPr>
      <xdr:spPr>
        <a:xfrm flipV="1">
          <a:off x="3047047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238126</xdr:colOff>
      <xdr:row>14</xdr:row>
      <xdr:rowOff>238126</xdr:rowOff>
    </xdr:from>
    <xdr:to>
      <xdr:col>63</xdr:col>
      <xdr:colOff>238125</xdr:colOff>
      <xdr:row>16</xdr:row>
      <xdr:rowOff>238126</xdr:rowOff>
    </xdr:to>
    <xdr:cxnSp macro="">
      <xdr:nvCxnSpPr>
        <xdr:cNvPr id="42724" name="CNtp63c12routec"/>
        <xdr:cNvCxnSpPr>
          <a:stCxn id="42691" idx="6"/>
          <a:endCxn id="42722" idx="2"/>
        </xdr:cNvCxnSpPr>
      </xdr:nvCxnSpPr>
      <xdr:spPr>
        <a:xfrm>
          <a:off x="30470476" y="8048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238126</xdr:colOff>
      <xdr:row>14</xdr:row>
      <xdr:rowOff>238126</xdr:rowOff>
    </xdr:from>
    <xdr:to>
      <xdr:col>63</xdr:col>
      <xdr:colOff>238125</xdr:colOff>
      <xdr:row>16</xdr:row>
      <xdr:rowOff>238126</xdr:rowOff>
    </xdr:to>
    <xdr:cxnSp macro="">
      <xdr:nvCxnSpPr>
        <xdr:cNvPr id="42723" name="CNtp63c12routev"/>
        <xdr:cNvCxnSpPr>
          <a:stCxn id="42691" idx="6"/>
          <a:endCxn id="42722" idx="2"/>
        </xdr:cNvCxnSpPr>
      </xdr:nvCxnSpPr>
      <xdr:spPr>
        <a:xfrm>
          <a:off x="30470476" y="8048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238126</xdr:colOff>
      <xdr:row>8</xdr:row>
      <xdr:rowOff>238126</xdr:rowOff>
    </xdr:from>
    <xdr:to>
      <xdr:col>63</xdr:col>
      <xdr:colOff>238125</xdr:colOff>
      <xdr:row>8</xdr:row>
      <xdr:rowOff>250826</xdr:rowOff>
    </xdr:to>
    <xdr:cxnSp macro="">
      <xdr:nvCxnSpPr>
        <xdr:cNvPr id="42717" name="CNtp63c11routeb"/>
        <xdr:cNvCxnSpPr>
          <a:stCxn id="42688" idx="6"/>
          <a:endCxn id="42716" idx="2"/>
        </xdr:cNvCxnSpPr>
      </xdr:nvCxnSpPr>
      <xdr:spPr>
        <a:xfrm>
          <a:off x="30470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238126</xdr:colOff>
      <xdr:row>4</xdr:row>
      <xdr:rowOff>238126</xdr:rowOff>
    </xdr:from>
    <xdr:to>
      <xdr:col>63</xdr:col>
      <xdr:colOff>238125</xdr:colOff>
      <xdr:row>4</xdr:row>
      <xdr:rowOff>250826</xdr:rowOff>
    </xdr:to>
    <xdr:cxnSp macro="">
      <xdr:nvCxnSpPr>
        <xdr:cNvPr id="42711" name="CNtp63c11routec"/>
        <xdr:cNvCxnSpPr>
          <a:stCxn id="42684" idx="6"/>
          <a:endCxn id="42709" idx="2"/>
        </xdr:cNvCxnSpPr>
      </xdr:nvCxnSpPr>
      <xdr:spPr>
        <a:xfrm>
          <a:off x="3047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238126</xdr:colOff>
      <xdr:row>4</xdr:row>
      <xdr:rowOff>238126</xdr:rowOff>
    </xdr:from>
    <xdr:to>
      <xdr:col>63</xdr:col>
      <xdr:colOff>238125</xdr:colOff>
      <xdr:row>4</xdr:row>
      <xdr:rowOff>250826</xdr:rowOff>
    </xdr:to>
    <xdr:cxnSp macro="">
      <xdr:nvCxnSpPr>
        <xdr:cNvPr id="42710" name="CNtp63c11routev"/>
        <xdr:cNvCxnSpPr>
          <a:stCxn id="42684" idx="6"/>
          <a:endCxn id="42709" idx="2"/>
        </xdr:cNvCxnSpPr>
      </xdr:nvCxnSpPr>
      <xdr:spPr>
        <a:xfrm>
          <a:off x="3047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238126</xdr:colOff>
      <xdr:row>28</xdr:row>
      <xdr:rowOff>238126</xdr:rowOff>
    </xdr:from>
    <xdr:to>
      <xdr:col>62</xdr:col>
      <xdr:colOff>238125</xdr:colOff>
      <xdr:row>28</xdr:row>
      <xdr:rowOff>250826</xdr:rowOff>
    </xdr:to>
    <xdr:cxnSp macro="">
      <xdr:nvCxnSpPr>
        <xdr:cNvPr id="42706" name="CNtp62c13routeb"/>
        <xdr:cNvCxnSpPr>
          <a:stCxn id="42680" idx="6"/>
          <a:endCxn id="42705" idx="2"/>
        </xdr:cNvCxnSpPr>
      </xdr:nvCxnSpPr>
      <xdr:spPr>
        <a:xfrm>
          <a:off x="2999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238126</xdr:colOff>
      <xdr:row>24</xdr:row>
      <xdr:rowOff>238126</xdr:rowOff>
    </xdr:from>
    <xdr:to>
      <xdr:col>62</xdr:col>
      <xdr:colOff>238125</xdr:colOff>
      <xdr:row>28</xdr:row>
      <xdr:rowOff>238126</xdr:rowOff>
    </xdr:to>
    <xdr:cxnSp macro="">
      <xdr:nvCxnSpPr>
        <xdr:cNvPr id="42702" name="CNtp62c13routec"/>
        <xdr:cNvCxnSpPr>
          <a:stCxn id="42680" idx="6"/>
          <a:endCxn id="42700" idx="2"/>
        </xdr:cNvCxnSpPr>
      </xdr:nvCxnSpPr>
      <xdr:spPr>
        <a:xfrm flipV="1">
          <a:off x="2999422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238126</xdr:colOff>
      <xdr:row>24</xdr:row>
      <xdr:rowOff>238126</xdr:rowOff>
    </xdr:from>
    <xdr:to>
      <xdr:col>62</xdr:col>
      <xdr:colOff>238125</xdr:colOff>
      <xdr:row>25</xdr:row>
      <xdr:rowOff>238126</xdr:rowOff>
    </xdr:to>
    <xdr:cxnSp macro="">
      <xdr:nvCxnSpPr>
        <xdr:cNvPr id="42701" name="CNtp62c13routev"/>
        <xdr:cNvCxnSpPr>
          <a:stCxn id="42677" idx="6"/>
          <a:endCxn id="42700" idx="2"/>
        </xdr:cNvCxnSpPr>
      </xdr:nvCxnSpPr>
      <xdr:spPr>
        <a:xfrm flipV="1">
          <a:off x="29994226" y="12811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238126</xdr:colOff>
      <xdr:row>18</xdr:row>
      <xdr:rowOff>238126</xdr:rowOff>
    </xdr:from>
    <xdr:to>
      <xdr:col>62</xdr:col>
      <xdr:colOff>238125</xdr:colOff>
      <xdr:row>18</xdr:row>
      <xdr:rowOff>250826</xdr:rowOff>
    </xdr:to>
    <xdr:cxnSp macro="">
      <xdr:nvCxnSpPr>
        <xdr:cNvPr id="42698" name="CNtp62c12routeb"/>
        <xdr:cNvCxnSpPr>
          <a:stCxn id="42670" idx="6"/>
          <a:endCxn id="42697" idx="2"/>
        </xdr:cNvCxnSpPr>
      </xdr:nvCxnSpPr>
      <xdr:spPr>
        <a:xfrm>
          <a:off x="2999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238126</xdr:colOff>
      <xdr:row>14</xdr:row>
      <xdr:rowOff>238126</xdr:rowOff>
    </xdr:from>
    <xdr:to>
      <xdr:col>62</xdr:col>
      <xdr:colOff>238125</xdr:colOff>
      <xdr:row>18</xdr:row>
      <xdr:rowOff>238126</xdr:rowOff>
    </xdr:to>
    <xdr:cxnSp macro="">
      <xdr:nvCxnSpPr>
        <xdr:cNvPr id="42693" name="CNtp62c12routec"/>
        <xdr:cNvCxnSpPr>
          <a:stCxn id="42670" idx="6"/>
          <a:endCxn id="42691" idx="2"/>
        </xdr:cNvCxnSpPr>
      </xdr:nvCxnSpPr>
      <xdr:spPr>
        <a:xfrm flipV="1">
          <a:off x="299942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238126</xdr:colOff>
      <xdr:row>14</xdr:row>
      <xdr:rowOff>238126</xdr:rowOff>
    </xdr:from>
    <xdr:to>
      <xdr:col>62</xdr:col>
      <xdr:colOff>238125</xdr:colOff>
      <xdr:row>18</xdr:row>
      <xdr:rowOff>238126</xdr:rowOff>
    </xdr:to>
    <xdr:cxnSp macro="">
      <xdr:nvCxnSpPr>
        <xdr:cNvPr id="42692" name="CNtp62c12routev"/>
        <xdr:cNvCxnSpPr>
          <a:stCxn id="42670" idx="6"/>
          <a:endCxn id="42691" idx="2"/>
        </xdr:cNvCxnSpPr>
      </xdr:nvCxnSpPr>
      <xdr:spPr>
        <a:xfrm flipV="1">
          <a:off x="299942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238126</xdr:colOff>
      <xdr:row>8</xdr:row>
      <xdr:rowOff>238126</xdr:rowOff>
    </xdr:from>
    <xdr:to>
      <xdr:col>62</xdr:col>
      <xdr:colOff>238125</xdr:colOff>
      <xdr:row>8</xdr:row>
      <xdr:rowOff>250826</xdr:rowOff>
    </xdr:to>
    <xdr:cxnSp macro="">
      <xdr:nvCxnSpPr>
        <xdr:cNvPr id="42689" name="CNtp62c11routeb"/>
        <xdr:cNvCxnSpPr>
          <a:stCxn id="42663" idx="6"/>
          <a:endCxn id="42688" idx="2"/>
        </xdr:cNvCxnSpPr>
      </xdr:nvCxnSpPr>
      <xdr:spPr>
        <a:xfrm>
          <a:off x="299942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238126</xdr:colOff>
      <xdr:row>4</xdr:row>
      <xdr:rowOff>238126</xdr:rowOff>
    </xdr:from>
    <xdr:to>
      <xdr:col>62</xdr:col>
      <xdr:colOff>238125</xdr:colOff>
      <xdr:row>8</xdr:row>
      <xdr:rowOff>238126</xdr:rowOff>
    </xdr:to>
    <xdr:cxnSp macro="">
      <xdr:nvCxnSpPr>
        <xdr:cNvPr id="42686" name="CNtp62c11routec"/>
        <xdr:cNvCxnSpPr>
          <a:stCxn id="42663" idx="6"/>
          <a:endCxn id="42684" idx="2"/>
        </xdr:cNvCxnSpPr>
      </xdr:nvCxnSpPr>
      <xdr:spPr>
        <a:xfrm flipV="1">
          <a:off x="29994226" y="3286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238126</xdr:colOff>
      <xdr:row>4</xdr:row>
      <xdr:rowOff>238126</xdr:rowOff>
    </xdr:from>
    <xdr:to>
      <xdr:col>62</xdr:col>
      <xdr:colOff>238125</xdr:colOff>
      <xdr:row>4</xdr:row>
      <xdr:rowOff>250826</xdr:rowOff>
    </xdr:to>
    <xdr:cxnSp macro="">
      <xdr:nvCxnSpPr>
        <xdr:cNvPr id="42685" name="CNtp62c11routev"/>
        <xdr:cNvCxnSpPr>
          <a:stCxn id="42657" idx="6"/>
          <a:endCxn id="42684" idx="2"/>
        </xdr:cNvCxnSpPr>
      </xdr:nvCxnSpPr>
      <xdr:spPr>
        <a:xfrm>
          <a:off x="2999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238126</xdr:colOff>
      <xdr:row>28</xdr:row>
      <xdr:rowOff>238126</xdr:rowOff>
    </xdr:from>
    <xdr:to>
      <xdr:col>61</xdr:col>
      <xdr:colOff>238125</xdr:colOff>
      <xdr:row>28</xdr:row>
      <xdr:rowOff>250826</xdr:rowOff>
    </xdr:to>
    <xdr:cxnSp macro="">
      <xdr:nvCxnSpPr>
        <xdr:cNvPr id="42682" name="CNtp61c13routeb"/>
        <xdr:cNvCxnSpPr>
          <a:stCxn id="42652" idx="6"/>
          <a:endCxn id="42680" idx="2"/>
        </xdr:cNvCxnSpPr>
      </xdr:nvCxnSpPr>
      <xdr:spPr>
        <a:xfrm>
          <a:off x="2951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238126</xdr:colOff>
      <xdr:row>28</xdr:row>
      <xdr:rowOff>238126</xdr:rowOff>
    </xdr:from>
    <xdr:to>
      <xdr:col>61</xdr:col>
      <xdr:colOff>238125</xdr:colOff>
      <xdr:row>28</xdr:row>
      <xdr:rowOff>250826</xdr:rowOff>
    </xdr:to>
    <xdr:cxnSp macro="">
      <xdr:nvCxnSpPr>
        <xdr:cNvPr id="42681" name="CNtp61c13routec"/>
        <xdr:cNvCxnSpPr>
          <a:stCxn id="42652" idx="6"/>
          <a:endCxn id="42680" idx="2"/>
        </xdr:cNvCxnSpPr>
      </xdr:nvCxnSpPr>
      <xdr:spPr>
        <a:xfrm>
          <a:off x="2951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238126</xdr:colOff>
      <xdr:row>25</xdr:row>
      <xdr:rowOff>238126</xdr:rowOff>
    </xdr:from>
    <xdr:to>
      <xdr:col>61</xdr:col>
      <xdr:colOff>238125</xdr:colOff>
      <xdr:row>25</xdr:row>
      <xdr:rowOff>250826</xdr:rowOff>
    </xdr:to>
    <xdr:cxnSp macro="">
      <xdr:nvCxnSpPr>
        <xdr:cNvPr id="42678" name="CNtp61c13routev"/>
        <xdr:cNvCxnSpPr>
          <a:stCxn id="42648" idx="6"/>
          <a:endCxn id="42677" idx="2"/>
        </xdr:cNvCxnSpPr>
      </xdr:nvCxnSpPr>
      <xdr:spPr>
        <a:xfrm>
          <a:off x="29517976" y="13287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238126</xdr:colOff>
      <xdr:row>18</xdr:row>
      <xdr:rowOff>238126</xdr:rowOff>
    </xdr:from>
    <xdr:to>
      <xdr:col>61</xdr:col>
      <xdr:colOff>238125</xdr:colOff>
      <xdr:row>18</xdr:row>
      <xdr:rowOff>250826</xdr:rowOff>
    </xdr:to>
    <xdr:cxnSp macro="">
      <xdr:nvCxnSpPr>
        <xdr:cNvPr id="42673" name="CNtp61c12routeb"/>
        <xdr:cNvCxnSpPr>
          <a:stCxn id="42643" idx="6"/>
          <a:endCxn id="42670" idx="2"/>
        </xdr:cNvCxnSpPr>
      </xdr:nvCxnSpPr>
      <xdr:spPr>
        <a:xfrm>
          <a:off x="2951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238126</xdr:colOff>
      <xdr:row>18</xdr:row>
      <xdr:rowOff>238126</xdr:rowOff>
    </xdr:from>
    <xdr:to>
      <xdr:col>61</xdr:col>
      <xdr:colOff>238125</xdr:colOff>
      <xdr:row>18</xdr:row>
      <xdr:rowOff>250826</xdr:rowOff>
    </xdr:to>
    <xdr:cxnSp macro="">
      <xdr:nvCxnSpPr>
        <xdr:cNvPr id="42672" name="CNtp61c12routec"/>
        <xdr:cNvCxnSpPr>
          <a:stCxn id="42643" idx="6"/>
          <a:endCxn id="42670" idx="2"/>
        </xdr:cNvCxnSpPr>
      </xdr:nvCxnSpPr>
      <xdr:spPr>
        <a:xfrm>
          <a:off x="2951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238126</xdr:colOff>
      <xdr:row>18</xdr:row>
      <xdr:rowOff>238126</xdr:rowOff>
    </xdr:from>
    <xdr:to>
      <xdr:col>61</xdr:col>
      <xdr:colOff>238125</xdr:colOff>
      <xdr:row>18</xdr:row>
      <xdr:rowOff>250826</xdr:rowOff>
    </xdr:to>
    <xdr:cxnSp macro="">
      <xdr:nvCxnSpPr>
        <xdr:cNvPr id="42671" name="CNtp61c12routev"/>
        <xdr:cNvCxnSpPr>
          <a:stCxn id="42643" idx="6"/>
          <a:endCxn id="42670" idx="2"/>
        </xdr:cNvCxnSpPr>
      </xdr:nvCxnSpPr>
      <xdr:spPr>
        <a:xfrm>
          <a:off x="2951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238126</xdr:colOff>
      <xdr:row>8</xdr:row>
      <xdr:rowOff>238126</xdr:rowOff>
    </xdr:from>
    <xdr:to>
      <xdr:col>61</xdr:col>
      <xdr:colOff>238125</xdr:colOff>
      <xdr:row>8</xdr:row>
      <xdr:rowOff>250826</xdr:rowOff>
    </xdr:to>
    <xdr:cxnSp macro="">
      <xdr:nvCxnSpPr>
        <xdr:cNvPr id="42665" name="CNtp61c11routeb"/>
        <xdr:cNvCxnSpPr>
          <a:stCxn id="42638" idx="6"/>
          <a:endCxn id="42663" idx="2"/>
        </xdr:cNvCxnSpPr>
      </xdr:nvCxnSpPr>
      <xdr:spPr>
        <a:xfrm>
          <a:off x="29517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238126</xdr:colOff>
      <xdr:row>5</xdr:row>
      <xdr:rowOff>238126</xdr:rowOff>
    </xdr:from>
    <xdr:to>
      <xdr:col>61</xdr:col>
      <xdr:colOff>238125</xdr:colOff>
      <xdr:row>8</xdr:row>
      <xdr:rowOff>238126</xdr:rowOff>
    </xdr:to>
    <xdr:cxnSp macro="">
      <xdr:nvCxnSpPr>
        <xdr:cNvPr id="42664" name="CNtp61c11routec"/>
        <xdr:cNvCxnSpPr>
          <a:stCxn id="42634" idx="6"/>
          <a:endCxn id="42663" idx="2"/>
        </xdr:cNvCxnSpPr>
      </xdr:nvCxnSpPr>
      <xdr:spPr>
        <a:xfrm>
          <a:off x="29517976" y="3762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238126</xdr:colOff>
      <xdr:row>5</xdr:row>
      <xdr:rowOff>238126</xdr:rowOff>
    </xdr:from>
    <xdr:to>
      <xdr:col>61</xdr:col>
      <xdr:colOff>238125</xdr:colOff>
      <xdr:row>5</xdr:row>
      <xdr:rowOff>250826</xdr:rowOff>
    </xdr:to>
    <xdr:cxnSp macro="">
      <xdr:nvCxnSpPr>
        <xdr:cNvPr id="42661" name="CNtp61c11routev"/>
        <xdr:cNvCxnSpPr>
          <a:stCxn id="42634" idx="6"/>
          <a:endCxn id="42660" idx="2"/>
        </xdr:cNvCxnSpPr>
      </xdr:nvCxnSpPr>
      <xdr:spPr>
        <a:xfrm>
          <a:off x="2951797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238126</xdr:colOff>
      <xdr:row>4</xdr:row>
      <xdr:rowOff>238126</xdr:rowOff>
    </xdr:from>
    <xdr:to>
      <xdr:col>61</xdr:col>
      <xdr:colOff>238125</xdr:colOff>
      <xdr:row>5</xdr:row>
      <xdr:rowOff>238126</xdr:rowOff>
    </xdr:to>
    <xdr:cxnSp macro="">
      <xdr:nvCxnSpPr>
        <xdr:cNvPr id="42658" name="CNtp61c11routev"/>
        <xdr:cNvCxnSpPr>
          <a:stCxn id="42634" idx="6"/>
          <a:endCxn id="42657" idx="2"/>
        </xdr:cNvCxnSpPr>
      </xdr:nvCxnSpPr>
      <xdr:spPr>
        <a:xfrm flipV="1">
          <a:off x="295179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238126</xdr:colOff>
      <xdr:row>28</xdr:row>
      <xdr:rowOff>238126</xdr:rowOff>
    </xdr:from>
    <xdr:to>
      <xdr:col>60</xdr:col>
      <xdr:colOff>238125</xdr:colOff>
      <xdr:row>28</xdr:row>
      <xdr:rowOff>250826</xdr:rowOff>
    </xdr:to>
    <xdr:cxnSp macro="">
      <xdr:nvCxnSpPr>
        <xdr:cNvPr id="42654" name="CNtp60c13routeb"/>
        <xdr:cNvCxnSpPr>
          <a:stCxn id="42628" idx="6"/>
          <a:endCxn id="42652" idx="2"/>
        </xdr:cNvCxnSpPr>
      </xdr:nvCxnSpPr>
      <xdr:spPr>
        <a:xfrm>
          <a:off x="2904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238126</xdr:colOff>
      <xdr:row>28</xdr:row>
      <xdr:rowOff>238126</xdr:rowOff>
    </xdr:from>
    <xdr:to>
      <xdr:col>60</xdr:col>
      <xdr:colOff>238125</xdr:colOff>
      <xdr:row>28</xdr:row>
      <xdr:rowOff>250826</xdr:rowOff>
    </xdr:to>
    <xdr:cxnSp macro="">
      <xdr:nvCxnSpPr>
        <xdr:cNvPr id="42653" name="CNtp60c13routec"/>
        <xdr:cNvCxnSpPr>
          <a:stCxn id="42628" idx="6"/>
          <a:endCxn id="42652" idx="2"/>
        </xdr:cNvCxnSpPr>
      </xdr:nvCxnSpPr>
      <xdr:spPr>
        <a:xfrm>
          <a:off x="2904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238126</xdr:colOff>
      <xdr:row>24</xdr:row>
      <xdr:rowOff>238126</xdr:rowOff>
    </xdr:from>
    <xdr:to>
      <xdr:col>60</xdr:col>
      <xdr:colOff>238125</xdr:colOff>
      <xdr:row>25</xdr:row>
      <xdr:rowOff>238126</xdr:rowOff>
    </xdr:to>
    <xdr:cxnSp macro="">
      <xdr:nvCxnSpPr>
        <xdr:cNvPr id="42649" name="CNtp60c13routev"/>
        <xdr:cNvCxnSpPr>
          <a:stCxn id="42622" idx="6"/>
          <a:endCxn id="42648" idx="2"/>
        </xdr:cNvCxnSpPr>
      </xdr:nvCxnSpPr>
      <xdr:spPr>
        <a:xfrm>
          <a:off x="29041726" y="12811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238126</xdr:colOff>
      <xdr:row>18</xdr:row>
      <xdr:rowOff>238126</xdr:rowOff>
    </xdr:from>
    <xdr:to>
      <xdr:col>60</xdr:col>
      <xdr:colOff>238125</xdr:colOff>
      <xdr:row>18</xdr:row>
      <xdr:rowOff>250826</xdr:rowOff>
    </xdr:to>
    <xdr:cxnSp macro="">
      <xdr:nvCxnSpPr>
        <xdr:cNvPr id="42646" name="CNtp60c12routeb"/>
        <xdr:cNvCxnSpPr>
          <a:stCxn id="42616" idx="6"/>
          <a:endCxn id="42643" idx="2"/>
        </xdr:cNvCxnSpPr>
      </xdr:nvCxnSpPr>
      <xdr:spPr>
        <a:xfrm>
          <a:off x="2904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238126</xdr:colOff>
      <xdr:row>14</xdr:row>
      <xdr:rowOff>238126</xdr:rowOff>
    </xdr:from>
    <xdr:to>
      <xdr:col>60</xdr:col>
      <xdr:colOff>238125</xdr:colOff>
      <xdr:row>18</xdr:row>
      <xdr:rowOff>238126</xdr:rowOff>
    </xdr:to>
    <xdr:cxnSp macro="">
      <xdr:nvCxnSpPr>
        <xdr:cNvPr id="42645" name="CNtp60c12routec"/>
        <xdr:cNvCxnSpPr>
          <a:stCxn id="42610" idx="6"/>
          <a:endCxn id="42643" idx="2"/>
        </xdr:cNvCxnSpPr>
      </xdr:nvCxnSpPr>
      <xdr:spPr>
        <a:xfrm>
          <a:off x="290417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238126</xdr:colOff>
      <xdr:row>14</xdr:row>
      <xdr:rowOff>238126</xdr:rowOff>
    </xdr:from>
    <xdr:to>
      <xdr:col>60</xdr:col>
      <xdr:colOff>238125</xdr:colOff>
      <xdr:row>18</xdr:row>
      <xdr:rowOff>238126</xdr:rowOff>
    </xdr:to>
    <xdr:cxnSp macro="">
      <xdr:nvCxnSpPr>
        <xdr:cNvPr id="42644" name="CNtp60c12routev"/>
        <xdr:cNvCxnSpPr>
          <a:stCxn id="42610" idx="6"/>
          <a:endCxn id="42643" idx="2"/>
        </xdr:cNvCxnSpPr>
      </xdr:nvCxnSpPr>
      <xdr:spPr>
        <a:xfrm>
          <a:off x="290417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238126</xdr:colOff>
      <xdr:row>8</xdr:row>
      <xdr:rowOff>238126</xdr:rowOff>
    </xdr:from>
    <xdr:to>
      <xdr:col>60</xdr:col>
      <xdr:colOff>238125</xdr:colOff>
      <xdr:row>8</xdr:row>
      <xdr:rowOff>250826</xdr:rowOff>
    </xdr:to>
    <xdr:cxnSp macro="">
      <xdr:nvCxnSpPr>
        <xdr:cNvPr id="42639" name="CNtp60c11routeb"/>
        <xdr:cNvCxnSpPr>
          <a:stCxn id="42604" idx="6"/>
          <a:endCxn id="42638" idx="2"/>
        </xdr:cNvCxnSpPr>
      </xdr:nvCxnSpPr>
      <xdr:spPr>
        <a:xfrm>
          <a:off x="29041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238126</xdr:colOff>
      <xdr:row>4</xdr:row>
      <xdr:rowOff>238126</xdr:rowOff>
    </xdr:from>
    <xdr:to>
      <xdr:col>60</xdr:col>
      <xdr:colOff>238125</xdr:colOff>
      <xdr:row>5</xdr:row>
      <xdr:rowOff>238126</xdr:rowOff>
    </xdr:to>
    <xdr:cxnSp macro="">
      <xdr:nvCxnSpPr>
        <xdr:cNvPr id="42636" name="CNtp60c11routec"/>
        <xdr:cNvCxnSpPr>
          <a:stCxn id="42596" idx="6"/>
          <a:endCxn id="42634" idx="2"/>
        </xdr:cNvCxnSpPr>
      </xdr:nvCxnSpPr>
      <xdr:spPr>
        <a:xfrm>
          <a:off x="290417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238126</xdr:colOff>
      <xdr:row>5</xdr:row>
      <xdr:rowOff>238126</xdr:rowOff>
    </xdr:from>
    <xdr:to>
      <xdr:col>60</xdr:col>
      <xdr:colOff>238125</xdr:colOff>
      <xdr:row>5</xdr:row>
      <xdr:rowOff>250826</xdr:rowOff>
    </xdr:to>
    <xdr:cxnSp macro="">
      <xdr:nvCxnSpPr>
        <xdr:cNvPr id="42635" name="CNtp60c11routev"/>
        <xdr:cNvCxnSpPr>
          <a:stCxn id="42599" idx="6"/>
          <a:endCxn id="42634" idx="2"/>
        </xdr:cNvCxnSpPr>
      </xdr:nvCxnSpPr>
      <xdr:spPr>
        <a:xfrm>
          <a:off x="2904172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238126</xdr:colOff>
      <xdr:row>28</xdr:row>
      <xdr:rowOff>238126</xdr:rowOff>
    </xdr:from>
    <xdr:to>
      <xdr:col>59</xdr:col>
      <xdr:colOff>238125</xdr:colOff>
      <xdr:row>28</xdr:row>
      <xdr:rowOff>250826</xdr:rowOff>
    </xdr:to>
    <xdr:cxnSp macro="">
      <xdr:nvCxnSpPr>
        <xdr:cNvPr id="42630" name="CNtp59c13routeb"/>
        <xdr:cNvCxnSpPr>
          <a:stCxn id="42591" idx="6"/>
          <a:endCxn id="42628" idx="2"/>
        </xdr:cNvCxnSpPr>
      </xdr:nvCxnSpPr>
      <xdr:spPr>
        <a:xfrm>
          <a:off x="2856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238126</xdr:colOff>
      <xdr:row>28</xdr:row>
      <xdr:rowOff>238126</xdr:rowOff>
    </xdr:from>
    <xdr:to>
      <xdr:col>59</xdr:col>
      <xdr:colOff>238125</xdr:colOff>
      <xdr:row>28</xdr:row>
      <xdr:rowOff>250826</xdr:rowOff>
    </xdr:to>
    <xdr:cxnSp macro="">
      <xdr:nvCxnSpPr>
        <xdr:cNvPr id="42629" name="CNtp59c13routec"/>
        <xdr:cNvCxnSpPr>
          <a:stCxn id="42591" idx="6"/>
          <a:endCxn id="42628" idx="2"/>
        </xdr:cNvCxnSpPr>
      </xdr:nvCxnSpPr>
      <xdr:spPr>
        <a:xfrm>
          <a:off x="2856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238126</xdr:colOff>
      <xdr:row>24</xdr:row>
      <xdr:rowOff>238126</xdr:rowOff>
    </xdr:from>
    <xdr:to>
      <xdr:col>59</xdr:col>
      <xdr:colOff>238125</xdr:colOff>
      <xdr:row>24</xdr:row>
      <xdr:rowOff>250826</xdr:rowOff>
    </xdr:to>
    <xdr:cxnSp macro="">
      <xdr:nvCxnSpPr>
        <xdr:cNvPr id="42623" name="CNtp59c13routev"/>
        <xdr:cNvCxnSpPr>
          <a:stCxn id="42589" idx="6"/>
          <a:endCxn id="42622" idx="2"/>
        </xdr:cNvCxnSpPr>
      </xdr:nvCxnSpPr>
      <xdr:spPr>
        <a:xfrm>
          <a:off x="285654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238126</xdr:colOff>
      <xdr:row>18</xdr:row>
      <xdr:rowOff>238126</xdr:rowOff>
    </xdr:from>
    <xdr:to>
      <xdr:col>59</xdr:col>
      <xdr:colOff>238125</xdr:colOff>
      <xdr:row>18</xdr:row>
      <xdr:rowOff>250826</xdr:rowOff>
    </xdr:to>
    <xdr:cxnSp macro="">
      <xdr:nvCxnSpPr>
        <xdr:cNvPr id="42617" name="CNtp59c12routeb"/>
        <xdr:cNvCxnSpPr>
          <a:stCxn id="42586" idx="6"/>
          <a:endCxn id="42616" idx="2"/>
        </xdr:cNvCxnSpPr>
      </xdr:nvCxnSpPr>
      <xdr:spPr>
        <a:xfrm>
          <a:off x="2856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238126</xdr:colOff>
      <xdr:row>14</xdr:row>
      <xdr:rowOff>238126</xdr:rowOff>
    </xdr:from>
    <xdr:to>
      <xdr:col>59</xdr:col>
      <xdr:colOff>238125</xdr:colOff>
      <xdr:row>14</xdr:row>
      <xdr:rowOff>250826</xdr:rowOff>
    </xdr:to>
    <xdr:cxnSp macro="">
      <xdr:nvCxnSpPr>
        <xdr:cNvPr id="42611" name="CNtp59c12routev"/>
        <xdr:cNvCxnSpPr>
          <a:stCxn id="42584" idx="6"/>
          <a:endCxn id="42610" idx="2"/>
        </xdr:cNvCxnSpPr>
      </xdr:nvCxnSpPr>
      <xdr:spPr>
        <a:xfrm>
          <a:off x="2856547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238126</xdr:colOff>
      <xdr:row>8</xdr:row>
      <xdr:rowOff>238126</xdr:rowOff>
    </xdr:from>
    <xdr:to>
      <xdr:col>59</xdr:col>
      <xdr:colOff>238125</xdr:colOff>
      <xdr:row>8</xdr:row>
      <xdr:rowOff>250826</xdr:rowOff>
    </xdr:to>
    <xdr:cxnSp macro="">
      <xdr:nvCxnSpPr>
        <xdr:cNvPr id="42605" name="CNtp59c11routeb"/>
        <xdr:cNvCxnSpPr>
          <a:stCxn id="42581" idx="6"/>
          <a:endCxn id="42604" idx="2"/>
        </xdr:cNvCxnSpPr>
      </xdr:nvCxnSpPr>
      <xdr:spPr>
        <a:xfrm>
          <a:off x="28565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238126</xdr:colOff>
      <xdr:row>4</xdr:row>
      <xdr:rowOff>238126</xdr:rowOff>
    </xdr:from>
    <xdr:to>
      <xdr:col>59</xdr:col>
      <xdr:colOff>238125</xdr:colOff>
      <xdr:row>5</xdr:row>
      <xdr:rowOff>238126</xdr:rowOff>
    </xdr:to>
    <xdr:cxnSp macro="">
      <xdr:nvCxnSpPr>
        <xdr:cNvPr id="42600" name="CNtp59c11routev"/>
        <xdr:cNvCxnSpPr>
          <a:stCxn id="42574" idx="6"/>
          <a:endCxn id="42599" idx="2"/>
        </xdr:cNvCxnSpPr>
      </xdr:nvCxnSpPr>
      <xdr:spPr>
        <a:xfrm>
          <a:off x="285654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238126</xdr:colOff>
      <xdr:row>4</xdr:row>
      <xdr:rowOff>238126</xdr:rowOff>
    </xdr:from>
    <xdr:to>
      <xdr:col>59</xdr:col>
      <xdr:colOff>238125</xdr:colOff>
      <xdr:row>4</xdr:row>
      <xdr:rowOff>250826</xdr:rowOff>
    </xdr:to>
    <xdr:cxnSp macro="">
      <xdr:nvCxnSpPr>
        <xdr:cNvPr id="42597" name="CNtp59c11routec"/>
        <xdr:cNvCxnSpPr>
          <a:stCxn id="42574" idx="6"/>
          <a:endCxn id="42596" idx="2"/>
        </xdr:cNvCxnSpPr>
      </xdr:nvCxnSpPr>
      <xdr:spPr>
        <a:xfrm>
          <a:off x="2856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238126</xdr:colOff>
      <xdr:row>28</xdr:row>
      <xdr:rowOff>238126</xdr:rowOff>
    </xdr:from>
    <xdr:to>
      <xdr:col>58</xdr:col>
      <xdr:colOff>238125</xdr:colOff>
      <xdr:row>28</xdr:row>
      <xdr:rowOff>250826</xdr:rowOff>
    </xdr:to>
    <xdr:cxnSp macro="">
      <xdr:nvCxnSpPr>
        <xdr:cNvPr id="42593" name="CNtp58c13routeb"/>
        <xdr:cNvCxnSpPr>
          <a:stCxn id="42567" idx="6"/>
          <a:endCxn id="42591" idx="2"/>
        </xdr:cNvCxnSpPr>
      </xdr:nvCxnSpPr>
      <xdr:spPr>
        <a:xfrm>
          <a:off x="2808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238126</xdr:colOff>
      <xdr:row>28</xdr:row>
      <xdr:rowOff>238126</xdr:rowOff>
    </xdr:from>
    <xdr:to>
      <xdr:col>58</xdr:col>
      <xdr:colOff>238125</xdr:colOff>
      <xdr:row>29</xdr:row>
      <xdr:rowOff>238126</xdr:rowOff>
    </xdr:to>
    <xdr:cxnSp macro="">
      <xdr:nvCxnSpPr>
        <xdr:cNvPr id="42592" name="CNtp58c13routec"/>
        <xdr:cNvCxnSpPr>
          <a:stCxn id="42570" idx="6"/>
          <a:endCxn id="42591" idx="2"/>
        </xdr:cNvCxnSpPr>
      </xdr:nvCxnSpPr>
      <xdr:spPr>
        <a:xfrm flipV="1">
          <a:off x="28089226" y="1471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238126</xdr:colOff>
      <xdr:row>24</xdr:row>
      <xdr:rowOff>238126</xdr:rowOff>
    </xdr:from>
    <xdr:to>
      <xdr:col>58</xdr:col>
      <xdr:colOff>238125</xdr:colOff>
      <xdr:row>29</xdr:row>
      <xdr:rowOff>238126</xdr:rowOff>
    </xdr:to>
    <xdr:cxnSp macro="">
      <xdr:nvCxnSpPr>
        <xdr:cNvPr id="42590" name="CNtp58c13routev"/>
        <xdr:cNvCxnSpPr>
          <a:stCxn id="42570" idx="6"/>
          <a:endCxn id="42589" idx="2"/>
        </xdr:cNvCxnSpPr>
      </xdr:nvCxnSpPr>
      <xdr:spPr>
        <a:xfrm flipV="1">
          <a:off x="28089226" y="1281112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238126</xdr:colOff>
      <xdr:row>18</xdr:row>
      <xdr:rowOff>238126</xdr:rowOff>
    </xdr:from>
    <xdr:to>
      <xdr:col>58</xdr:col>
      <xdr:colOff>238125</xdr:colOff>
      <xdr:row>19</xdr:row>
      <xdr:rowOff>238126</xdr:rowOff>
    </xdr:to>
    <xdr:cxnSp macro="">
      <xdr:nvCxnSpPr>
        <xdr:cNvPr id="42587" name="CNtp58c12routeb"/>
        <xdr:cNvCxnSpPr>
          <a:stCxn id="42562" idx="6"/>
          <a:endCxn id="42586" idx="2"/>
        </xdr:cNvCxnSpPr>
      </xdr:nvCxnSpPr>
      <xdr:spPr>
        <a:xfrm flipV="1">
          <a:off x="28089226" y="99536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238126</xdr:colOff>
      <xdr:row>14</xdr:row>
      <xdr:rowOff>238126</xdr:rowOff>
    </xdr:from>
    <xdr:to>
      <xdr:col>58</xdr:col>
      <xdr:colOff>238125</xdr:colOff>
      <xdr:row>19</xdr:row>
      <xdr:rowOff>238126</xdr:rowOff>
    </xdr:to>
    <xdr:cxnSp macro="">
      <xdr:nvCxnSpPr>
        <xdr:cNvPr id="42585" name="CNtp58c12routev"/>
        <xdr:cNvCxnSpPr>
          <a:stCxn id="42562" idx="6"/>
          <a:endCxn id="42584" idx="2"/>
        </xdr:cNvCxnSpPr>
      </xdr:nvCxnSpPr>
      <xdr:spPr>
        <a:xfrm flipV="1">
          <a:off x="28089226" y="804862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238126</xdr:colOff>
      <xdr:row>8</xdr:row>
      <xdr:rowOff>238126</xdr:rowOff>
    </xdr:from>
    <xdr:to>
      <xdr:col>58</xdr:col>
      <xdr:colOff>238125</xdr:colOff>
      <xdr:row>8</xdr:row>
      <xdr:rowOff>250826</xdr:rowOff>
    </xdr:to>
    <xdr:cxnSp macro="">
      <xdr:nvCxnSpPr>
        <xdr:cNvPr id="42582" name="CNtp58c11routeb"/>
        <xdr:cNvCxnSpPr>
          <a:stCxn id="42559" idx="6"/>
          <a:endCxn id="42581" idx="2"/>
        </xdr:cNvCxnSpPr>
      </xdr:nvCxnSpPr>
      <xdr:spPr>
        <a:xfrm>
          <a:off x="280892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238126</xdr:colOff>
      <xdr:row>4</xdr:row>
      <xdr:rowOff>238126</xdr:rowOff>
    </xdr:from>
    <xdr:to>
      <xdr:col>58</xdr:col>
      <xdr:colOff>238125</xdr:colOff>
      <xdr:row>5</xdr:row>
      <xdr:rowOff>238126</xdr:rowOff>
    </xdr:to>
    <xdr:cxnSp macro="">
      <xdr:nvCxnSpPr>
        <xdr:cNvPr id="42580" name="CNtp58c11routec"/>
        <xdr:cNvCxnSpPr>
          <a:stCxn id="42556" idx="6"/>
          <a:endCxn id="42578" idx="2"/>
        </xdr:cNvCxnSpPr>
      </xdr:nvCxnSpPr>
      <xdr:spPr>
        <a:xfrm>
          <a:off x="280892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238126</xdr:colOff>
      <xdr:row>4</xdr:row>
      <xdr:rowOff>238126</xdr:rowOff>
    </xdr:from>
    <xdr:to>
      <xdr:col>58</xdr:col>
      <xdr:colOff>238125</xdr:colOff>
      <xdr:row>5</xdr:row>
      <xdr:rowOff>238126</xdr:rowOff>
    </xdr:to>
    <xdr:cxnSp macro="">
      <xdr:nvCxnSpPr>
        <xdr:cNvPr id="42579" name="CNtp58c11routev"/>
        <xdr:cNvCxnSpPr>
          <a:stCxn id="42556" idx="6"/>
          <a:endCxn id="42578" idx="2"/>
        </xdr:cNvCxnSpPr>
      </xdr:nvCxnSpPr>
      <xdr:spPr>
        <a:xfrm>
          <a:off x="280892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238126</xdr:colOff>
      <xdr:row>4</xdr:row>
      <xdr:rowOff>238126</xdr:rowOff>
    </xdr:from>
    <xdr:to>
      <xdr:col>58</xdr:col>
      <xdr:colOff>238125</xdr:colOff>
      <xdr:row>4</xdr:row>
      <xdr:rowOff>250826</xdr:rowOff>
    </xdr:to>
    <xdr:cxnSp macro="">
      <xdr:nvCxnSpPr>
        <xdr:cNvPr id="42576" name="CNtp58c11routec"/>
        <xdr:cNvCxnSpPr>
          <a:stCxn id="42556" idx="6"/>
          <a:endCxn id="42574" idx="2"/>
        </xdr:cNvCxnSpPr>
      </xdr:nvCxnSpPr>
      <xdr:spPr>
        <a:xfrm>
          <a:off x="2808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238126</xdr:colOff>
      <xdr:row>4</xdr:row>
      <xdr:rowOff>238126</xdr:rowOff>
    </xdr:from>
    <xdr:to>
      <xdr:col>58</xdr:col>
      <xdr:colOff>238125</xdr:colOff>
      <xdr:row>4</xdr:row>
      <xdr:rowOff>250826</xdr:rowOff>
    </xdr:to>
    <xdr:cxnSp macro="">
      <xdr:nvCxnSpPr>
        <xdr:cNvPr id="42575" name="CNtp58c11routev"/>
        <xdr:cNvCxnSpPr>
          <a:stCxn id="42556" idx="6"/>
          <a:endCxn id="42574" idx="2"/>
        </xdr:cNvCxnSpPr>
      </xdr:nvCxnSpPr>
      <xdr:spPr>
        <a:xfrm>
          <a:off x="2808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238126</xdr:colOff>
      <xdr:row>24</xdr:row>
      <xdr:rowOff>238126</xdr:rowOff>
    </xdr:from>
    <xdr:to>
      <xdr:col>57</xdr:col>
      <xdr:colOff>238125</xdr:colOff>
      <xdr:row>29</xdr:row>
      <xdr:rowOff>238126</xdr:rowOff>
    </xdr:to>
    <xdr:cxnSp macro="">
      <xdr:nvCxnSpPr>
        <xdr:cNvPr id="42572" name="CNtp57c13routec"/>
        <xdr:cNvCxnSpPr>
          <a:stCxn id="42544" idx="6"/>
          <a:endCxn id="42570" idx="2"/>
        </xdr:cNvCxnSpPr>
      </xdr:nvCxnSpPr>
      <xdr:spPr>
        <a:xfrm>
          <a:off x="27612976" y="1281112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238126</xdr:colOff>
      <xdr:row>24</xdr:row>
      <xdr:rowOff>238126</xdr:rowOff>
    </xdr:from>
    <xdr:to>
      <xdr:col>57</xdr:col>
      <xdr:colOff>238125</xdr:colOff>
      <xdr:row>29</xdr:row>
      <xdr:rowOff>238126</xdr:rowOff>
    </xdr:to>
    <xdr:cxnSp macro="">
      <xdr:nvCxnSpPr>
        <xdr:cNvPr id="42571" name="CNtp57c13routev"/>
        <xdr:cNvCxnSpPr>
          <a:stCxn id="42544" idx="6"/>
          <a:endCxn id="42570" idx="2"/>
        </xdr:cNvCxnSpPr>
      </xdr:nvCxnSpPr>
      <xdr:spPr>
        <a:xfrm>
          <a:off x="27612976" y="1281112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238126</xdr:colOff>
      <xdr:row>28</xdr:row>
      <xdr:rowOff>238126</xdr:rowOff>
    </xdr:from>
    <xdr:to>
      <xdr:col>57</xdr:col>
      <xdr:colOff>238125</xdr:colOff>
      <xdr:row>28</xdr:row>
      <xdr:rowOff>250826</xdr:rowOff>
    </xdr:to>
    <xdr:cxnSp macro="">
      <xdr:nvCxnSpPr>
        <xdr:cNvPr id="42568" name="CNtp57c13routeb"/>
        <xdr:cNvCxnSpPr>
          <a:stCxn id="42551" idx="6"/>
          <a:endCxn id="42567" idx="2"/>
        </xdr:cNvCxnSpPr>
      </xdr:nvCxnSpPr>
      <xdr:spPr>
        <a:xfrm>
          <a:off x="2761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238126</xdr:colOff>
      <xdr:row>18</xdr:row>
      <xdr:rowOff>238126</xdr:rowOff>
    </xdr:from>
    <xdr:to>
      <xdr:col>57</xdr:col>
      <xdr:colOff>238125</xdr:colOff>
      <xdr:row>19</xdr:row>
      <xdr:rowOff>238126</xdr:rowOff>
    </xdr:to>
    <xdr:cxnSp macro="">
      <xdr:nvCxnSpPr>
        <xdr:cNvPr id="42565" name="CNtp57c12routeb"/>
        <xdr:cNvCxnSpPr>
          <a:stCxn id="42538" idx="6"/>
          <a:endCxn id="42562" idx="2"/>
        </xdr:cNvCxnSpPr>
      </xdr:nvCxnSpPr>
      <xdr:spPr>
        <a:xfrm>
          <a:off x="27612976" y="99536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238126</xdr:colOff>
      <xdr:row>14</xdr:row>
      <xdr:rowOff>238126</xdr:rowOff>
    </xdr:from>
    <xdr:to>
      <xdr:col>57</xdr:col>
      <xdr:colOff>238125</xdr:colOff>
      <xdr:row>19</xdr:row>
      <xdr:rowOff>238126</xdr:rowOff>
    </xdr:to>
    <xdr:cxnSp macro="">
      <xdr:nvCxnSpPr>
        <xdr:cNvPr id="42564" name="CNtp57c12routec"/>
        <xdr:cNvCxnSpPr>
          <a:stCxn id="42531" idx="6"/>
          <a:endCxn id="42562" idx="2"/>
        </xdr:cNvCxnSpPr>
      </xdr:nvCxnSpPr>
      <xdr:spPr>
        <a:xfrm>
          <a:off x="27612976" y="804862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238126</xdr:colOff>
      <xdr:row>14</xdr:row>
      <xdr:rowOff>238126</xdr:rowOff>
    </xdr:from>
    <xdr:to>
      <xdr:col>57</xdr:col>
      <xdr:colOff>238125</xdr:colOff>
      <xdr:row>19</xdr:row>
      <xdr:rowOff>238126</xdr:rowOff>
    </xdr:to>
    <xdr:cxnSp macro="">
      <xdr:nvCxnSpPr>
        <xdr:cNvPr id="42563" name="CNtp57c12routev"/>
        <xdr:cNvCxnSpPr>
          <a:stCxn id="42531" idx="6"/>
          <a:endCxn id="42562" idx="2"/>
        </xdr:cNvCxnSpPr>
      </xdr:nvCxnSpPr>
      <xdr:spPr>
        <a:xfrm>
          <a:off x="27612976" y="804862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238126</xdr:colOff>
      <xdr:row>8</xdr:row>
      <xdr:rowOff>238126</xdr:rowOff>
    </xdr:from>
    <xdr:to>
      <xdr:col>57</xdr:col>
      <xdr:colOff>238125</xdr:colOff>
      <xdr:row>8</xdr:row>
      <xdr:rowOff>250826</xdr:rowOff>
    </xdr:to>
    <xdr:cxnSp macro="">
      <xdr:nvCxnSpPr>
        <xdr:cNvPr id="42560" name="CNtp57c11routeb"/>
        <xdr:cNvCxnSpPr>
          <a:stCxn id="42527" idx="6"/>
          <a:endCxn id="42559" idx="2"/>
        </xdr:cNvCxnSpPr>
      </xdr:nvCxnSpPr>
      <xdr:spPr>
        <a:xfrm>
          <a:off x="27612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238126</xdr:colOff>
      <xdr:row>4</xdr:row>
      <xdr:rowOff>238126</xdr:rowOff>
    </xdr:from>
    <xdr:to>
      <xdr:col>57</xdr:col>
      <xdr:colOff>238125</xdr:colOff>
      <xdr:row>4</xdr:row>
      <xdr:rowOff>250826</xdr:rowOff>
    </xdr:to>
    <xdr:cxnSp macro="">
      <xdr:nvCxnSpPr>
        <xdr:cNvPr id="42558" name="CNtp57c11routec"/>
        <xdr:cNvCxnSpPr>
          <a:stCxn id="42523" idx="6"/>
          <a:endCxn id="42556" idx="2"/>
        </xdr:cNvCxnSpPr>
      </xdr:nvCxnSpPr>
      <xdr:spPr>
        <a:xfrm>
          <a:off x="2761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238126</xdr:colOff>
      <xdr:row>4</xdr:row>
      <xdr:rowOff>238126</xdr:rowOff>
    </xdr:from>
    <xdr:to>
      <xdr:col>57</xdr:col>
      <xdr:colOff>238125</xdr:colOff>
      <xdr:row>4</xdr:row>
      <xdr:rowOff>250826</xdr:rowOff>
    </xdr:to>
    <xdr:cxnSp macro="">
      <xdr:nvCxnSpPr>
        <xdr:cNvPr id="42557" name="CNtp57c11routev"/>
        <xdr:cNvCxnSpPr>
          <a:stCxn id="42523" idx="6"/>
          <a:endCxn id="42556" idx="2"/>
        </xdr:cNvCxnSpPr>
      </xdr:nvCxnSpPr>
      <xdr:spPr>
        <a:xfrm>
          <a:off x="2761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238126</xdr:colOff>
      <xdr:row>28</xdr:row>
      <xdr:rowOff>238126</xdr:rowOff>
    </xdr:from>
    <xdr:to>
      <xdr:col>56</xdr:col>
      <xdr:colOff>238125</xdr:colOff>
      <xdr:row>28</xdr:row>
      <xdr:rowOff>250826</xdr:rowOff>
    </xdr:to>
    <xdr:cxnSp macro="">
      <xdr:nvCxnSpPr>
        <xdr:cNvPr id="42552" name="CNtp56c13routeb"/>
        <xdr:cNvCxnSpPr>
          <a:stCxn id="42520" idx="6"/>
          <a:endCxn id="42551" idx="2"/>
        </xdr:cNvCxnSpPr>
      </xdr:nvCxnSpPr>
      <xdr:spPr>
        <a:xfrm>
          <a:off x="2713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238126</xdr:colOff>
      <xdr:row>24</xdr:row>
      <xdr:rowOff>238126</xdr:rowOff>
    </xdr:from>
    <xdr:to>
      <xdr:col>56</xdr:col>
      <xdr:colOff>238125</xdr:colOff>
      <xdr:row>24</xdr:row>
      <xdr:rowOff>250826</xdr:rowOff>
    </xdr:to>
    <xdr:cxnSp macro="">
      <xdr:nvCxnSpPr>
        <xdr:cNvPr id="42546" name="CNtp56c13routec"/>
        <xdr:cNvCxnSpPr>
          <a:stCxn id="42517" idx="6"/>
          <a:endCxn id="42544" idx="2"/>
        </xdr:cNvCxnSpPr>
      </xdr:nvCxnSpPr>
      <xdr:spPr>
        <a:xfrm>
          <a:off x="271367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238126</xdr:colOff>
      <xdr:row>24</xdr:row>
      <xdr:rowOff>238126</xdr:rowOff>
    </xdr:from>
    <xdr:to>
      <xdr:col>56</xdr:col>
      <xdr:colOff>238125</xdr:colOff>
      <xdr:row>24</xdr:row>
      <xdr:rowOff>250826</xdr:rowOff>
    </xdr:to>
    <xdr:cxnSp macro="">
      <xdr:nvCxnSpPr>
        <xdr:cNvPr id="42545" name="CNtp56c13routev"/>
        <xdr:cNvCxnSpPr>
          <a:stCxn id="42517" idx="6"/>
          <a:endCxn id="42544" idx="2"/>
        </xdr:cNvCxnSpPr>
      </xdr:nvCxnSpPr>
      <xdr:spPr>
        <a:xfrm>
          <a:off x="271367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238126</xdr:colOff>
      <xdr:row>18</xdr:row>
      <xdr:rowOff>238126</xdr:rowOff>
    </xdr:from>
    <xdr:to>
      <xdr:col>56</xdr:col>
      <xdr:colOff>238125</xdr:colOff>
      <xdr:row>18</xdr:row>
      <xdr:rowOff>250826</xdr:rowOff>
    </xdr:to>
    <xdr:cxnSp macro="">
      <xdr:nvCxnSpPr>
        <xdr:cNvPr id="42539" name="CNtp56c12routeb"/>
        <xdr:cNvCxnSpPr>
          <a:stCxn id="42514" idx="6"/>
          <a:endCxn id="42538" idx="2"/>
        </xdr:cNvCxnSpPr>
      </xdr:nvCxnSpPr>
      <xdr:spPr>
        <a:xfrm>
          <a:off x="2713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238126</xdr:colOff>
      <xdr:row>14</xdr:row>
      <xdr:rowOff>238126</xdr:rowOff>
    </xdr:from>
    <xdr:to>
      <xdr:col>56</xdr:col>
      <xdr:colOff>238125</xdr:colOff>
      <xdr:row>14</xdr:row>
      <xdr:rowOff>250826</xdr:rowOff>
    </xdr:to>
    <xdr:cxnSp macro="">
      <xdr:nvCxnSpPr>
        <xdr:cNvPr id="42533" name="CNtp56c12routec"/>
        <xdr:cNvCxnSpPr>
          <a:stCxn id="42511" idx="6"/>
          <a:endCxn id="42531" idx="2"/>
        </xdr:cNvCxnSpPr>
      </xdr:nvCxnSpPr>
      <xdr:spPr>
        <a:xfrm>
          <a:off x="2713672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238126</xdr:colOff>
      <xdr:row>14</xdr:row>
      <xdr:rowOff>238126</xdr:rowOff>
    </xdr:from>
    <xdr:to>
      <xdr:col>56</xdr:col>
      <xdr:colOff>238125</xdr:colOff>
      <xdr:row>14</xdr:row>
      <xdr:rowOff>250826</xdr:rowOff>
    </xdr:to>
    <xdr:cxnSp macro="">
      <xdr:nvCxnSpPr>
        <xdr:cNvPr id="42532" name="CNtp56c12routev"/>
        <xdr:cNvCxnSpPr>
          <a:stCxn id="42511" idx="6"/>
          <a:endCxn id="42531" idx="2"/>
        </xdr:cNvCxnSpPr>
      </xdr:nvCxnSpPr>
      <xdr:spPr>
        <a:xfrm>
          <a:off x="2713672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238126</xdr:colOff>
      <xdr:row>8</xdr:row>
      <xdr:rowOff>238126</xdr:rowOff>
    </xdr:from>
    <xdr:to>
      <xdr:col>56</xdr:col>
      <xdr:colOff>238125</xdr:colOff>
      <xdr:row>8</xdr:row>
      <xdr:rowOff>250826</xdr:rowOff>
    </xdr:to>
    <xdr:cxnSp macro="">
      <xdr:nvCxnSpPr>
        <xdr:cNvPr id="42528" name="CNtp56c11routeb"/>
        <xdr:cNvCxnSpPr>
          <a:stCxn id="42508" idx="6"/>
          <a:endCxn id="42527" idx="2"/>
        </xdr:cNvCxnSpPr>
      </xdr:nvCxnSpPr>
      <xdr:spPr>
        <a:xfrm>
          <a:off x="27136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238126</xdr:colOff>
      <xdr:row>4</xdr:row>
      <xdr:rowOff>238126</xdr:rowOff>
    </xdr:from>
    <xdr:to>
      <xdr:col>56</xdr:col>
      <xdr:colOff>238125</xdr:colOff>
      <xdr:row>4</xdr:row>
      <xdr:rowOff>250826</xdr:rowOff>
    </xdr:to>
    <xdr:cxnSp macro="">
      <xdr:nvCxnSpPr>
        <xdr:cNvPr id="42525" name="CNtp56c11routec"/>
        <xdr:cNvCxnSpPr>
          <a:stCxn id="42505" idx="6"/>
          <a:endCxn id="42523" idx="2"/>
        </xdr:cNvCxnSpPr>
      </xdr:nvCxnSpPr>
      <xdr:spPr>
        <a:xfrm>
          <a:off x="2713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238126</xdr:colOff>
      <xdr:row>4</xdr:row>
      <xdr:rowOff>238126</xdr:rowOff>
    </xdr:from>
    <xdr:to>
      <xdr:col>56</xdr:col>
      <xdr:colOff>238125</xdr:colOff>
      <xdr:row>4</xdr:row>
      <xdr:rowOff>250826</xdr:rowOff>
    </xdr:to>
    <xdr:cxnSp macro="">
      <xdr:nvCxnSpPr>
        <xdr:cNvPr id="42524" name="CNtp56c11routev"/>
        <xdr:cNvCxnSpPr>
          <a:stCxn id="42505" idx="6"/>
          <a:endCxn id="42523" idx="2"/>
        </xdr:cNvCxnSpPr>
      </xdr:nvCxnSpPr>
      <xdr:spPr>
        <a:xfrm>
          <a:off x="2713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238126</xdr:colOff>
      <xdr:row>28</xdr:row>
      <xdr:rowOff>238126</xdr:rowOff>
    </xdr:from>
    <xdr:to>
      <xdr:col>55</xdr:col>
      <xdr:colOff>238125</xdr:colOff>
      <xdr:row>28</xdr:row>
      <xdr:rowOff>250826</xdr:rowOff>
    </xdr:to>
    <xdr:cxnSp macro="">
      <xdr:nvCxnSpPr>
        <xdr:cNvPr id="42521" name="CNtp55c13routeb"/>
        <xdr:cNvCxnSpPr>
          <a:stCxn id="42500" idx="6"/>
          <a:endCxn id="42520" idx="2"/>
        </xdr:cNvCxnSpPr>
      </xdr:nvCxnSpPr>
      <xdr:spPr>
        <a:xfrm>
          <a:off x="2666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238126</xdr:colOff>
      <xdr:row>24</xdr:row>
      <xdr:rowOff>238126</xdr:rowOff>
    </xdr:from>
    <xdr:to>
      <xdr:col>55</xdr:col>
      <xdr:colOff>238125</xdr:colOff>
      <xdr:row>28</xdr:row>
      <xdr:rowOff>238126</xdr:rowOff>
    </xdr:to>
    <xdr:cxnSp macro="">
      <xdr:nvCxnSpPr>
        <xdr:cNvPr id="42519" name="CNtp55c13routec"/>
        <xdr:cNvCxnSpPr>
          <a:stCxn id="42500" idx="6"/>
          <a:endCxn id="42517" idx="2"/>
        </xdr:cNvCxnSpPr>
      </xdr:nvCxnSpPr>
      <xdr:spPr>
        <a:xfrm flipV="1">
          <a:off x="266604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238126</xdr:colOff>
      <xdr:row>24</xdr:row>
      <xdr:rowOff>238126</xdr:rowOff>
    </xdr:from>
    <xdr:to>
      <xdr:col>55</xdr:col>
      <xdr:colOff>238125</xdr:colOff>
      <xdr:row>28</xdr:row>
      <xdr:rowOff>238126</xdr:rowOff>
    </xdr:to>
    <xdr:cxnSp macro="">
      <xdr:nvCxnSpPr>
        <xdr:cNvPr id="42518" name="CNtp55c13routev"/>
        <xdr:cNvCxnSpPr>
          <a:stCxn id="42500" idx="6"/>
          <a:endCxn id="42517" idx="2"/>
        </xdr:cNvCxnSpPr>
      </xdr:nvCxnSpPr>
      <xdr:spPr>
        <a:xfrm flipV="1">
          <a:off x="26660476" y="128111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238126</xdr:colOff>
      <xdr:row>18</xdr:row>
      <xdr:rowOff>238126</xdr:rowOff>
    </xdr:from>
    <xdr:to>
      <xdr:col>55</xdr:col>
      <xdr:colOff>238125</xdr:colOff>
      <xdr:row>18</xdr:row>
      <xdr:rowOff>250826</xdr:rowOff>
    </xdr:to>
    <xdr:cxnSp macro="">
      <xdr:nvCxnSpPr>
        <xdr:cNvPr id="42515" name="CNtp55c12routeb"/>
        <xdr:cNvCxnSpPr>
          <a:stCxn id="42492" idx="6"/>
          <a:endCxn id="42514" idx="2"/>
        </xdr:cNvCxnSpPr>
      </xdr:nvCxnSpPr>
      <xdr:spPr>
        <a:xfrm>
          <a:off x="2666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238126</xdr:colOff>
      <xdr:row>14</xdr:row>
      <xdr:rowOff>238126</xdr:rowOff>
    </xdr:from>
    <xdr:to>
      <xdr:col>55</xdr:col>
      <xdr:colOff>238125</xdr:colOff>
      <xdr:row>18</xdr:row>
      <xdr:rowOff>238126</xdr:rowOff>
    </xdr:to>
    <xdr:cxnSp macro="">
      <xdr:nvCxnSpPr>
        <xdr:cNvPr id="42513" name="CNtp55c12routec"/>
        <xdr:cNvCxnSpPr>
          <a:stCxn id="42492" idx="6"/>
          <a:endCxn id="42511" idx="2"/>
        </xdr:cNvCxnSpPr>
      </xdr:nvCxnSpPr>
      <xdr:spPr>
        <a:xfrm flipV="1">
          <a:off x="266604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238126</xdr:colOff>
      <xdr:row>14</xdr:row>
      <xdr:rowOff>238126</xdr:rowOff>
    </xdr:from>
    <xdr:to>
      <xdr:col>55</xdr:col>
      <xdr:colOff>238125</xdr:colOff>
      <xdr:row>18</xdr:row>
      <xdr:rowOff>238126</xdr:rowOff>
    </xdr:to>
    <xdr:cxnSp macro="">
      <xdr:nvCxnSpPr>
        <xdr:cNvPr id="42512" name="CNtp55c12routev"/>
        <xdr:cNvCxnSpPr>
          <a:stCxn id="42492" idx="6"/>
          <a:endCxn id="42511" idx="2"/>
        </xdr:cNvCxnSpPr>
      </xdr:nvCxnSpPr>
      <xdr:spPr>
        <a:xfrm flipV="1">
          <a:off x="266604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238126</xdr:colOff>
      <xdr:row>8</xdr:row>
      <xdr:rowOff>238126</xdr:rowOff>
    </xdr:from>
    <xdr:to>
      <xdr:col>55</xdr:col>
      <xdr:colOff>238125</xdr:colOff>
      <xdr:row>8</xdr:row>
      <xdr:rowOff>250826</xdr:rowOff>
    </xdr:to>
    <xdr:cxnSp macro="">
      <xdr:nvCxnSpPr>
        <xdr:cNvPr id="42509" name="CNtp55c11routeb"/>
        <xdr:cNvCxnSpPr>
          <a:stCxn id="42486" idx="6"/>
          <a:endCxn id="42508" idx="2"/>
        </xdr:cNvCxnSpPr>
      </xdr:nvCxnSpPr>
      <xdr:spPr>
        <a:xfrm>
          <a:off x="26660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238126</xdr:colOff>
      <xdr:row>4</xdr:row>
      <xdr:rowOff>238126</xdr:rowOff>
    </xdr:from>
    <xdr:to>
      <xdr:col>55</xdr:col>
      <xdr:colOff>238125</xdr:colOff>
      <xdr:row>5</xdr:row>
      <xdr:rowOff>238126</xdr:rowOff>
    </xdr:to>
    <xdr:cxnSp macro="">
      <xdr:nvCxnSpPr>
        <xdr:cNvPr id="42507" name="CNtp55c11routec"/>
        <xdr:cNvCxnSpPr>
          <a:stCxn id="42480" idx="6"/>
          <a:endCxn id="42505" idx="2"/>
        </xdr:cNvCxnSpPr>
      </xdr:nvCxnSpPr>
      <xdr:spPr>
        <a:xfrm flipV="1">
          <a:off x="266604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238126</xdr:colOff>
      <xdr:row>4</xdr:row>
      <xdr:rowOff>238126</xdr:rowOff>
    </xdr:from>
    <xdr:to>
      <xdr:col>55</xdr:col>
      <xdr:colOff>238125</xdr:colOff>
      <xdr:row>5</xdr:row>
      <xdr:rowOff>238126</xdr:rowOff>
    </xdr:to>
    <xdr:cxnSp macro="">
      <xdr:nvCxnSpPr>
        <xdr:cNvPr id="42506" name="CNtp55c11routev"/>
        <xdr:cNvCxnSpPr>
          <a:stCxn id="42480" idx="6"/>
          <a:endCxn id="42505" idx="2"/>
        </xdr:cNvCxnSpPr>
      </xdr:nvCxnSpPr>
      <xdr:spPr>
        <a:xfrm flipV="1">
          <a:off x="266604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238126</xdr:colOff>
      <xdr:row>28</xdr:row>
      <xdr:rowOff>238126</xdr:rowOff>
    </xdr:from>
    <xdr:to>
      <xdr:col>54</xdr:col>
      <xdr:colOff>238125</xdr:colOff>
      <xdr:row>28</xdr:row>
      <xdr:rowOff>250826</xdr:rowOff>
    </xdr:to>
    <xdr:cxnSp macro="">
      <xdr:nvCxnSpPr>
        <xdr:cNvPr id="42503" name="CNtp54c13routeb"/>
        <xdr:cNvCxnSpPr>
          <a:stCxn id="42472" idx="6"/>
          <a:endCxn id="42500" idx="2"/>
        </xdr:cNvCxnSpPr>
      </xdr:nvCxnSpPr>
      <xdr:spPr>
        <a:xfrm>
          <a:off x="2618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238126</xdr:colOff>
      <xdr:row>28</xdr:row>
      <xdr:rowOff>238126</xdr:rowOff>
    </xdr:from>
    <xdr:to>
      <xdr:col>54</xdr:col>
      <xdr:colOff>238125</xdr:colOff>
      <xdr:row>28</xdr:row>
      <xdr:rowOff>250826</xdr:rowOff>
    </xdr:to>
    <xdr:cxnSp macro="">
      <xdr:nvCxnSpPr>
        <xdr:cNvPr id="42502" name="CNtp54c13routec"/>
        <xdr:cNvCxnSpPr>
          <a:stCxn id="42472" idx="6"/>
          <a:endCxn id="42500" idx="2"/>
        </xdr:cNvCxnSpPr>
      </xdr:nvCxnSpPr>
      <xdr:spPr>
        <a:xfrm>
          <a:off x="2618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238126</xdr:colOff>
      <xdr:row>28</xdr:row>
      <xdr:rowOff>238126</xdr:rowOff>
    </xdr:from>
    <xdr:to>
      <xdr:col>54</xdr:col>
      <xdr:colOff>238125</xdr:colOff>
      <xdr:row>28</xdr:row>
      <xdr:rowOff>250826</xdr:rowOff>
    </xdr:to>
    <xdr:cxnSp macro="">
      <xdr:nvCxnSpPr>
        <xdr:cNvPr id="42501" name="CNtp54c13routev"/>
        <xdr:cNvCxnSpPr>
          <a:stCxn id="42472" idx="6"/>
          <a:endCxn id="42500" idx="2"/>
        </xdr:cNvCxnSpPr>
      </xdr:nvCxnSpPr>
      <xdr:spPr>
        <a:xfrm>
          <a:off x="2618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238126</xdr:colOff>
      <xdr:row>18</xdr:row>
      <xdr:rowOff>238126</xdr:rowOff>
    </xdr:from>
    <xdr:to>
      <xdr:col>54</xdr:col>
      <xdr:colOff>238125</xdr:colOff>
      <xdr:row>18</xdr:row>
      <xdr:rowOff>250826</xdr:rowOff>
    </xdr:to>
    <xdr:cxnSp macro="">
      <xdr:nvCxnSpPr>
        <xdr:cNvPr id="42495" name="CNtp54c12routeb"/>
        <xdr:cNvCxnSpPr>
          <a:stCxn id="42461" idx="6"/>
          <a:endCxn id="42492" idx="2"/>
        </xdr:cNvCxnSpPr>
      </xdr:nvCxnSpPr>
      <xdr:spPr>
        <a:xfrm>
          <a:off x="2618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238126</xdr:colOff>
      <xdr:row>18</xdr:row>
      <xdr:rowOff>238126</xdr:rowOff>
    </xdr:from>
    <xdr:to>
      <xdr:col>54</xdr:col>
      <xdr:colOff>238125</xdr:colOff>
      <xdr:row>18</xdr:row>
      <xdr:rowOff>250826</xdr:rowOff>
    </xdr:to>
    <xdr:cxnSp macro="">
      <xdr:nvCxnSpPr>
        <xdr:cNvPr id="42494" name="CNtp54c12routec"/>
        <xdr:cNvCxnSpPr>
          <a:stCxn id="42461" idx="6"/>
          <a:endCxn id="42492" idx="2"/>
        </xdr:cNvCxnSpPr>
      </xdr:nvCxnSpPr>
      <xdr:spPr>
        <a:xfrm>
          <a:off x="2618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238126</xdr:colOff>
      <xdr:row>18</xdr:row>
      <xdr:rowOff>238126</xdr:rowOff>
    </xdr:from>
    <xdr:to>
      <xdr:col>54</xdr:col>
      <xdr:colOff>238125</xdr:colOff>
      <xdr:row>18</xdr:row>
      <xdr:rowOff>250826</xdr:rowOff>
    </xdr:to>
    <xdr:cxnSp macro="">
      <xdr:nvCxnSpPr>
        <xdr:cNvPr id="42493" name="CNtp54c12routev"/>
        <xdr:cNvCxnSpPr>
          <a:stCxn id="42461" idx="6"/>
          <a:endCxn id="42492" idx="2"/>
        </xdr:cNvCxnSpPr>
      </xdr:nvCxnSpPr>
      <xdr:spPr>
        <a:xfrm>
          <a:off x="2618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238126</xdr:colOff>
      <xdr:row>8</xdr:row>
      <xdr:rowOff>238126</xdr:rowOff>
    </xdr:from>
    <xdr:to>
      <xdr:col>54</xdr:col>
      <xdr:colOff>238125</xdr:colOff>
      <xdr:row>8</xdr:row>
      <xdr:rowOff>250826</xdr:rowOff>
    </xdr:to>
    <xdr:cxnSp macro="">
      <xdr:nvCxnSpPr>
        <xdr:cNvPr id="42487" name="CNtp54c11routeb"/>
        <xdr:cNvCxnSpPr>
          <a:stCxn id="42455" idx="6"/>
          <a:endCxn id="42486" idx="2"/>
        </xdr:cNvCxnSpPr>
      </xdr:nvCxnSpPr>
      <xdr:spPr>
        <a:xfrm>
          <a:off x="261842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238126</xdr:colOff>
      <xdr:row>4</xdr:row>
      <xdr:rowOff>238126</xdr:rowOff>
    </xdr:from>
    <xdr:to>
      <xdr:col>54</xdr:col>
      <xdr:colOff>238125</xdr:colOff>
      <xdr:row>5</xdr:row>
      <xdr:rowOff>238126</xdr:rowOff>
    </xdr:to>
    <xdr:cxnSp macro="">
      <xdr:nvCxnSpPr>
        <xdr:cNvPr id="42482" name="CNtp54c11routec"/>
        <xdr:cNvCxnSpPr>
          <a:stCxn id="42448" idx="6"/>
          <a:endCxn id="42480" idx="2"/>
        </xdr:cNvCxnSpPr>
      </xdr:nvCxnSpPr>
      <xdr:spPr>
        <a:xfrm>
          <a:off x="261842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238126</xdr:colOff>
      <xdr:row>4</xdr:row>
      <xdr:rowOff>238126</xdr:rowOff>
    </xdr:from>
    <xdr:to>
      <xdr:col>54</xdr:col>
      <xdr:colOff>238125</xdr:colOff>
      <xdr:row>5</xdr:row>
      <xdr:rowOff>238126</xdr:rowOff>
    </xdr:to>
    <xdr:cxnSp macro="">
      <xdr:nvCxnSpPr>
        <xdr:cNvPr id="42481" name="CNtp54c11routev"/>
        <xdr:cNvCxnSpPr>
          <a:stCxn id="42448" idx="6"/>
          <a:endCxn id="42480" idx="2"/>
        </xdr:cNvCxnSpPr>
      </xdr:nvCxnSpPr>
      <xdr:spPr>
        <a:xfrm>
          <a:off x="261842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238126</xdr:colOff>
      <xdr:row>28</xdr:row>
      <xdr:rowOff>238126</xdr:rowOff>
    </xdr:from>
    <xdr:to>
      <xdr:col>53</xdr:col>
      <xdr:colOff>238125</xdr:colOff>
      <xdr:row>28</xdr:row>
      <xdr:rowOff>250826</xdr:rowOff>
    </xdr:to>
    <xdr:cxnSp macro="">
      <xdr:nvCxnSpPr>
        <xdr:cNvPr id="42475" name="CNtp53c13routeb"/>
        <xdr:cNvCxnSpPr>
          <a:stCxn id="42440" idx="6"/>
          <a:endCxn id="42472" idx="2"/>
        </xdr:cNvCxnSpPr>
      </xdr:nvCxnSpPr>
      <xdr:spPr>
        <a:xfrm>
          <a:off x="2570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238126</xdr:colOff>
      <xdr:row>28</xdr:row>
      <xdr:rowOff>238126</xdr:rowOff>
    </xdr:from>
    <xdr:to>
      <xdr:col>53</xdr:col>
      <xdr:colOff>238125</xdr:colOff>
      <xdr:row>28</xdr:row>
      <xdr:rowOff>250826</xdr:rowOff>
    </xdr:to>
    <xdr:cxnSp macro="">
      <xdr:nvCxnSpPr>
        <xdr:cNvPr id="42474" name="CNtp53c13routec"/>
        <xdr:cNvCxnSpPr>
          <a:stCxn id="42440" idx="6"/>
          <a:endCxn id="42472" idx="2"/>
        </xdr:cNvCxnSpPr>
      </xdr:nvCxnSpPr>
      <xdr:spPr>
        <a:xfrm>
          <a:off x="2570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238126</xdr:colOff>
      <xdr:row>28</xdr:row>
      <xdr:rowOff>238126</xdr:rowOff>
    </xdr:from>
    <xdr:to>
      <xdr:col>53</xdr:col>
      <xdr:colOff>238125</xdr:colOff>
      <xdr:row>28</xdr:row>
      <xdr:rowOff>250826</xdr:rowOff>
    </xdr:to>
    <xdr:cxnSp macro="">
      <xdr:nvCxnSpPr>
        <xdr:cNvPr id="42473" name="CNtp53c13routev"/>
        <xdr:cNvCxnSpPr>
          <a:stCxn id="42440" idx="6"/>
          <a:endCxn id="42472" idx="2"/>
        </xdr:cNvCxnSpPr>
      </xdr:nvCxnSpPr>
      <xdr:spPr>
        <a:xfrm>
          <a:off x="2570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238126</xdr:colOff>
      <xdr:row>18</xdr:row>
      <xdr:rowOff>238126</xdr:rowOff>
    </xdr:from>
    <xdr:to>
      <xdr:col>53</xdr:col>
      <xdr:colOff>238125</xdr:colOff>
      <xdr:row>20</xdr:row>
      <xdr:rowOff>238126</xdr:rowOff>
    </xdr:to>
    <xdr:cxnSp macro="">
      <xdr:nvCxnSpPr>
        <xdr:cNvPr id="42464" name="CNtp53c12routeb"/>
        <xdr:cNvCxnSpPr>
          <a:stCxn id="42430" idx="6"/>
          <a:endCxn id="42461" idx="2"/>
        </xdr:cNvCxnSpPr>
      </xdr:nvCxnSpPr>
      <xdr:spPr>
        <a:xfrm flipV="1">
          <a:off x="25707976" y="995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238126</xdr:colOff>
      <xdr:row>18</xdr:row>
      <xdr:rowOff>238126</xdr:rowOff>
    </xdr:from>
    <xdr:to>
      <xdr:col>53</xdr:col>
      <xdr:colOff>238125</xdr:colOff>
      <xdr:row>20</xdr:row>
      <xdr:rowOff>238126</xdr:rowOff>
    </xdr:to>
    <xdr:cxnSp macro="">
      <xdr:nvCxnSpPr>
        <xdr:cNvPr id="42463" name="CNtp53c12routec"/>
        <xdr:cNvCxnSpPr>
          <a:stCxn id="42430" idx="6"/>
          <a:endCxn id="42461" idx="2"/>
        </xdr:cNvCxnSpPr>
      </xdr:nvCxnSpPr>
      <xdr:spPr>
        <a:xfrm flipV="1">
          <a:off x="25707976" y="995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238126</xdr:colOff>
      <xdr:row>18</xdr:row>
      <xdr:rowOff>238126</xdr:rowOff>
    </xdr:from>
    <xdr:to>
      <xdr:col>53</xdr:col>
      <xdr:colOff>238125</xdr:colOff>
      <xdr:row>20</xdr:row>
      <xdr:rowOff>238126</xdr:rowOff>
    </xdr:to>
    <xdr:cxnSp macro="">
      <xdr:nvCxnSpPr>
        <xdr:cNvPr id="42462" name="CNtp53c12routev"/>
        <xdr:cNvCxnSpPr>
          <a:stCxn id="42430" idx="6"/>
          <a:endCxn id="42461" idx="2"/>
        </xdr:cNvCxnSpPr>
      </xdr:nvCxnSpPr>
      <xdr:spPr>
        <a:xfrm flipV="1">
          <a:off x="25707976" y="995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238126</xdr:colOff>
      <xdr:row>8</xdr:row>
      <xdr:rowOff>238126</xdr:rowOff>
    </xdr:from>
    <xdr:to>
      <xdr:col>53</xdr:col>
      <xdr:colOff>238125</xdr:colOff>
      <xdr:row>8</xdr:row>
      <xdr:rowOff>250826</xdr:rowOff>
    </xdr:to>
    <xdr:cxnSp macro="">
      <xdr:nvCxnSpPr>
        <xdr:cNvPr id="42456" name="CNtp53c11routeb"/>
        <xdr:cNvCxnSpPr>
          <a:stCxn id="42425" idx="6"/>
          <a:endCxn id="42455" idx="2"/>
        </xdr:cNvCxnSpPr>
      </xdr:nvCxnSpPr>
      <xdr:spPr>
        <a:xfrm>
          <a:off x="25707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238126</xdr:colOff>
      <xdr:row>4</xdr:row>
      <xdr:rowOff>238126</xdr:rowOff>
    </xdr:from>
    <xdr:to>
      <xdr:col>53</xdr:col>
      <xdr:colOff>238125</xdr:colOff>
      <xdr:row>4</xdr:row>
      <xdr:rowOff>250826</xdr:rowOff>
    </xdr:to>
    <xdr:cxnSp macro="">
      <xdr:nvCxnSpPr>
        <xdr:cNvPr id="42450" name="CNtp53c11routec"/>
        <xdr:cNvCxnSpPr>
          <a:stCxn id="42418" idx="6"/>
          <a:endCxn id="42448" idx="2"/>
        </xdr:cNvCxnSpPr>
      </xdr:nvCxnSpPr>
      <xdr:spPr>
        <a:xfrm>
          <a:off x="2570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238126</xdr:colOff>
      <xdr:row>4</xdr:row>
      <xdr:rowOff>238126</xdr:rowOff>
    </xdr:from>
    <xdr:to>
      <xdr:col>53</xdr:col>
      <xdr:colOff>238125</xdr:colOff>
      <xdr:row>4</xdr:row>
      <xdr:rowOff>250826</xdr:rowOff>
    </xdr:to>
    <xdr:cxnSp macro="">
      <xdr:nvCxnSpPr>
        <xdr:cNvPr id="42449" name="CNtp53c11routev"/>
        <xdr:cNvCxnSpPr>
          <a:stCxn id="42418" idx="6"/>
          <a:endCxn id="42448" idx="2"/>
        </xdr:cNvCxnSpPr>
      </xdr:nvCxnSpPr>
      <xdr:spPr>
        <a:xfrm>
          <a:off x="2570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238126</xdr:colOff>
      <xdr:row>28</xdr:row>
      <xdr:rowOff>238126</xdr:rowOff>
    </xdr:from>
    <xdr:to>
      <xdr:col>52</xdr:col>
      <xdr:colOff>238125</xdr:colOff>
      <xdr:row>28</xdr:row>
      <xdr:rowOff>250826</xdr:rowOff>
    </xdr:to>
    <xdr:cxnSp macro="">
      <xdr:nvCxnSpPr>
        <xdr:cNvPr id="42443" name="CNtp52c13routeb"/>
        <xdr:cNvCxnSpPr>
          <a:stCxn id="42412" idx="6"/>
          <a:endCxn id="42440" idx="2"/>
        </xdr:cNvCxnSpPr>
      </xdr:nvCxnSpPr>
      <xdr:spPr>
        <a:xfrm>
          <a:off x="2523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238126</xdr:colOff>
      <xdr:row>28</xdr:row>
      <xdr:rowOff>238126</xdr:rowOff>
    </xdr:from>
    <xdr:to>
      <xdr:col>52</xdr:col>
      <xdr:colOff>238125</xdr:colOff>
      <xdr:row>28</xdr:row>
      <xdr:rowOff>250826</xdr:rowOff>
    </xdr:to>
    <xdr:cxnSp macro="">
      <xdr:nvCxnSpPr>
        <xdr:cNvPr id="42442" name="CNtp52c13routec"/>
        <xdr:cNvCxnSpPr>
          <a:stCxn id="42412" idx="6"/>
          <a:endCxn id="42440" idx="2"/>
        </xdr:cNvCxnSpPr>
      </xdr:nvCxnSpPr>
      <xdr:spPr>
        <a:xfrm>
          <a:off x="2523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238126</xdr:colOff>
      <xdr:row>28</xdr:row>
      <xdr:rowOff>238126</xdr:rowOff>
    </xdr:from>
    <xdr:to>
      <xdr:col>52</xdr:col>
      <xdr:colOff>238125</xdr:colOff>
      <xdr:row>28</xdr:row>
      <xdr:rowOff>250826</xdr:rowOff>
    </xdr:to>
    <xdr:cxnSp macro="">
      <xdr:nvCxnSpPr>
        <xdr:cNvPr id="42441" name="CNtp52c13routev"/>
        <xdr:cNvCxnSpPr>
          <a:stCxn id="42412" idx="6"/>
          <a:endCxn id="42440" idx="2"/>
        </xdr:cNvCxnSpPr>
      </xdr:nvCxnSpPr>
      <xdr:spPr>
        <a:xfrm>
          <a:off x="2523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238126</xdr:colOff>
      <xdr:row>18</xdr:row>
      <xdr:rowOff>238126</xdr:rowOff>
    </xdr:from>
    <xdr:to>
      <xdr:col>52</xdr:col>
      <xdr:colOff>238125</xdr:colOff>
      <xdr:row>20</xdr:row>
      <xdr:rowOff>238126</xdr:rowOff>
    </xdr:to>
    <xdr:cxnSp macro="">
      <xdr:nvCxnSpPr>
        <xdr:cNvPr id="42433" name="CNtp52c12routeb"/>
        <xdr:cNvCxnSpPr>
          <a:stCxn id="42405" idx="6"/>
          <a:endCxn id="42430" idx="2"/>
        </xdr:cNvCxnSpPr>
      </xdr:nvCxnSpPr>
      <xdr:spPr>
        <a:xfrm>
          <a:off x="25231726" y="995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238126</xdr:colOff>
      <xdr:row>18</xdr:row>
      <xdr:rowOff>238126</xdr:rowOff>
    </xdr:from>
    <xdr:to>
      <xdr:col>52</xdr:col>
      <xdr:colOff>238125</xdr:colOff>
      <xdr:row>20</xdr:row>
      <xdr:rowOff>238126</xdr:rowOff>
    </xdr:to>
    <xdr:cxnSp macro="">
      <xdr:nvCxnSpPr>
        <xdr:cNvPr id="42432" name="CNtp52c12routec"/>
        <xdr:cNvCxnSpPr>
          <a:stCxn id="42405" idx="6"/>
          <a:endCxn id="42430" idx="2"/>
        </xdr:cNvCxnSpPr>
      </xdr:nvCxnSpPr>
      <xdr:spPr>
        <a:xfrm>
          <a:off x="25231726" y="995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238126</xdr:colOff>
      <xdr:row>18</xdr:row>
      <xdr:rowOff>238126</xdr:rowOff>
    </xdr:from>
    <xdr:to>
      <xdr:col>52</xdr:col>
      <xdr:colOff>238125</xdr:colOff>
      <xdr:row>20</xdr:row>
      <xdr:rowOff>238126</xdr:rowOff>
    </xdr:to>
    <xdr:cxnSp macro="">
      <xdr:nvCxnSpPr>
        <xdr:cNvPr id="42431" name="CNtp52c12routev"/>
        <xdr:cNvCxnSpPr>
          <a:stCxn id="42405" idx="6"/>
          <a:endCxn id="42430" idx="2"/>
        </xdr:cNvCxnSpPr>
      </xdr:nvCxnSpPr>
      <xdr:spPr>
        <a:xfrm>
          <a:off x="25231726" y="995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238126</xdr:colOff>
      <xdr:row>8</xdr:row>
      <xdr:rowOff>238126</xdr:rowOff>
    </xdr:from>
    <xdr:to>
      <xdr:col>52</xdr:col>
      <xdr:colOff>238125</xdr:colOff>
      <xdr:row>8</xdr:row>
      <xdr:rowOff>250826</xdr:rowOff>
    </xdr:to>
    <xdr:cxnSp macro="">
      <xdr:nvCxnSpPr>
        <xdr:cNvPr id="42426" name="CNtp52c11routeb"/>
        <xdr:cNvCxnSpPr>
          <a:stCxn id="42399" idx="6"/>
          <a:endCxn id="42425" idx="2"/>
        </xdr:cNvCxnSpPr>
      </xdr:nvCxnSpPr>
      <xdr:spPr>
        <a:xfrm>
          <a:off x="25231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238126</xdr:colOff>
      <xdr:row>4</xdr:row>
      <xdr:rowOff>238126</xdr:rowOff>
    </xdr:from>
    <xdr:to>
      <xdr:col>52</xdr:col>
      <xdr:colOff>238125</xdr:colOff>
      <xdr:row>4</xdr:row>
      <xdr:rowOff>250826</xdr:rowOff>
    </xdr:to>
    <xdr:cxnSp macro="">
      <xdr:nvCxnSpPr>
        <xdr:cNvPr id="42420" name="CNtp52c11routec"/>
        <xdr:cNvCxnSpPr>
          <a:stCxn id="42393" idx="6"/>
          <a:endCxn id="42418" idx="2"/>
        </xdr:cNvCxnSpPr>
      </xdr:nvCxnSpPr>
      <xdr:spPr>
        <a:xfrm>
          <a:off x="2523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238126</xdr:colOff>
      <xdr:row>4</xdr:row>
      <xdr:rowOff>238126</xdr:rowOff>
    </xdr:from>
    <xdr:to>
      <xdr:col>52</xdr:col>
      <xdr:colOff>238125</xdr:colOff>
      <xdr:row>4</xdr:row>
      <xdr:rowOff>250826</xdr:rowOff>
    </xdr:to>
    <xdr:cxnSp macro="">
      <xdr:nvCxnSpPr>
        <xdr:cNvPr id="42419" name="CNtp52c11routev"/>
        <xdr:cNvCxnSpPr>
          <a:stCxn id="42393" idx="6"/>
          <a:endCxn id="42418" idx="2"/>
        </xdr:cNvCxnSpPr>
      </xdr:nvCxnSpPr>
      <xdr:spPr>
        <a:xfrm>
          <a:off x="2523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238126</xdr:colOff>
      <xdr:row>28</xdr:row>
      <xdr:rowOff>238126</xdr:rowOff>
    </xdr:from>
    <xdr:to>
      <xdr:col>51</xdr:col>
      <xdr:colOff>238125</xdr:colOff>
      <xdr:row>28</xdr:row>
      <xdr:rowOff>250826</xdr:rowOff>
    </xdr:to>
    <xdr:cxnSp macro="">
      <xdr:nvCxnSpPr>
        <xdr:cNvPr id="42415" name="CNtp51c13routeb"/>
        <xdr:cNvCxnSpPr>
          <a:stCxn id="42388" idx="6"/>
          <a:endCxn id="42412" idx="2"/>
        </xdr:cNvCxnSpPr>
      </xdr:nvCxnSpPr>
      <xdr:spPr>
        <a:xfrm>
          <a:off x="2475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238126</xdr:colOff>
      <xdr:row>28</xdr:row>
      <xdr:rowOff>238126</xdr:rowOff>
    </xdr:from>
    <xdr:to>
      <xdr:col>51</xdr:col>
      <xdr:colOff>238125</xdr:colOff>
      <xdr:row>28</xdr:row>
      <xdr:rowOff>250826</xdr:rowOff>
    </xdr:to>
    <xdr:cxnSp macro="">
      <xdr:nvCxnSpPr>
        <xdr:cNvPr id="42414" name="CNtp51c13routec"/>
        <xdr:cNvCxnSpPr>
          <a:stCxn id="42388" idx="6"/>
          <a:endCxn id="42412" idx="2"/>
        </xdr:cNvCxnSpPr>
      </xdr:nvCxnSpPr>
      <xdr:spPr>
        <a:xfrm>
          <a:off x="2475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238126</xdr:colOff>
      <xdr:row>28</xdr:row>
      <xdr:rowOff>238126</xdr:rowOff>
    </xdr:from>
    <xdr:to>
      <xdr:col>51</xdr:col>
      <xdr:colOff>238125</xdr:colOff>
      <xdr:row>28</xdr:row>
      <xdr:rowOff>250826</xdr:rowOff>
    </xdr:to>
    <xdr:cxnSp macro="">
      <xdr:nvCxnSpPr>
        <xdr:cNvPr id="42413" name="CNtp51c13routev"/>
        <xdr:cNvCxnSpPr>
          <a:stCxn id="42388" idx="6"/>
          <a:endCxn id="42412" idx="2"/>
        </xdr:cNvCxnSpPr>
      </xdr:nvCxnSpPr>
      <xdr:spPr>
        <a:xfrm>
          <a:off x="2475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238126</xdr:colOff>
      <xdr:row>18</xdr:row>
      <xdr:rowOff>238126</xdr:rowOff>
    </xdr:from>
    <xdr:to>
      <xdr:col>51</xdr:col>
      <xdr:colOff>238125</xdr:colOff>
      <xdr:row>18</xdr:row>
      <xdr:rowOff>250826</xdr:rowOff>
    </xdr:to>
    <xdr:cxnSp macro="">
      <xdr:nvCxnSpPr>
        <xdr:cNvPr id="42408" name="CNtp51c12routeb"/>
        <xdr:cNvCxnSpPr>
          <a:stCxn id="42379" idx="6"/>
          <a:endCxn id="42405" idx="2"/>
        </xdr:cNvCxnSpPr>
      </xdr:nvCxnSpPr>
      <xdr:spPr>
        <a:xfrm>
          <a:off x="2475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238126</xdr:colOff>
      <xdr:row>18</xdr:row>
      <xdr:rowOff>238126</xdr:rowOff>
    </xdr:from>
    <xdr:to>
      <xdr:col>51</xdr:col>
      <xdr:colOff>238125</xdr:colOff>
      <xdr:row>18</xdr:row>
      <xdr:rowOff>250826</xdr:rowOff>
    </xdr:to>
    <xdr:cxnSp macro="">
      <xdr:nvCxnSpPr>
        <xdr:cNvPr id="42407" name="CNtp51c12routec"/>
        <xdr:cNvCxnSpPr>
          <a:stCxn id="42379" idx="6"/>
          <a:endCxn id="42405" idx="2"/>
        </xdr:cNvCxnSpPr>
      </xdr:nvCxnSpPr>
      <xdr:spPr>
        <a:xfrm>
          <a:off x="2475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238126</xdr:colOff>
      <xdr:row>18</xdr:row>
      <xdr:rowOff>238126</xdr:rowOff>
    </xdr:from>
    <xdr:to>
      <xdr:col>51</xdr:col>
      <xdr:colOff>238125</xdr:colOff>
      <xdr:row>20</xdr:row>
      <xdr:rowOff>238126</xdr:rowOff>
    </xdr:to>
    <xdr:cxnSp macro="">
      <xdr:nvCxnSpPr>
        <xdr:cNvPr id="42406" name="CNtp51c12routev"/>
        <xdr:cNvCxnSpPr>
          <a:stCxn id="42383" idx="6"/>
          <a:endCxn id="42405" idx="2"/>
        </xdr:cNvCxnSpPr>
      </xdr:nvCxnSpPr>
      <xdr:spPr>
        <a:xfrm flipV="1">
          <a:off x="24755476" y="995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238126</xdr:colOff>
      <xdr:row>8</xdr:row>
      <xdr:rowOff>238126</xdr:rowOff>
    </xdr:from>
    <xdr:to>
      <xdr:col>51</xdr:col>
      <xdr:colOff>238125</xdr:colOff>
      <xdr:row>8</xdr:row>
      <xdr:rowOff>250826</xdr:rowOff>
    </xdr:to>
    <xdr:cxnSp macro="">
      <xdr:nvCxnSpPr>
        <xdr:cNvPr id="42400" name="CNtp51c11routeb"/>
        <xdr:cNvCxnSpPr>
          <a:stCxn id="42376" idx="6"/>
          <a:endCxn id="42399" idx="2"/>
        </xdr:cNvCxnSpPr>
      </xdr:nvCxnSpPr>
      <xdr:spPr>
        <a:xfrm>
          <a:off x="24755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238126</xdr:colOff>
      <xdr:row>5</xdr:row>
      <xdr:rowOff>238126</xdr:rowOff>
    </xdr:from>
    <xdr:to>
      <xdr:col>51</xdr:col>
      <xdr:colOff>238125</xdr:colOff>
      <xdr:row>5</xdr:row>
      <xdr:rowOff>250826</xdr:rowOff>
    </xdr:to>
    <xdr:cxnSp macro="">
      <xdr:nvCxnSpPr>
        <xdr:cNvPr id="42398" name="CNtp51c11routev"/>
        <xdr:cNvCxnSpPr>
          <a:stCxn id="42372" idx="6"/>
          <a:endCxn id="42397" idx="2"/>
        </xdr:cNvCxnSpPr>
      </xdr:nvCxnSpPr>
      <xdr:spPr>
        <a:xfrm>
          <a:off x="2475547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238126</xdr:colOff>
      <xdr:row>4</xdr:row>
      <xdr:rowOff>238126</xdr:rowOff>
    </xdr:from>
    <xdr:to>
      <xdr:col>51</xdr:col>
      <xdr:colOff>238125</xdr:colOff>
      <xdr:row>5</xdr:row>
      <xdr:rowOff>238126</xdr:rowOff>
    </xdr:to>
    <xdr:cxnSp macro="">
      <xdr:nvCxnSpPr>
        <xdr:cNvPr id="42395" name="CNtp51c11routec"/>
        <xdr:cNvCxnSpPr>
          <a:stCxn id="42372" idx="6"/>
          <a:endCxn id="42393" idx="2"/>
        </xdr:cNvCxnSpPr>
      </xdr:nvCxnSpPr>
      <xdr:spPr>
        <a:xfrm flipV="1">
          <a:off x="247554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238126</xdr:colOff>
      <xdr:row>4</xdr:row>
      <xdr:rowOff>238126</xdr:rowOff>
    </xdr:from>
    <xdr:to>
      <xdr:col>51</xdr:col>
      <xdr:colOff>238125</xdr:colOff>
      <xdr:row>5</xdr:row>
      <xdr:rowOff>238126</xdr:rowOff>
    </xdr:to>
    <xdr:cxnSp macro="">
      <xdr:nvCxnSpPr>
        <xdr:cNvPr id="42394" name="CNtp51c11routev"/>
        <xdr:cNvCxnSpPr>
          <a:stCxn id="42372" idx="6"/>
          <a:endCxn id="42393" idx="2"/>
        </xdr:cNvCxnSpPr>
      </xdr:nvCxnSpPr>
      <xdr:spPr>
        <a:xfrm flipV="1">
          <a:off x="247554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238126</xdr:colOff>
      <xdr:row>23</xdr:row>
      <xdr:rowOff>238126</xdr:rowOff>
    </xdr:from>
    <xdr:to>
      <xdr:col>50</xdr:col>
      <xdr:colOff>238125</xdr:colOff>
      <xdr:row>28</xdr:row>
      <xdr:rowOff>238126</xdr:rowOff>
    </xdr:to>
    <xdr:cxnSp macro="">
      <xdr:nvCxnSpPr>
        <xdr:cNvPr id="42391" name="CNtp50c13routeb"/>
        <xdr:cNvCxnSpPr>
          <a:stCxn id="42363" idx="6"/>
          <a:endCxn id="42388" idx="2"/>
        </xdr:cNvCxnSpPr>
      </xdr:nvCxnSpPr>
      <xdr:spPr>
        <a:xfrm>
          <a:off x="242792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238126</xdr:colOff>
      <xdr:row>23</xdr:row>
      <xdr:rowOff>238126</xdr:rowOff>
    </xdr:from>
    <xdr:to>
      <xdr:col>50</xdr:col>
      <xdr:colOff>238125</xdr:colOff>
      <xdr:row>28</xdr:row>
      <xdr:rowOff>238126</xdr:rowOff>
    </xdr:to>
    <xdr:cxnSp macro="">
      <xdr:nvCxnSpPr>
        <xdr:cNvPr id="42390" name="CNtp50c13routec"/>
        <xdr:cNvCxnSpPr>
          <a:stCxn id="42363" idx="6"/>
          <a:endCxn id="42388" idx="2"/>
        </xdr:cNvCxnSpPr>
      </xdr:nvCxnSpPr>
      <xdr:spPr>
        <a:xfrm>
          <a:off x="242792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238126</xdr:colOff>
      <xdr:row>23</xdr:row>
      <xdr:rowOff>238126</xdr:rowOff>
    </xdr:from>
    <xdr:to>
      <xdr:col>50</xdr:col>
      <xdr:colOff>238125</xdr:colOff>
      <xdr:row>28</xdr:row>
      <xdr:rowOff>238126</xdr:rowOff>
    </xdr:to>
    <xdr:cxnSp macro="">
      <xdr:nvCxnSpPr>
        <xdr:cNvPr id="42389" name="CNtp50c13routev"/>
        <xdr:cNvCxnSpPr>
          <a:stCxn id="42363" idx="6"/>
          <a:endCxn id="42388" idx="2"/>
        </xdr:cNvCxnSpPr>
      </xdr:nvCxnSpPr>
      <xdr:spPr>
        <a:xfrm>
          <a:off x="242792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238126</xdr:colOff>
      <xdr:row>20</xdr:row>
      <xdr:rowOff>238126</xdr:rowOff>
    </xdr:from>
    <xdr:to>
      <xdr:col>50</xdr:col>
      <xdr:colOff>238125</xdr:colOff>
      <xdr:row>20</xdr:row>
      <xdr:rowOff>250826</xdr:rowOff>
    </xdr:to>
    <xdr:cxnSp macro="">
      <xdr:nvCxnSpPr>
        <xdr:cNvPr id="42384" name="CNtp50c12routev"/>
        <xdr:cNvCxnSpPr>
          <a:stCxn id="42360" idx="6"/>
          <a:endCxn id="42383" idx="2"/>
        </xdr:cNvCxnSpPr>
      </xdr:nvCxnSpPr>
      <xdr:spPr>
        <a:xfrm>
          <a:off x="24279226" y="1090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238126</xdr:colOff>
      <xdr:row>18</xdr:row>
      <xdr:rowOff>238126</xdr:rowOff>
    </xdr:from>
    <xdr:to>
      <xdr:col>50</xdr:col>
      <xdr:colOff>238125</xdr:colOff>
      <xdr:row>18</xdr:row>
      <xdr:rowOff>250826</xdr:rowOff>
    </xdr:to>
    <xdr:cxnSp macro="">
      <xdr:nvCxnSpPr>
        <xdr:cNvPr id="42381" name="CNtp50c12routeb"/>
        <xdr:cNvCxnSpPr>
          <a:stCxn id="42356" idx="6"/>
          <a:endCxn id="42379" idx="2"/>
        </xdr:cNvCxnSpPr>
      </xdr:nvCxnSpPr>
      <xdr:spPr>
        <a:xfrm>
          <a:off x="2427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238126</xdr:colOff>
      <xdr:row>18</xdr:row>
      <xdr:rowOff>238126</xdr:rowOff>
    </xdr:from>
    <xdr:to>
      <xdr:col>50</xdr:col>
      <xdr:colOff>238125</xdr:colOff>
      <xdr:row>18</xdr:row>
      <xdr:rowOff>250826</xdr:rowOff>
    </xdr:to>
    <xdr:cxnSp macro="">
      <xdr:nvCxnSpPr>
        <xdr:cNvPr id="42380" name="CNtp50c12routec"/>
        <xdr:cNvCxnSpPr>
          <a:stCxn id="42356" idx="6"/>
          <a:endCxn id="42379" idx="2"/>
        </xdr:cNvCxnSpPr>
      </xdr:nvCxnSpPr>
      <xdr:spPr>
        <a:xfrm>
          <a:off x="2427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238126</xdr:colOff>
      <xdr:row>8</xdr:row>
      <xdr:rowOff>238126</xdr:rowOff>
    </xdr:from>
    <xdr:to>
      <xdr:col>50</xdr:col>
      <xdr:colOff>238125</xdr:colOff>
      <xdr:row>8</xdr:row>
      <xdr:rowOff>250826</xdr:rowOff>
    </xdr:to>
    <xdr:cxnSp macro="">
      <xdr:nvCxnSpPr>
        <xdr:cNvPr id="42377" name="CNtp50c11routeb"/>
        <xdr:cNvCxnSpPr>
          <a:stCxn id="42352" idx="6"/>
          <a:endCxn id="42376" idx="2"/>
        </xdr:cNvCxnSpPr>
      </xdr:nvCxnSpPr>
      <xdr:spPr>
        <a:xfrm>
          <a:off x="242792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238126</xdr:colOff>
      <xdr:row>5</xdr:row>
      <xdr:rowOff>238126</xdr:rowOff>
    </xdr:from>
    <xdr:to>
      <xdr:col>50</xdr:col>
      <xdr:colOff>238125</xdr:colOff>
      <xdr:row>5</xdr:row>
      <xdr:rowOff>250826</xdr:rowOff>
    </xdr:to>
    <xdr:cxnSp macro="">
      <xdr:nvCxnSpPr>
        <xdr:cNvPr id="42374" name="CNtp50c11routec"/>
        <xdr:cNvCxnSpPr>
          <a:stCxn id="42349" idx="6"/>
          <a:endCxn id="42372" idx="2"/>
        </xdr:cNvCxnSpPr>
      </xdr:nvCxnSpPr>
      <xdr:spPr>
        <a:xfrm>
          <a:off x="2427922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238126</xdr:colOff>
      <xdr:row>4</xdr:row>
      <xdr:rowOff>238126</xdr:rowOff>
    </xdr:from>
    <xdr:to>
      <xdr:col>50</xdr:col>
      <xdr:colOff>238125</xdr:colOff>
      <xdr:row>5</xdr:row>
      <xdr:rowOff>238126</xdr:rowOff>
    </xdr:to>
    <xdr:cxnSp macro="">
      <xdr:nvCxnSpPr>
        <xdr:cNvPr id="42373" name="CNtp50c11routev"/>
        <xdr:cNvCxnSpPr>
          <a:stCxn id="42346" idx="6"/>
          <a:endCxn id="42372" idx="2"/>
        </xdr:cNvCxnSpPr>
      </xdr:nvCxnSpPr>
      <xdr:spPr>
        <a:xfrm>
          <a:off x="242792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238126</xdr:colOff>
      <xdr:row>23</xdr:row>
      <xdr:rowOff>238126</xdr:rowOff>
    </xdr:from>
    <xdr:to>
      <xdr:col>49</xdr:col>
      <xdr:colOff>238125</xdr:colOff>
      <xdr:row>28</xdr:row>
      <xdr:rowOff>238126</xdr:rowOff>
    </xdr:to>
    <xdr:cxnSp macro="">
      <xdr:nvCxnSpPr>
        <xdr:cNvPr id="42366" name="CNtp49c13routeb"/>
        <xdr:cNvCxnSpPr>
          <a:stCxn id="42340" idx="6"/>
          <a:endCxn id="42363" idx="2"/>
        </xdr:cNvCxnSpPr>
      </xdr:nvCxnSpPr>
      <xdr:spPr>
        <a:xfrm flipV="1">
          <a:off x="238029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238126</xdr:colOff>
      <xdr:row>23</xdr:row>
      <xdr:rowOff>238126</xdr:rowOff>
    </xdr:from>
    <xdr:to>
      <xdr:col>49</xdr:col>
      <xdr:colOff>238125</xdr:colOff>
      <xdr:row>28</xdr:row>
      <xdr:rowOff>238126</xdr:rowOff>
    </xdr:to>
    <xdr:cxnSp macro="">
      <xdr:nvCxnSpPr>
        <xdr:cNvPr id="42365" name="CNtp49c13routec"/>
        <xdr:cNvCxnSpPr>
          <a:stCxn id="42340" idx="6"/>
          <a:endCxn id="42363" idx="2"/>
        </xdr:cNvCxnSpPr>
      </xdr:nvCxnSpPr>
      <xdr:spPr>
        <a:xfrm flipV="1">
          <a:off x="238029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238126</xdr:colOff>
      <xdr:row>23</xdr:row>
      <xdr:rowOff>238126</xdr:rowOff>
    </xdr:from>
    <xdr:to>
      <xdr:col>49</xdr:col>
      <xdr:colOff>238125</xdr:colOff>
      <xdr:row>28</xdr:row>
      <xdr:rowOff>238126</xdr:rowOff>
    </xdr:to>
    <xdr:cxnSp macro="">
      <xdr:nvCxnSpPr>
        <xdr:cNvPr id="42364" name="CNtp49c13routev"/>
        <xdr:cNvCxnSpPr>
          <a:stCxn id="42340" idx="6"/>
          <a:endCxn id="42363" idx="2"/>
        </xdr:cNvCxnSpPr>
      </xdr:nvCxnSpPr>
      <xdr:spPr>
        <a:xfrm flipV="1">
          <a:off x="238029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238126</xdr:colOff>
      <xdr:row>18</xdr:row>
      <xdr:rowOff>238126</xdr:rowOff>
    </xdr:from>
    <xdr:to>
      <xdr:col>49</xdr:col>
      <xdr:colOff>238125</xdr:colOff>
      <xdr:row>20</xdr:row>
      <xdr:rowOff>238126</xdr:rowOff>
    </xdr:to>
    <xdr:cxnSp macro="">
      <xdr:nvCxnSpPr>
        <xdr:cNvPr id="42361" name="CNtp49c12routev"/>
        <xdr:cNvCxnSpPr>
          <a:stCxn id="42331" idx="6"/>
          <a:endCxn id="42360" idx="2"/>
        </xdr:cNvCxnSpPr>
      </xdr:nvCxnSpPr>
      <xdr:spPr>
        <a:xfrm>
          <a:off x="23802976" y="995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238126</xdr:colOff>
      <xdr:row>18</xdr:row>
      <xdr:rowOff>238126</xdr:rowOff>
    </xdr:from>
    <xdr:to>
      <xdr:col>49</xdr:col>
      <xdr:colOff>238125</xdr:colOff>
      <xdr:row>18</xdr:row>
      <xdr:rowOff>250826</xdr:rowOff>
    </xdr:to>
    <xdr:cxnSp macro="">
      <xdr:nvCxnSpPr>
        <xdr:cNvPr id="42358" name="CNtp49c12routeb"/>
        <xdr:cNvCxnSpPr>
          <a:stCxn id="42331" idx="6"/>
          <a:endCxn id="42356" idx="2"/>
        </xdr:cNvCxnSpPr>
      </xdr:nvCxnSpPr>
      <xdr:spPr>
        <a:xfrm>
          <a:off x="2380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238126</xdr:colOff>
      <xdr:row>16</xdr:row>
      <xdr:rowOff>238126</xdr:rowOff>
    </xdr:from>
    <xdr:to>
      <xdr:col>49</xdr:col>
      <xdr:colOff>238125</xdr:colOff>
      <xdr:row>18</xdr:row>
      <xdr:rowOff>238126</xdr:rowOff>
    </xdr:to>
    <xdr:cxnSp macro="">
      <xdr:nvCxnSpPr>
        <xdr:cNvPr id="42357" name="CNtp49c12routec"/>
        <xdr:cNvCxnSpPr>
          <a:stCxn id="42327" idx="6"/>
          <a:endCxn id="42356" idx="2"/>
        </xdr:cNvCxnSpPr>
      </xdr:nvCxnSpPr>
      <xdr:spPr>
        <a:xfrm>
          <a:off x="2380297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238126</xdr:colOff>
      <xdr:row>8</xdr:row>
      <xdr:rowOff>238126</xdr:rowOff>
    </xdr:from>
    <xdr:to>
      <xdr:col>49</xdr:col>
      <xdr:colOff>238125</xdr:colOff>
      <xdr:row>8</xdr:row>
      <xdr:rowOff>250826</xdr:rowOff>
    </xdr:to>
    <xdr:cxnSp macro="">
      <xdr:nvCxnSpPr>
        <xdr:cNvPr id="42353" name="CNtp49c11routeb"/>
        <xdr:cNvCxnSpPr>
          <a:stCxn id="42323" idx="6"/>
          <a:endCxn id="42352" idx="2"/>
        </xdr:cNvCxnSpPr>
      </xdr:nvCxnSpPr>
      <xdr:spPr>
        <a:xfrm>
          <a:off x="23802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238126</xdr:colOff>
      <xdr:row>5</xdr:row>
      <xdr:rowOff>238126</xdr:rowOff>
    </xdr:from>
    <xdr:to>
      <xdr:col>49</xdr:col>
      <xdr:colOff>238125</xdr:colOff>
      <xdr:row>5</xdr:row>
      <xdr:rowOff>250826</xdr:rowOff>
    </xdr:to>
    <xdr:cxnSp macro="">
      <xdr:nvCxnSpPr>
        <xdr:cNvPr id="42350" name="CNtp49c11routec"/>
        <xdr:cNvCxnSpPr>
          <a:stCxn id="42317" idx="6"/>
          <a:endCxn id="42349" idx="2"/>
        </xdr:cNvCxnSpPr>
      </xdr:nvCxnSpPr>
      <xdr:spPr>
        <a:xfrm>
          <a:off x="2380297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238126</xdr:colOff>
      <xdr:row>4</xdr:row>
      <xdr:rowOff>238126</xdr:rowOff>
    </xdr:from>
    <xdr:to>
      <xdr:col>49</xdr:col>
      <xdr:colOff>238125</xdr:colOff>
      <xdr:row>5</xdr:row>
      <xdr:rowOff>238126</xdr:rowOff>
    </xdr:to>
    <xdr:cxnSp macro="">
      <xdr:nvCxnSpPr>
        <xdr:cNvPr id="42347" name="CNtp49c11routev"/>
        <xdr:cNvCxnSpPr>
          <a:stCxn id="42317" idx="6"/>
          <a:endCxn id="42346" idx="2"/>
        </xdr:cNvCxnSpPr>
      </xdr:nvCxnSpPr>
      <xdr:spPr>
        <a:xfrm flipV="1">
          <a:off x="238029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238126</xdr:colOff>
      <xdr:row>28</xdr:row>
      <xdr:rowOff>238126</xdr:rowOff>
    </xdr:from>
    <xdr:to>
      <xdr:col>48</xdr:col>
      <xdr:colOff>238125</xdr:colOff>
      <xdr:row>28</xdr:row>
      <xdr:rowOff>250826</xdr:rowOff>
    </xdr:to>
    <xdr:cxnSp macro="">
      <xdr:nvCxnSpPr>
        <xdr:cNvPr id="42343" name="CNtp48c13routeb"/>
        <xdr:cNvCxnSpPr>
          <a:stCxn id="42311" idx="6"/>
          <a:endCxn id="42340" idx="2"/>
        </xdr:cNvCxnSpPr>
      </xdr:nvCxnSpPr>
      <xdr:spPr>
        <a:xfrm>
          <a:off x="2332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238126</xdr:colOff>
      <xdr:row>28</xdr:row>
      <xdr:rowOff>238126</xdr:rowOff>
    </xdr:from>
    <xdr:to>
      <xdr:col>48</xdr:col>
      <xdr:colOff>238125</xdr:colOff>
      <xdr:row>28</xdr:row>
      <xdr:rowOff>250826</xdr:rowOff>
    </xdr:to>
    <xdr:cxnSp macro="">
      <xdr:nvCxnSpPr>
        <xdr:cNvPr id="42342" name="CNtp48c13routec"/>
        <xdr:cNvCxnSpPr>
          <a:stCxn id="42311" idx="6"/>
          <a:endCxn id="42340" idx="2"/>
        </xdr:cNvCxnSpPr>
      </xdr:nvCxnSpPr>
      <xdr:spPr>
        <a:xfrm>
          <a:off x="2332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238126</xdr:colOff>
      <xdr:row>28</xdr:row>
      <xdr:rowOff>238126</xdr:rowOff>
    </xdr:from>
    <xdr:to>
      <xdr:col>48</xdr:col>
      <xdr:colOff>238125</xdr:colOff>
      <xdr:row>28</xdr:row>
      <xdr:rowOff>250826</xdr:rowOff>
    </xdr:to>
    <xdr:cxnSp macro="">
      <xdr:nvCxnSpPr>
        <xdr:cNvPr id="42341" name="CNtp48c13routev"/>
        <xdr:cNvCxnSpPr>
          <a:stCxn id="42311" idx="6"/>
          <a:endCxn id="42340" idx="2"/>
        </xdr:cNvCxnSpPr>
      </xdr:nvCxnSpPr>
      <xdr:spPr>
        <a:xfrm>
          <a:off x="2332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238126</xdr:colOff>
      <xdr:row>18</xdr:row>
      <xdr:rowOff>238126</xdr:rowOff>
    </xdr:from>
    <xdr:to>
      <xdr:col>48</xdr:col>
      <xdr:colOff>238125</xdr:colOff>
      <xdr:row>18</xdr:row>
      <xdr:rowOff>250826</xdr:rowOff>
    </xdr:to>
    <xdr:cxnSp macro="">
      <xdr:nvCxnSpPr>
        <xdr:cNvPr id="42334" name="CNtp48c12routeb"/>
        <xdr:cNvCxnSpPr>
          <a:stCxn id="42306" idx="6"/>
          <a:endCxn id="42331" idx="2"/>
        </xdr:cNvCxnSpPr>
      </xdr:nvCxnSpPr>
      <xdr:spPr>
        <a:xfrm>
          <a:off x="2332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238126</xdr:colOff>
      <xdr:row>16</xdr:row>
      <xdr:rowOff>238126</xdr:rowOff>
    </xdr:from>
    <xdr:to>
      <xdr:col>48</xdr:col>
      <xdr:colOff>238125</xdr:colOff>
      <xdr:row>18</xdr:row>
      <xdr:rowOff>238126</xdr:rowOff>
    </xdr:to>
    <xdr:cxnSp macro="">
      <xdr:nvCxnSpPr>
        <xdr:cNvPr id="42333" name="CNtp48c12routec"/>
        <xdr:cNvCxnSpPr>
          <a:stCxn id="42303" idx="6"/>
          <a:endCxn id="42331" idx="2"/>
        </xdr:cNvCxnSpPr>
      </xdr:nvCxnSpPr>
      <xdr:spPr>
        <a:xfrm>
          <a:off x="2332672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238126</xdr:colOff>
      <xdr:row>18</xdr:row>
      <xdr:rowOff>238126</xdr:rowOff>
    </xdr:from>
    <xdr:to>
      <xdr:col>48</xdr:col>
      <xdr:colOff>238125</xdr:colOff>
      <xdr:row>18</xdr:row>
      <xdr:rowOff>250826</xdr:rowOff>
    </xdr:to>
    <xdr:cxnSp macro="">
      <xdr:nvCxnSpPr>
        <xdr:cNvPr id="42332" name="CNtp48c12routev"/>
        <xdr:cNvCxnSpPr>
          <a:stCxn id="42306" idx="6"/>
          <a:endCxn id="42331" idx="2"/>
        </xdr:cNvCxnSpPr>
      </xdr:nvCxnSpPr>
      <xdr:spPr>
        <a:xfrm>
          <a:off x="2332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238126</xdr:colOff>
      <xdr:row>16</xdr:row>
      <xdr:rowOff>238126</xdr:rowOff>
    </xdr:from>
    <xdr:to>
      <xdr:col>48</xdr:col>
      <xdr:colOff>238125</xdr:colOff>
      <xdr:row>16</xdr:row>
      <xdr:rowOff>250826</xdr:rowOff>
    </xdr:to>
    <xdr:cxnSp macro="">
      <xdr:nvCxnSpPr>
        <xdr:cNvPr id="42328" name="CNtp48c12routec"/>
        <xdr:cNvCxnSpPr>
          <a:stCxn id="42303" idx="6"/>
          <a:endCxn id="42327" idx="2"/>
        </xdr:cNvCxnSpPr>
      </xdr:nvCxnSpPr>
      <xdr:spPr>
        <a:xfrm>
          <a:off x="23326726" y="900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238126</xdr:colOff>
      <xdr:row>8</xdr:row>
      <xdr:rowOff>238126</xdr:rowOff>
    </xdr:from>
    <xdr:to>
      <xdr:col>48</xdr:col>
      <xdr:colOff>238125</xdr:colOff>
      <xdr:row>8</xdr:row>
      <xdr:rowOff>250826</xdr:rowOff>
    </xdr:to>
    <xdr:cxnSp macro="">
      <xdr:nvCxnSpPr>
        <xdr:cNvPr id="42324" name="CNtp48c11routeb"/>
        <xdr:cNvCxnSpPr>
          <a:stCxn id="42299" idx="6"/>
          <a:endCxn id="42323" idx="2"/>
        </xdr:cNvCxnSpPr>
      </xdr:nvCxnSpPr>
      <xdr:spPr>
        <a:xfrm>
          <a:off x="23326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238126</xdr:colOff>
      <xdr:row>5</xdr:row>
      <xdr:rowOff>238126</xdr:rowOff>
    </xdr:from>
    <xdr:to>
      <xdr:col>48</xdr:col>
      <xdr:colOff>238125</xdr:colOff>
      <xdr:row>5</xdr:row>
      <xdr:rowOff>250826</xdr:rowOff>
    </xdr:to>
    <xdr:cxnSp macro="">
      <xdr:nvCxnSpPr>
        <xdr:cNvPr id="42319" name="CNtp48c11routec"/>
        <xdr:cNvCxnSpPr>
          <a:stCxn id="42295" idx="6"/>
          <a:endCxn id="42317" idx="2"/>
        </xdr:cNvCxnSpPr>
      </xdr:nvCxnSpPr>
      <xdr:spPr>
        <a:xfrm>
          <a:off x="2332672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238126</xdr:colOff>
      <xdr:row>5</xdr:row>
      <xdr:rowOff>238126</xdr:rowOff>
    </xdr:from>
    <xdr:to>
      <xdr:col>48</xdr:col>
      <xdr:colOff>238125</xdr:colOff>
      <xdr:row>8</xdr:row>
      <xdr:rowOff>238126</xdr:rowOff>
    </xdr:to>
    <xdr:cxnSp macro="">
      <xdr:nvCxnSpPr>
        <xdr:cNvPr id="42318" name="CNtp48c11routev"/>
        <xdr:cNvCxnSpPr>
          <a:stCxn id="42299" idx="6"/>
          <a:endCxn id="42317" idx="2"/>
        </xdr:cNvCxnSpPr>
      </xdr:nvCxnSpPr>
      <xdr:spPr>
        <a:xfrm flipV="1">
          <a:off x="23326726" y="3762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238126</xdr:colOff>
      <xdr:row>26</xdr:row>
      <xdr:rowOff>238126</xdr:rowOff>
    </xdr:from>
    <xdr:to>
      <xdr:col>47</xdr:col>
      <xdr:colOff>238125</xdr:colOff>
      <xdr:row>28</xdr:row>
      <xdr:rowOff>238126</xdr:rowOff>
    </xdr:to>
    <xdr:cxnSp macro="">
      <xdr:nvCxnSpPr>
        <xdr:cNvPr id="42314" name="CNtp47c13routeb"/>
        <xdr:cNvCxnSpPr>
          <a:stCxn id="42292" idx="6"/>
          <a:endCxn id="42311" idx="2"/>
        </xdr:cNvCxnSpPr>
      </xdr:nvCxnSpPr>
      <xdr:spPr>
        <a:xfrm>
          <a:off x="22850476" y="1376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238126</xdr:colOff>
      <xdr:row>26</xdr:row>
      <xdr:rowOff>238126</xdr:rowOff>
    </xdr:from>
    <xdr:to>
      <xdr:col>47</xdr:col>
      <xdr:colOff>238125</xdr:colOff>
      <xdr:row>28</xdr:row>
      <xdr:rowOff>238126</xdr:rowOff>
    </xdr:to>
    <xdr:cxnSp macro="">
      <xdr:nvCxnSpPr>
        <xdr:cNvPr id="42313" name="CNtp47c13routec"/>
        <xdr:cNvCxnSpPr>
          <a:stCxn id="42292" idx="6"/>
          <a:endCxn id="42311" idx="2"/>
        </xdr:cNvCxnSpPr>
      </xdr:nvCxnSpPr>
      <xdr:spPr>
        <a:xfrm>
          <a:off x="22850476" y="1376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238126</xdr:colOff>
      <xdr:row>25</xdr:row>
      <xdr:rowOff>238126</xdr:rowOff>
    </xdr:from>
    <xdr:to>
      <xdr:col>47</xdr:col>
      <xdr:colOff>238125</xdr:colOff>
      <xdr:row>28</xdr:row>
      <xdr:rowOff>238126</xdr:rowOff>
    </xdr:to>
    <xdr:cxnSp macro="">
      <xdr:nvCxnSpPr>
        <xdr:cNvPr id="42312" name="CNtp47c13routev"/>
        <xdr:cNvCxnSpPr>
          <a:stCxn id="42289" idx="6"/>
          <a:endCxn id="42311" idx="2"/>
        </xdr:cNvCxnSpPr>
      </xdr:nvCxnSpPr>
      <xdr:spPr>
        <a:xfrm>
          <a:off x="22850476" y="13287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238126</xdr:colOff>
      <xdr:row>16</xdr:row>
      <xdr:rowOff>238126</xdr:rowOff>
    </xdr:from>
    <xdr:to>
      <xdr:col>47</xdr:col>
      <xdr:colOff>238125</xdr:colOff>
      <xdr:row>18</xdr:row>
      <xdr:rowOff>238126</xdr:rowOff>
    </xdr:to>
    <xdr:cxnSp macro="">
      <xdr:nvCxnSpPr>
        <xdr:cNvPr id="42308" name="CNtp47c12routeb"/>
        <xdr:cNvCxnSpPr>
          <a:stCxn id="42284" idx="6"/>
          <a:endCxn id="42306" idx="2"/>
        </xdr:cNvCxnSpPr>
      </xdr:nvCxnSpPr>
      <xdr:spPr>
        <a:xfrm>
          <a:off x="2285047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238126</xdr:colOff>
      <xdr:row>16</xdr:row>
      <xdr:rowOff>238126</xdr:rowOff>
    </xdr:from>
    <xdr:to>
      <xdr:col>47</xdr:col>
      <xdr:colOff>238125</xdr:colOff>
      <xdr:row>18</xdr:row>
      <xdr:rowOff>238126</xdr:rowOff>
    </xdr:to>
    <xdr:cxnSp macro="">
      <xdr:nvCxnSpPr>
        <xdr:cNvPr id="42307" name="CNtp47c12routev"/>
        <xdr:cNvCxnSpPr>
          <a:stCxn id="42284" idx="6"/>
          <a:endCxn id="42306" idx="2"/>
        </xdr:cNvCxnSpPr>
      </xdr:nvCxnSpPr>
      <xdr:spPr>
        <a:xfrm>
          <a:off x="2285047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238126</xdr:colOff>
      <xdr:row>16</xdr:row>
      <xdr:rowOff>238126</xdr:rowOff>
    </xdr:from>
    <xdr:to>
      <xdr:col>47</xdr:col>
      <xdr:colOff>238125</xdr:colOff>
      <xdr:row>16</xdr:row>
      <xdr:rowOff>250826</xdr:rowOff>
    </xdr:to>
    <xdr:cxnSp macro="">
      <xdr:nvCxnSpPr>
        <xdr:cNvPr id="42304" name="CNtp47c12routec"/>
        <xdr:cNvCxnSpPr>
          <a:stCxn id="42284" idx="6"/>
          <a:endCxn id="42303" idx="2"/>
        </xdr:cNvCxnSpPr>
      </xdr:nvCxnSpPr>
      <xdr:spPr>
        <a:xfrm>
          <a:off x="22850476" y="900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238126</xdr:colOff>
      <xdr:row>6</xdr:row>
      <xdr:rowOff>238126</xdr:rowOff>
    </xdr:from>
    <xdr:to>
      <xdr:col>47</xdr:col>
      <xdr:colOff>238125</xdr:colOff>
      <xdr:row>8</xdr:row>
      <xdr:rowOff>238126</xdr:rowOff>
    </xdr:to>
    <xdr:cxnSp macro="">
      <xdr:nvCxnSpPr>
        <xdr:cNvPr id="42301" name="CNtp47c11routeb"/>
        <xdr:cNvCxnSpPr>
          <a:stCxn id="42278" idx="6"/>
          <a:endCxn id="42299" idx="2"/>
        </xdr:cNvCxnSpPr>
      </xdr:nvCxnSpPr>
      <xdr:spPr>
        <a:xfrm>
          <a:off x="22850476" y="4238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238126</xdr:colOff>
      <xdr:row>5</xdr:row>
      <xdr:rowOff>238126</xdr:rowOff>
    </xdr:from>
    <xdr:to>
      <xdr:col>47</xdr:col>
      <xdr:colOff>238125</xdr:colOff>
      <xdr:row>8</xdr:row>
      <xdr:rowOff>238126</xdr:rowOff>
    </xdr:to>
    <xdr:cxnSp macro="">
      <xdr:nvCxnSpPr>
        <xdr:cNvPr id="42300" name="CNtp47c11routev"/>
        <xdr:cNvCxnSpPr>
          <a:stCxn id="42276" idx="6"/>
          <a:endCxn id="42299" idx="2"/>
        </xdr:cNvCxnSpPr>
      </xdr:nvCxnSpPr>
      <xdr:spPr>
        <a:xfrm>
          <a:off x="22850476" y="3762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238126</xdr:colOff>
      <xdr:row>5</xdr:row>
      <xdr:rowOff>238126</xdr:rowOff>
    </xdr:from>
    <xdr:to>
      <xdr:col>47</xdr:col>
      <xdr:colOff>238125</xdr:colOff>
      <xdr:row>10</xdr:row>
      <xdr:rowOff>238126</xdr:rowOff>
    </xdr:to>
    <xdr:cxnSp macro="">
      <xdr:nvCxnSpPr>
        <xdr:cNvPr id="42296" name="CNtp47c11routec"/>
        <xdr:cNvCxnSpPr>
          <a:stCxn id="42280" idx="6"/>
          <a:endCxn id="42295" idx="2"/>
        </xdr:cNvCxnSpPr>
      </xdr:nvCxnSpPr>
      <xdr:spPr>
        <a:xfrm flipV="1">
          <a:off x="22850476" y="376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238126</xdr:colOff>
      <xdr:row>26</xdr:row>
      <xdr:rowOff>238126</xdr:rowOff>
    </xdr:from>
    <xdr:to>
      <xdr:col>46</xdr:col>
      <xdr:colOff>238125</xdr:colOff>
      <xdr:row>28</xdr:row>
      <xdr:rowOff>238126</xdr:rowOff>
    </xdr:to>
    <xdr:cxnSp macro="">
      <xdr:nvCxnSpPr>
        <xdr:cNvPr id="42294" name="CNtp46c13routeb"/>
        <xdr:cNvCxnSpPr>
          <a:stCxn id="42271" idx="6"/>
          <a:endCxn id="42292" idx="2"/>
        </xdr:cNvCxnSpPr>
      </xdr:nvCxnSpPr>
      <xdr:spPr>
        <a:xfrm flipV="1">
          <a:off x="22374226" y="1376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238126</xdr:colOff>
      <xdr:row>26</xdr:row>
      <xdr:rowOff>238126</xdr:rowOff>
    </xdr:from>
    <xdr:to>
      <xdr:col>46</xdr:col>
      <xdr:colOff>238125</xdr:colOff>
      <xdr:row>28</xdr:row>
      <xdr:rowOff>238126</xdr:rowOff>
    </xdr:to>
    <xdr:cxnSp macro="">
      <xdr:nvCxnSpPr>
        <xdr:cNvPr id="42293" name="CNtp46c13routec"/>
        <xdr:cNvCxnSpPr>
          <a:stCxn id="42271" idx="6"/>
          <a:endCxn id="42292" idx="2"/>
        </xdr:cNvCxnSpPr>
      </xdr:nvCxnSpPr>
      <xdr:spPr>
        <a:xfrm flipV="1">
          <a:off x="22374226" y="1376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238126</xdr:colOff>
      <xdr:row>25</xdr:row>
      <xdr:rowOff>238126</xdr:rowOff>
    </xdr:from>
    <xdr:to>
      <xdr:col>46</xdr:col>
      <xdr:colOff>238125</xdr:colOff>
      <xdr:row>28</xdr:row>
      <xdr:rowOff>238126</xdr:rowOff>
    </xdr:to>
    <xdr:cxnSp macro="">
      <xdr:nvCxnSpPr>
        <xdr:cNvPr id="42290" name="CNtp46c13routev"/>
        <xdr:cNvCxnSpPr>
          <a:stCxn id="42271" idx="6"/>
          <a:endCxn id="42289" idx="2"/>
        </xdr:cNvCxnSpPr>
      </xdr:nvCxnSpPr>
      <xdr:spPr>
        <a:xfrm flipV="1">
          <a:off x="22374226" y="13287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238126</xdr:colOff>
      <xdr:row>16</xdr:row>
      <xdr:rowOff>238126</xdr:rowOff>
    </xdr:from>
    <xdr:to>
      <xdr:col>46</xdr:col>
      <xdr:colOff>238125</xdr:colOff>
      <xdr:row>18</xdr:row>
      <xdr:rowOff>238126</xdr:rowOff>
    </xdr:to>
    <xdr:cxnSp macro="">
      <xdr:nvCxnSpPr>
        <xdr:cNvPr id="42287" name="CNtp46c12routeb"/>
        <xdr:cNvCxnSpPr>
          <a:stCxn id="42263" idx="6"/>
          <a:endCxn id="42284" idx="2"/>
        </xdr:cNvCxnSpPr>
      </xdr:nvCxnSpPr>
      <xdr:spPr>
        <a:xfrm flipV="1">
          <a:off x="2237422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238126</xdr:colOff>
      <xdr:row>16</xdr:row>
      <xdr:rowOff>238126</xdr:rowOff>
    </xdr:from>
    <xdr:to>
      <xdr:col>46</xdr:col>
      <xdr:colOff>238125</xdr:colOff>
      <xdr:row>18</xdr:row>
      <xdr:rowOff>238126</xdr:rowOff>
    </xdr:to>
    <xdr:cxnSp macro="">
      <xdr:nvCxnSpPr>
        <xdr:cNvPr id="42286" name="CNtp46c12routec"/>
        <xdr:cNvCxnSpPr>
          <a:stCxn id="42263" idx="6"/>
          <a:endCxn id="42284" idx="2"/>
        </xdr:cNvCxnSpPr>
      </xdr:nvCxnSpPr>
      <xdr:spPr>
        <a:xfrm flipV="1">
          <a:off x="2237422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238126</xdr:colOff>
      <xdr:row>16</xdr:row>
      <xdr:rowOff>238126</xdr:rowOff>
    </xdr:from>
    <xdr:to>
      <xdr:col>46</xdr:col>
      <xdr:colOff>238125</xdr:colOff>
      <xdr:row>18</xdr:row>
      <xdr:rowOff>238126</xdr:rowOff>
    </xdr:to>
    <xdr:cxnSp macro="">
      <xdr:nvCxnSpPr>
        <xdr:cNvPr id="42285" name="CNtp46c12routev"/>
        <xdr:cNvCxnSpPr>
          <a:stCxn id="42263" idx="6"/>
          <a:endCxn id="42284" idx="2"/>
        </xdr:cNvCxnSpPr>
      </xdr:nvCxnSpPr>
      <xdr:spPr>
        <a:xfrm flipV="1">
          <a:off x="2237422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238126</xdr:colOff>
      <xdr:row>4</xdr:row>
      <xdr:rowOff>238126</xdr:rowOff>
    </xdr:from>
    <xdr:to>
      <xdr:col>46</xdr:col>
      <xdr:colOff>238125</xdr:colOff>
      <xdr:row>10</xdr:row>
      <xdr:rowOff>238126</xdr:rowOff>
    </xdr:to>
    <xdr:cxnSp macro="">
      <xdr:nvCxnSpPr>
        <xdr:cNvPr id="42281" name="CNtp46c11routec"/>
        <xdr:cNvCxnSpPr>
          <a:stCxn id="42253" idx="6"/>
          <a:endCxn id="42280" idx="2"/>
        </xdr:cNvCxnSpPr>
      </xdr:nvCxnSpPr>
      <xdr:spPr>
        <a:xfrm>
          <a:off x="22374226" y="3286126"/>
          <a:ext cx="476249" cy="2857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238126</xdr:colOff>
      <xdr:row>6</xdr:row>
      <xdr:rowOff>238126</xdr:rowOff>
    </xdr:from>
    <xdr:to>
      <xdr:col>46</xdr:col>
      <xdr:colOff>238125</xdr:colOff>
      <xdr:row>8</xdr:row>
      <xdr:rowOff>238126</xdr:rowOff>
    </xdr:to>
    <xdr:cxnSp macro="">
      <xdr:nvCxnSpPr>
        <xdr:cNvPr id="42279" name="CNtp46c11routeb"/>
        <xdr:cNvCxnSpPr>
          <a:stCxn id="42257" idx="6"/>
          <a:endCxn id="42278" idx="2"/>
        </xdr:cNvCxnSpPr>
      </xdr:nvCxnSpPr>
      <xdr:spPr>
        <a:xfrm flipV="1">
          <a:off x="22374226" y="4238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238126</xdr:colOff>
      <xdr:row>4</xdr:row>
      <xdr:rowOff>238126</xdr:rowOff>
    </xdr:from>
    <xdr:to>
      <xdr:col>46</xdr:col>
      <xdr:colOff>238125</xdr:colOff>
      <xdr:row>5</xdr:row>
      <xdr:rowOff>238126</xdr:rowOff>
    </xdr:to>
    <xdr:cxnSp macro="">
      <xdr:nvCxnSpPr>
        <xdr:cNvPr id="42277" name="CNtp46c11routev"/>
        <xdr:cNvCxnSpPr>
          <a:stCxn id="42253" idx="6"/>
          <a:endCxn id="42276" idx="2"/>
        </xdr:cNvCxnSpPr>
      </xdr:nvCxnSpPr>
      <xdr:spPr>
        <a:xfrm>
          <a:off x="223742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238126</xdr:colOff>
      <xdr:row>28</xdr:row>
      <xdr:rowOff>238126</xdr:rowOff>
    </xdr:from>
    <xdr:to>
      <xdr:col>45</xdr:col>
      <xdr:colOff>238125</xdr:colOff>
      <xdr:row>28</xdr:row>
      <xdr:rowOff>250826</xdr:rowOff>
    </xdr:to>
    <xdr:cxnSp macro="">
      <xdr:nvCxnSpPr>
        <xdr:cNvPr id="42274" name="CNtp45c13routeb"/>
        <xdr:cNvCxnSpPr>
          <a:stCxn id="42247" idx="6"/>
          <a:endCxn id="42271" idx="2"/>
        </xdr:cNvCxnSpPr>
      </xdr:nvCxnSpPr>
      <xdr:spPr>
        <a:xfrm>
          <a:off x="2189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238126</xdr:colOff>
      <xdr:row>28</xdr:row>
      <xdr:rowOff>238126</xdr:rowOff>
    </xdr:from>
    <xdr:to>
      <xdr:col>45</xdr:col>
      <xdr:colOff>238125</xdr:colOff>
      <xdr:row>28</xdr:row>
      <xdr:rowOff>250826</xdr:rowOff>
    </xdr:to>
    <xdr:cxnSp macro="">
      <xdr:nvCxnSpPr>
        <xdr:cNvPr id="42273" name="CNtp45c13routec"/>
        <xdr:cNvCxnSpPr>
          <a:stCxn id="42247" idx="6"/>
          <a:endCxn id="42271" idx="2"/>
        </xdr:cNvCxnSpPr>
      </xdr:nvCxnSpPr>
      <xdr:spPr>
        <a:xfrm>
          <a:off x="2189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238126</xdr:colOff>
      <xdr:row>28</xdr:row>
      <xdr:rowOff>238126</xdr:rowOff>
    </xdr:from>
    <xdr:to>
      <xdr:col>45</xdr:col>
      <xdr:colOff>238125</xdr:colOff>
      <xdr:row>28</xdr:row>
      <xdr:rowOff>250826</xdr:rowOff>
    </xdr:to>
    <xdr:cxnSp macro="">
      <xdr:nvCxnSpPr>
        <xdr:cNvPr id="42272" name="CNtp45c13routev"/>
        <xdr:cNvCxnSpPr>
          <a:stCxn id="42247" idx="6"/>
          <a:endCxn id="42271" idx="2"/>
        </xdr:cNvCxnSpPr>
      </xdr:nvCxnSpPr>
      <xdr:spPr>
        <a:xfrm>
          <a:off x="21897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238126</xdr:colOff>
      <xdr:row>18</xdr:row>
      <xdr:rowOff>238126</xdr:rowOff>
    </xdr:from>
    <xdr:to>
      <xdr:col>45</xdr:col>
      <xdr:colOff>238125</xdr:colOff>
      <xdr:row>18</xdr:row>
      <xdr:rowOff>250826</xdr:rowOff>
    </xdr:to>
    <xdr:cxnSp macro="">
      <xdr:nvCxnSpPr>
        <xdr:cNvPr id="42266" name="CNtp45c12routeb"/>
        <xdr:cNvCxnSpPr>
          <a:stCxn id="42240" idx="6"/>
          <a:endCxn id="42263" idx="2"/>
        </xdr:cNvCxnSpPr>
      </xdr:nvCxnSpPr>
      <xdr:spPr>
        <a:xfrm>
          <a:off x="2189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238126</xdr:colOff>
      <xdr:row>18</xdr:row>
      <xdr:rowOff>238126</xdr:rowOff>
    </xdr:from>
    <xdr:to>
      <xdr:col>45</xdr:col>
      <xdr:colOff>238125</xdr:colOff>
      <xdr:row>18</xdr:row>
      <xdr:rowOff>250826</xdr:rowOff>
    </xdr:to>
    <xdr:cxnSp macro="">
      <xdr:nvCxnSpPr>
        <xdr:cNvPr id="42265" name="CNtp45c12routec"/>
        <xdr:cNvCxnSpPr>
          <a:stCxn id="42240" idx="6"/>
          <a:endCxn id="42263" idx="2"/>
        </xdr:cNvCxnSpPr>
      </xdr:nvCxnSpPr>
      <xdr:spPr>
        <a:xfrm>
          <a:off x="2189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238126</xdr:colOff>
      <xdr:row>18</xdr:row>
      <xdr:rowOff>238126</xdr:rowOff>
    </xdr:from>
    <xdr:to>
      <xdr:col>45</xdr:col>
      <xdr:colOff>238125</xdr:colOff>
      <xdr:row>18</xdr:row>
      <xdr:rowOff>250826</xdr:rowOff>
    </xdr:to>
    <xdr:cxnSp macro="">
      <xdr:nvCxnSpPr>
        <xdr:cNvPr id="42264" name="CNtp45c12routev"/>
        <xdr:cNvCxnSpPr>
          <a:stCxn id="42240" idx="6"/>
          <a:endCxn id="42263" idx="2"/>
        </xdr:cNvCxnSpPr>
      </xdr:nvCxnSpPr>
      <xdr:spPr>
        <a:xfrm>
          <a:off x="2189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238126</xdr:colOff>
      <xdr:row>8</xdr:row>
      <xdr:rowOff>238126</xdr:rowOff>
    </xdr:from>
    <xdr:to>
      <xdr:col>45</xdr:col>
      <xdr:colOff>238125</xdr:colOff>
      <xdr:row>8</xdr:row>
      <xdr:rowOff>250826</xdr:rowOff>
    </xdr:to>
    <xdr:cxnSp macro="">
      <xdr:nvCxnSpPr>
        <xdr:cNvPr id="42258" name="CNtp45c11routeb"/>
        <xdr:cNvCxnSpPr>
          <a:stCxn id="42235" idx="6"/>
          <a:endCxn id="42257" idx="2"/>
        </xdr:cNvCxnSpPr>
      </xdr:nvCxnSpPr>
      <xdr:spPr>
        <a:xfrm>
          <a:off x="21897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238126</xdr:colOff>
      <xdr:row>3</xdr:row>
      <xdr:rowOff>238126</xdr:rowOff>
    </xdr:from>
    <xdr:to>
      <xdr:col>45</xdr:col>
      <xdr:colOff>238125</xdr:colOff>
      <xdr:row>4</xdr:row>
      <xdr:rowOff>238126</xdr:rowOff>
    </xdr:to>
    <xdr:cxnSp macro="">
      <xdr:nvCxnSpPr>
        <xdr:cNvPr id="42255" name="CNtp45c11routec"/>
        <xdr:cNvCxnSpPr>
          <a:stCxn id="42231" idx="6"/>
          <a:endCxn id="42253" idx="2"/>
        </xdr:cNvCxnSpPr>
      </xdr:nvCxnSpPr>
      <xdr:spPr>
        <a:xfrm>
          <a:off x="2189797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238126</xdr:colOff>
      <xdr:row>3</xdr:row>
      <xdr:rowOff>238126</xdr:rowOff>
    </xdr:from>
    <xdr:to>
      <xdr:col>45</xdr:col>
      <xdr:colOff>238125</xdr:colOff>
      <xdr:row>4</xdr:row>
      <xdr:rowOff>238126</xdr:rowOff>
    </xdr:to>
    <xdr:cxnSp macro="">
      <xdr:nvCxnSpPr>
        <xdr:cNvPr id="42254" name="CNtp45c11routev"/>
        <xdr:cNvCxnSpPr>
          <a:stCxn id="42231" idx="6"/>
          <a:endCxn id="42253" idx="2"/>
        </xdr:cNvCxnSpPr>
      </xdr:nvCxnSpPr>
      <xdr:spPr>
        <a:xfrm>
          <a:off x="2189797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238126</xdr:colOff>
      <xdr:row>23</xdr:row>
      <xdr:rowOff>238126</xdr:rowOff>
    </xdr:from>
    <xdr:to>
      <xdr:col>44</xdr:col>
      <xdr:colOff>238125</xdr:colOff>
      <xdr:row>28</xdr:row>
      <xdr:rowOff>238126</xdr:rowOff>
    </xdr:to>
    <xdr:cxnSp macro="">
      <xdr:nvCxnSpPr>
        <xdr:cNvPr id="42250" name="CNtp44c13routeb"/>
        <xdr:cNvCxnSpPr>
          <a:stCxn id="42226" idx="6"/>
          <a:endCxn id="42247" idx="2"/>
        </xdr:cNvCxnSpPr>
      </xdr:nvCxnSpPr>
      <xdr:spPr>
        <a:xfrm>
          <a:off x="214217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238126</xdr:colOff>
      <xdr:row>23</xdr:row>
      <xdr:rowOff>238126</xdr:rowOff>
    </xdr:from>
    <xdr:to>
      <xdr:col>44</xdr:col>
      <xdr:colOff>238125</xdr:colOff>
      <xdr:row>28</xdr:row>
      <xdr:rowOff>238126</xdr:rowOff>
    </xdr:to>
    <xdr:cxnSp macro="">
      <xdr:nvCxnSpPr>
        <xdr:cNvPr id="42249" name="CNtp44c13routec"/>
        <xdr:cNvCxnSpPr>
          <a:stCxn id="42226" idx="6"/>
          <a:endCxn id="42247" idx="2"/>
        </xdr:cNvCxnSpPr>
      </xdr:nvCxnSpPr>
      <xdr:spPr>
        <a:xfrm>
          <a:off x="214217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238126</xdr:colOff>
      <xdr:row>23</xdr:row>
      <xdr:rowOff>238126</xdr:rowOff>
    </xdr:from>
    <xdr:to>
      <xdr:col>44</xdr:col>
      <xdr:colOff>238125</xdr:colOff>
      <xdr:row>28</xdr:row>
      <xdr:rowOff>238126</xdr:rowOff>
    </xdr:to>
    <xdr:cxnSp macro="">
      <xdr:nvCxnSpPr>
        <xdr:cNvPr id="42248" name="CNtp44c13routev"/>
        <xdr:cNvCxnSpPr>
          <a:stCxn id="42226" idx="6"/>
          <a:endCxn id="42247" idx="2"/>
        </xdr:cNvCxnSpPr>
      </xdr:nvCxnSpPr>
      <xdr:spPr>
        <a:xfrm>
          <a:off x="214217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238126</xdr:colOff>
      <xdr:row>18</xdr:row>
      <xdr:rowOff>238126</xdr:rowOff>
    </xdr:from>
    <xdr:to>
      <xdr:col>44</xdr:col>
      <xdr:colOff>238125</xdr:colOff>
      <xdr:row>18</xdr:row>
      <xdr:rowOff>250826</xdr:rowOff>
    </xdr:to>
    <xdr:cxnSp macro="">
      <xdr:nvCxnSpPr>
        <xdr:cNvPr id="42243" name="CNtp44c12routeb"/>
        <xdr:cNvCxnSpPr>
          <a:stCxn id="42219" idx="6"/>
          <a:endCxn id="42240" idx="2"/>
        </xdr:cNvCxnSpPr>
      </xdr:nvCxnSpPr>
      <xdr:spPr>
        <a:xfrm>
          <a:off x="2142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238126</xdr:colOff>
      <xdr:row>18</xdr:row>
      <xdr:rowOff>238126</xdr:rowOff>
    </xdr:from>
    <xdr:to>
      <xdr:col>44</xdr:col>
      <xdr:colOff>238125</xdr:colOff>
      <xdr:row>18</xdr:row>
      <xdr:rowOff>250826</xdr:rowOff>
    </xdr:to>
    <xdr:cxnSp macro="">
      <xdr:nvCxnSpPr>
        <xdr:cNvPr id="42242" name="CNtp44c12routec"/>
        <xdr:cNvCxnSpPr>
          <a:stCxn id="42219" idx="6"/>
          <a:endCxn id="42240" idx="2"/>
        </xdr:cNvCxnSpPr>
      </xdr:nvCxnSpPr>
      <xdr:spPr>
        <a:xfrm>
          <a:off x="2142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238126</xdr:colOff>
      <xdr:row>18</xdr:row>
      <xdr:rowOff>238126</xdr:rowOff>
    </xdr:from>
    <xdr:to>
      <xdr:col>44</xdr:col>
      <xdr:colOff>238125</xdr:colOff>
      <xdr:row>18</xdr:row>
      <xdr:rowOff>250826</xdr:rowOff>
    </xdr:to>
    <xdr:cxnSp macro="">
      <xdr:nvCxnSpPr>
        <xdr:cNvPr id="42241" name="CNtp44c12routev"/>
        <xdr:cNvCxnSpPr>
          <a:stCxn id="42219" idx="6"/>
          <a:endCxn id="42240" idx="2"/>
        </xdr:cNvCxnSpPr>
      </xdr:nvCxnSpPr>
      <xdr:spPr>
        <a:xfrm>
          <a:off x="2142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238126</xdr:colOff>
      <xdr:row>8</xdr:row>
      <xdr:rowOff>238126</xdr:rowOff>
    </xdr:from>
    <xdr:to>
      <xdr:col>44</xdr:col>
      <xdr:colOff>238125</xdr:colOff>
      <xdr:row>8</xdr:row>
      <xdr:rowOff>250826</xdr:rowOff>
    </xdr:to>
    <xdr:cxnSp macro="">
      <xdr:nvCxnSpPr>
        <xdr:cNvPr id="42236" name="CNtp44c11routeb"/>
        <xdr:cNvCxnSpPr>
          <a:stCxn id="42209" idx="6"/>
          <a:endCxn id="42235" idx="2"/>
        </xdr:cNvCxnSpPr>
      </xdr:nvCxnSpPr>
      <xdr:spPr>
        <a:xfrm>
          <a:off x="21421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238126</xdr:colOff>
      <xdr:row>3</xdr:row>
      <xdr:rowOff>238126</xdr:rowOff>
    </xdr:from>
    <xdr:to>
      <xdr:col>44</xdr:col>
      <xdr:colOff>238125</xdr:colOff>
      <xdr:row>3</xdr:row>
      <xdr:rowOff>250826</xdr:rowOff>
    </xdr:to>
    <xdr:cxnSp macro="">
      <xdr:nvCxnSpPr>
        <xdr:cNvPr id="42233" name="CNtp44c11routec"/>
        <xdr:cNvCxnSpPr>
          <a:stCxn id="42201" idx="6"/>
          <a:endCxn id="42231" idx="2"/>
        </xdr:cNvCxnSpPr>
      </xdr:nvCxnSpPr>
      <xdr:spPr>
        <a:xfrm>
          <a:off x="21421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238126</xdr:colOff>
      <xdr:row>3</xdr:row>
      <xdr:rowOff>238126</xdr:rowOff>
    </xdr:from>
    <xdr:to>
      <xdr:col>44</xdr:col>
      <xdr:colOff>238125</xdr:colOff>
      <xdr:row>3</xdr:row>
      <xdr:rowOff>250826</xdr:rowOff>
    </xdr:to>
    <xdr:cxnSp macro="">
      <xdr:nvCxnSpPr>
        <xdr:cNvPr id="42232" name="CNtp44c11routev"/>
        <xdr:cNvCxnSpPr>
          <a:stCxn id="42201" idx="6"/>
          <a:endCxn id="42231" idx="2"/>
        </xdr:cNvCxnSpPr>
      </xdr:nvCxnSpPr>
      <xdr:spPr>
        <a:xfrm>
          <a:off x="21421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238126</xdr:colOff>
      <xdr:row>23</xdr:row>
      <xdr:rowOff>238126</xdr:rowOff>
    </xdr:from>
    <xdr:to>
      <xdr:col>43</xdr:col>
      <xdr:colOff>238125</xdr:colOff>
      <xdr:row>28</xdr:row>
      <xdr:rowOff>238126</xdr:rowOff>
    </xdr:to>
    <xdr:cxnSp macro="">
      <xdr:nvCxnSpPr>
        <xdr:cNvPr id="42229" name="CNtp43c13routeb"/>
        <xdr:cNvCxnSpPr>
          <a:stCxn id="42196" idx="6"/>
          <a:endCxn id="42226" idx="2"/>
        </xdr:cNvCxnSpPr>
      </xdr:nvCxnSpPr>
      <xdr:spPr>
        <a:xfrm flipV="1">
          <a:off x="209454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238126</xdr:colOff>
      <xdr:row>23</xdr:row>
      <xdr:rowOff>238126</xdr:rowOff>
    </xdr:from>
    <xdr:to>
      <xdr:col>43</xdr:col>
      <xdr:colOff>238125</xdr:colOff>
      <xdr:row>28</xdr:row>
      <xdr:rowOff>238126</xdr:rowOff>
    </xdr:to>
    <xdr:cxnSp macro="">
      <xdr:nvCxnSpPr>
        <xdr:cNvPr id="42228" name="CNtp43c13routec"/>
        <xdr:cNvCxnSpPr>
          <a:stCxn id="42196" idx="6"/>
          <a:endCxn id="42226" idx="2"/>
        </xdr:cNvCxnSpPr>
      </xdr:nvCxnSpPr>
      <xdr:spPr>
        <a:xfrm flipV="1">
          <a:off x="209454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238126</xdr:colOff>
      <xdr:row>23</xdr:row>
      <xdr:rowOff>238126</xdr:rowOff>
    </xdr:from>
    <xdr:to>
      <xdr:col>43</xdr:col>
      <xdr:colOff>238125</xdr:colOff>
      <xdr:row>28</xdr:row>
      <xdr:rowOff>238126</xdr:rowOff>
    </xdr:to>
    <xdr:cxnSp macro="">
      <xdr:nvCxnSpPr>
        <xdr:cNvPr id="42227" name="CNtp43c13routev"/>
        <xdr:cNvCxnSpPr>
          <a:stCxn id="42196" idx="6"/>
          <a:endCxn id="42226" idx="2"/>
        </xdr:cNvCxnSpPr>
      </xdr:nvCxnSpPr>
      <xdr:spPr>
        <a:xfrm flipV="1">
          <a:off x="209454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238126</xdr:colOff>
      <xdr:row>18</xdr:row>
      <xdr:rowOff>238126</xdr:rowOff>
    </xdr:from>
    <xdr:to>
      <xdr:col>43</xdr:col>
      <xdr:colOff>238125</xdr:colOff>
      <xdr:row>18</xdr:row>
      <xdr:rowOff>250826</xdr:rowOff>
    </xdr:to>
    <xdr:cxnSp macro="">
      <xdr:nvCxnSpPr>
        <xdr:cNvPr id="42222" name="CNtp43c12routeb"/>
        <xdr:cNvCxnSpPr>
          <a:stCxn id="42190" idx="6"/>
          <a:endCxn id="42219" idx="2"/>
        </xdr:cNvCxnSpPr>
      </xdr:nvCxnSpPr>
      <xdr:spPr>
        <a:xfrm>
          <a:off x="2094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238126</xdr:colOff>
      <xdr:row>18</xdr:row>
      <xdr:rowOff>238126</xdr:rowOff>
    </xdr:from>
    <xdr:to>
      <xdr:col>43</xdr:col>
      <xdr:colOff>238125</xdr:colOff>
      <xdr:row>18</xdr:row>
      <xdr:rowOff>250826</xdr:rowOff>
    </xdr:to>
    <xdr:cxnSp macro="">
      <xdr:nvCxnSpPr>
        <xdr:cNvPr id="42221" name="CNtp43c12routec"/>
        <xdr:cNvCxnSpPr>
          <a:stCxn id="42190" idx="6"/>
          <a:endCxn id="42219" idx="2"/>
        </xdr:cNvCxnSpPr>
      </xdr:nvCxnSpPr>
      <xdr:spPr>
        <a:xfrm>
          <a:off x="2094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238126</xdr:colOff>
      <xdr:row>18</xdr:row>
      <xdr:rowOff>238126</xdr:rowOff>
    </xdr:from>
    <xdr:to>
      <xdr:col>43</xdr:col>
      <xdr:colOff>238125</xdr:colOff>
      <xdr:row>18</xdr:row>
      <xdr:rowOff>250826</xdr:rowOff>
    </xdr:to>
    <xdr:cxnSp macro="">
      <xdr:nvCxnSpPr>
        <xdr:cNvPr id="42220" name="CNtp43c12routev"/>
        <xdr:cNvCxnSpPr>
          <a:stCxn id="42190" idx="6"/>
          <a:endCxn id="42219" idx="2"/>
        </xdr:cNvCxnSpPr>
      </xdr:nvCxnSpPr>
      <xdr:spPr>
        <a:xfrm>
          <a:off x="2094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238126</xdr:colOff>
      <xdr:row>8</xdr:row>
      <xdr:rowOff>238126</xdr:rowOff>
    </xdr:from>
    <xdr:to>
      <xdr:col>43</xdr:col>
      <xdr:colOff>238125</xdr:colOff>
      <xdr:row>8</xdr:row>
      <xdr:rowOff>250826</xdr:rowOff>
    </xdr:to>
    <xdr:cxnSp macro="">
      <xdr:nvCxnSpPr>
        <xdr:cNvPr id="42210" name="CNtp43c11routeb"/>
        <xdr:cNvCxnSpPr>
          <a:stCxn id="42186" idx="6"/>
          <a:endCxn id="42209" idx="2"/>
        </xdr:cNvCxnSpPr>
      </xdr:nvCxnSpPr>
      <xdr:spPr>
        <a:xfrm>
          <a:off x="20945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238126</xdr:colOff>
      <xdr:row>3</xdr:row>
      <xdr:rowOff>238126</xdr:rowOff>
    </xdr:from>
    <xdr:to>
      <xdr:col>43</xdr:col>
      <xdr:colOff>238125</xdr:colOff>
      <xdr:row>3</xdr:row>
      <xdr:rowOff>250826</xdr:rowOff>
    </xdr:to>
    <xdr:cxnSp macro="">
      <xdr:nvCxnSpPr>
        <xdr:cNvPr id="42203" name="CNtp43c11routec"/>
        <xdr:cNvCxnSpPr>
          <a:stCxn id="42182" idx="6"/>
          <a:endCxn id="42201" idx="2"/>
        </xdr:cNvCxnSpPr>
      </xdr:nvCxnSpPr>
      <xdr:spPr>
        <a:xfrm>
          <a:off x="20945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238126</xdr:colOff>
      <xdr:row>3</xdr:row>
      <xdr:rowOff>238126</xdr:rowOff>
    </xdr:from>
    <xdr:to>
      <xdr:col>43</xdr:col>
      <xdr:colOff>238125</xdr:colOff>
      <xdr:row>3</xdr:row>
      <xdr:rowOff>250826</xdr:rowOff>
    </xdr:to>
    <xdr:cxnSp macro="">
      <xdr:nvCxnSpPr>
        <xdr:cNvPr id="42202" name="CNtp43c11routev"/>
        <xdr:cNvCxnSpPr>
          <a:stCxn id="42182" idx="6"/>
          <a:endCxn id="42201" idx="2"/>
        </xdr:cNvCxnSpPr>
      </xdr:nvCxnSpPr>
      <xdr:spPr>
        <a:xfrm>
          <a:off x="20945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238126</xdr:colOff>
      <xdr:row>28</xdr:row>
      <xdr:rowOff>238126</xdr:rowOff>
    </xdr:from>
    <xdr:to>
      <xdr:col>42</xdr:col>
      <xdr:colOff>238125</xdr:colOff>
      <xdr:row>28</xdr:row>
      <xdr:rowOff>250826</xdr:rowOff>
    </xdr:to>
    <xdr:cxnSp macro="">
      <xdr:nvCxnSpPr>
        <xdr:cNvPr id="42199" name="CNtp42c13routeb"/>
        <xdr:cNvCxnSpPr>
          <a:stCxn id="42177" idx="6"/>
          <a:endCxn id="42196" idx="2"/>
        </xdr:cNvCxnSpPr>
      </xdr:nvCxnSpPr>
      <xdr:spPr>
        <a:xfrm>
          <a:off x="2046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238126</xdr:colOff>
      <xdr:row>28</xdr:row>
      <xdr:rowOff>238126</xdr:rowOff>
    </xdr:from>
    <xdr:to>
      <xdr:col>42</xdr:col>
      <xdr:colOff>238125</xdr:colOff>
      <xdr:row>28</xdr:row>
      <xdr:rowOff>250826</xdr:rowOff>
    </xdr:to>
    <xdr:cxnSp macro="">
      <xdr:nvCxnSpPr>
        <xdr:cNvPr id="42198" name="CNtp42c13routec"/>
        <xdr:cNvCxnSpPr>
          <a:stCxn id="42177" idx="6"/>
          <a:endCxn id="42196" idx="2"/>
        </xdr:cNvCxnSpPr>
      </xdr:nvCxnSpPr>
      <xdr:spPr>
        <a:xfrm>
          <a:off x="2046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238126</xdr:colOff>
      <xdr:row>28</xdr:row>
      <xdr:rowOff>238126</xdr:rowOff>
    </xdr:from>
    <xdr:to>
      <xdr:col>42</xdr:col>
      <xdr:colOff>238125</xdr:colOff>
      <xdr:row>28</xdr:row>
      <xdr:rowOff>250826</xdr:rowOff>
    </xdr:to>
    <xdr:cxnSp macro="">
      <xdr:nvCxnSpPr>
        <xdr:cNvPr id="42197" name="CNtp42c13routev"/>
        <xdr:cNvCxnSpPr>
          <a:stCxn id="42177" idx="6"/>
          <a:endCxn id="42196" idx="2"/>
        </xdr:cNvCxnSpPr>
      </xdr:nvCxnSpPr>
      <xdr:spPr>
        <a:xfrm>
          <a:off x="2046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238126</xdr:colOff>
      <xdr:row>18</xdr:row>
      <xdr:rowOff>238126</xdr:rowOff>
    </xdr:from>
    <xdr:to>
      <xdr:col>42</xdr:col>
      <xdr:colOff>238125</xdr:colOff>
      <xdr:row>18</xdr:row>
      <xdr:rowOff>250826</xdr:rowOff>
    </xdr:to>
    <xdr:cxnSp macro="">
      <xdr:nvCxnSpPr>
        <xdr:cNvPr id="42193" name="CNtp42c12routeb"/>
        <xdr:cNvCxnSpPr>
          <a:stCxn id="42170" idx="6"/>
          <a:endCxn id="42190" idx="2"/>
        </xdr:cNvCxnSpPr>
      </xdr:nvCxnSpPr>
      <xdr:spPr>
        <a:xfrm>
          <a:off x="2046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238126</xdr:colOff>
      <xdr:row>18</xdr:row>
      <xdr:rowOff>238126</xdr:rowOff>
    </xdr:from>
    <xdr:to>
      <xdr:col>42</xdr:col>
      <xdr:colOff>238125</xdr:colOff>
      <xdr:row>18</xdr:row>
      <xdr:rowOff>250826</xdr:rowOff>
    </xdr:to>
    <xdr:cxnSp macro="">
      <xdr:nvCxnSpPr>
        <xdr:cNvPr id="42192" name="CNtp42c12routec"/>
        <xdr:cNvCxnSpPr>
          <a:stCxn id="42170" idx="6"/>
          <a:endCxn id="42190" idx="2"/>
        </xdr:cNvCxnSpPr>
      </xdr:nvCxnSpPr>
      <xdr:spPr>
        <a:xfrm>
          <a:off x="2046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238126</xdr:colOff>
      <xdr:row>18</xdr:row>
      <xdr:rowOff>238126</xdr:rowOff>
    </xdr:from>
    <xdr:to>
      <xdr:col>42</xdr:col>
      <xdr:colOff>238125</xdr:colOff>
      <xdr:row>18</xdr:row>
      <xdr:rowOff>250826</xdr:rowOff>
    </xdr:to>
    <xdr:cxnSp macro="">
      <xdr:nvCxnSpPr>
        <xdr:cNvPr id="42191" name="CNtp42c12routev"/>
        <xdr:cNvCxnSpPr>
          <a:stCxn id="42170" idx="6"/>
          <a:endCxn id="42190" idx="2"/>
        </xdr:cNvCxnSpPr>
      </xdr:nvCxnSpPr>
      <xdr:spPr>
        <a:xfrm>
          <a:off x="2046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238126</xdr:colOff>
      <xdr:row>8</xdr:row>
      <xdr:rowOff>238126</xdr:rowOff>
    </xdr:from>
    <xdr:to>
      <xdr:col>42</xdr:col>
      <xdr:colOff>238125</xdr:colOff>
      <xdr:row>8</xdr:row>
      <xdr:rowOff>250826</xdr:rowOff>
    </xdr:to>
    <xdr:cxnSp macro="">
      <xdr:nvCxnSpPr>
        <xdr:cNvPr id="42187" name="CNtp42c11routeb"/>
        <xdr:cNvCxnSpPr>
          <a:stCxn id="42160" idx="6"/>
          <a:endCxn id="42186" idx="2"/>
        </xdr:cNvCxnSpPr>
      </xdr:nvCxnSpPr>
      <xdr:spPr>
        <a:xfrm>
          <a:off x="204692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238126</xdr:colOff>
      <xdr:row>3</xdr:row>
      <xdr:rowOff>238126</xdr:rowOff>
    </xdr:from>
    <xdr:to>
      <xdr:col>42</xdr:col>
      <xdr:colOff>238125</xdr:colOff>
      <xdr:row>4</xdr:row>
      <xdr:rowOff>238126</xdr:rowOff>
    </xdr:to>
    <xdr:cxnSp macro="">
      <xdr:nvCxnSpPr>
        <xdr:cNvPr id="42184" name="CNtp42c11routec"/>
        <xdr:cNvCxnSpPr>
          <a:stCxn id="42153" idx="6"/>
          <a:endCxn id="42182" idx="2"/>
        </xdr:cNvCxnSpPr>
      </xdr:nvCxnSpPr>
      <xdr:spPr>
        <a:xfrm flipV="1">
          <a:off x="2046922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238126</xdr:colOff>
      <xdr:row>3</xdr:row>
      <xdr:rowOff>238126</xdr:rowOff>
    </xdr:from>
    <xdr:to>
      <xdr:col>42</xdr:col>
      <xdr:colOff>238125</xdr:colOff>
      <xdr:row>4</xdr:row>
      <xdr:rowOff>238126</xdr:rowOff>
    </xdr:to>
    <xdr:cxnSp macro="">
      <xdr:nvCxnSpPr>
        <xdr:cNvPr id="42183" name="CNtp42c11routev"/>
        <xdr:cNvCxnSpPr>
          <a:stCxn id="42153" idx="6"/>
          <a:endCxn id="42182" idx="2"/>
        </xdr:cNvCxnSpPr>
      </xdr:nvCxnSpPr>
      <xdr:spPr>
        <a:xfrm flipV="1">
          <a:off x="2046922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238126</xdr:colOff>
      <xdr:row>28</xdr:row>
      <xdr:rowOff>238126</xdr:rowOff>
    </xdr:from>
    <xdr:to>
      <xdr:col>41</xdr:col>
      <xdr:colOff>238125</xdr:colOff>
      <xdr:row>28</xdr:row>
      <xdr:rowOff>250826</xdr:rowOff>
    </xdr:to>
    <xdr:cxnSp macro="">
      <xdr:nvCxnSpPr>
        <xdr:cNvPr id="42180" name="CNtp41c13routeb"/>
        <xdr:cNvCxnSpPr>
          <a:stCxn id="42147" idx="6"/>
          <a:endCxn id="42177" idx="2"/>
        </xdr:cNvCxnSpPr>
      </xdr:nvCxnSpPr>
      <xdr:spPr>
        <a:xfrm>
          <a:off x="1999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238126</xdr:colOff>
      <xdr:row>28</xdr:row>
      <xdr:rowOff>238126</xdr:rowOff>
    </xdr:from>
    <xdr:to>
      <xdr:col>41</xdr:col>
      <xdr:colOff>238125</xdr:colOff>
      <xdr:row>28</xdr:row>
      <xdr:rowOff>250826</xdr:rowOff>
    </xdr:to>
    <xdr:cxnSp macro="">
      <xdr:nvCxnSpPr>
        <xdr:cNvPr id="42179" name="CNtp41c13routec"/>
        <xdr:cNvCxnSpPr>
          <a:stCxn id="42147" idx="6"/>
          <a:endCxn id="42177" idx="2"/>
        </xdr:cNvCxnSpPr>
      </xdr:nvCxnSpPr>
      <xdr:spPr>
        <a:xfrm>
          <a:off x="1999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238126</xdr:colOff>
      <xdr:row>28</xdr:row>
      <xdr:rowOff>238126</xdr:rowOff>
    </xdr:from>
    <xdr:to>
      <xdr:col>41</xdr:col>
      <xdr:colOff>238125</xdr:colOff>
      <xdr:row>28</xdr:row>
      <xdr:rowOff>250826</xdr:rowOff>
    </xdr:to>
    <xdr:cxnSp macro="">
      <xdr:nvCxnSpPr>
        <xdr:cNvPr id="42178" name="CNtp41c13routev"/>
        <xdr:cNvCxnSpPr>
          <a:stCxn id="42147" idx="6"/>
          <a:endCxn id="42177" idx="2"/>
        </xdr:cNvCxnSpPr>
      </xdr:nvCxnSpPr>
      <xdr:spPr>
        <a:xfrm>
          <a:off x="1999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238126</xdr:colOff>
      <xdr:row>18</xdr:row>
      <xdr:rowOff>238126</xdr:rowOff>
    </xdr:from>
    <xdr:to>
      <xdr:col>41</xdr:col>
      <xdr:colOff>238125</xdr:colOff>
      <xdr:row>18</xdr:row>
      <xdr:rowOff>250826</xdr:rowOff>
    </xdr:to>
    <xdr:cxnSp macro="">
      <xdr:nvCxnSpPr>
        <xdr:cNvPr id="42173" name="CNtp41c12routeb"/>
        <xdr:cNvCxnSpPr>
          <a:stCxn id="42139" idx="6"/>
          <a:endCxn id="42170" idx="2"/>
        </xdr:cNvCxnSpPr>
      </xdr:nvCxnSpPr>
      <xdr:spPr>
        <a:xfrm>
          <a:off x="1999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238126</xdr:colOff>
      <xdr:row>18</xdr:row>
      <xdr:rowOff>238126</xdr:rowOff>
    </xdr:from>
    <xdr:to>
      <xdr:col>41</xdr:col>
      <xdr:colOff>238125</xdr:colOff>
      <xdr:row>18</xdr:row>
      <xdr:rowOff>250826</xdr:rowOff>
    </xdr:to>
    <xdr:cxnSp macro="">
      <xdr:nvCxnSpPr>
        <xdr:cNvPr id="42172" name="CNtp41c12routec"/>
        <xdr:cNvCxnSpPr>
          <a:stCxn id="42139" idx="6"/>
          <a:endCxn id="42170" idx="2"/>
        </xdr:cNvCxnSpPr>
      </xdr:nvCxnSpPr>
      <xdr:spPr>
        <a:xfrm>
          <a:off x="1999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238126</xdr:colOff>
      <xdr:row>18</xdr:row>
      <xdr:rowOff>238126</xdr:rowOff>
    </xdr:from>
    <xdr:to>
      <xdr:col>41</xdr:col>
      <xdr:colOff>238125</xdr:colOff>
      <xdr:row>18</xdr:row>
      <xdr:rowOff>250826</xdr:rowOff>
    </xdr:to>
    <xdr:cxnSp macro="">
      <xdr:nvCxnSpPr>
        <xdr:cNvPr id="42171" name="CNtp41c12routev"/>
        <xdr:cNvCxnSpPr>
          <a:stCxn id="42139" idx="6"/>
          <a:endCxn id="42170" idx="2"/>
        </xdr:cNvCxnSpPr>
      </xdr:nvCxnSpPr>
      <xdr:spPr>
        <a:xfrm>
          <a:off x="1999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238126</xdr:colOff>
      <xdr:row>8</xdr:row>
      <xdr:rowOff>238126</xdr:rowOff>
    </xdr:from>
    <xdr:to>
      <xdr:col>41</xdr:col>
      <xdr:colOff>238125</xdr:colOff>
      <xdr:row>8</xdr:row>
      <xdr:rowOff>250826</xdr:rowOff>
    </xdr:to>
    <xdr:cxnSp macro="">
      <xdr:nvCxnSpPr>
        <xdr:cNvPr id="42161" name="CNtp41c11routeb"/>
        <xdr:cNvCxnSpPr>
          <a:stCxn id="42131" idx="6"/>
          <a:endCxn id="42160" idx="2"/>
        </xdr:cNvCxnSpPr>
      </xdr:nvCxnSpPr>
      <xdr:spPr>
        <a:xfrm>
          <a:off x="19992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238126</xdr:colOff>
      <xdr:row>4</xdr:row>
      <xdr:rowOff>238126</xdr:rowOff>
    </xdr:from>
    <xdr:to>
      <xdr:col>41</xdr:col>
      <xdr:colOff>238125</xdr:colOff>
      <xdr:row>4</xdr:row>
      <xdr:rowOff>250826</xdr:rowOff>
    </xdr:to>
    <xdr:cxnSp macro="">
      <xdr:nvCxnSpPr>
        <xdr:cNvPr id="42155" name="CNtp41c11routec"/>
        <xdr:cNvCxnSpPr>
          <a:stCxn id="42127" idx="6"/>
          <a:endCxn id="42153" idx="2"/>
        </xdr:cNvCxnSpPr>
      </xdr:nvCxnSpPr>
      <xdr:spPr>
        <a:xfrm>
          <a:off x="1999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238126</xdr:colOff>
      <xdr:row>4</xdr:row>
      <xdr:rowOff>238126</xdr:rowOff>
    </xdr:from>
    <xdr:to>
      <xdr:col>41</xdr:col>
      <xdr:colOff>238125</xdr:colOff>
      <xdr:row>4</xdr:row>
      <xdr:rowOff>250826</xdr:rowOff>
    </xdr:to>
    <xdr:cxnSp macro="">
      <xdr:nvCxnSpPr>
        <xdr:cNvPr id="42154" name="CNtp41c11routev"/>
        <xdr:cNvCxnSpPr>
          <a:stCxn id="42127" idx="6"/>
          <a:endCxn id="42153" idx="2"/>
        </xdr:cNvCxnSpPr>
      </xdr:nvCxnSpPr>
      <xdr:spPr>
        <a:xfrm>
          <a:off x="1999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238126</xdr:colOff>
      <xdr:row>28</xdr:row>
      <xdr:rowOff>238126</xdr:rowOff>
    </xdr:from>
    <xdr:to>
      <xdr:col>40</xdr:col>
      <xdr:colOff>238125</xdr:colOff>
      <xdr:row>28</xdr:row>
      <xdr:rowOff>250826</xdr:rowOff>
    </xdr:to>
    <xdr:cxnSp macro="">
      <xdr:nvCxnSpPr>
        <xdr:cNvPr id="42150" name="CNtp40c13routeb"/>
        <xdr:cNvCxnSpPr>
          <a:stCxn id="42122" idx="6"/>
          <a:endCxn id="42147" idx="2"/>
        </xdr:cNvCxnSpPr>
      </xdr:nvCxnSpPr>
      <xdr:spPr>
        <a:xfrm>
          <a:off x="1951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238126</xdr:colOff>
      <xdr:row>28</xdr:row>
      <xdr:rowOff>238126</xdr:rowOff>
    </xdr:from>
    <xdr:to>
      <xdr:col>40</xdr:col>
      <xdr:colOff>238125</xdr:colOff>
      <xdr:row>28</xdr:row>
      <xdr:rowOff>250826</xdr:rowOff>
    </xdr:to>
    <xdr:cxnSp macro="">
      <xdr:nvCxnSpPr>
        <xdr:cNvPr id="42149" name="CNtp40c13routec"/>
        <xdr:cNvCxnSpPr>
          <a:stCxn id="42122" idx="6"/>
          <a:endCxn id="42147" idx="2"/>
        </xdr:cNvCxnSpPr>
      </xdr:nvCxnSpPr>
      <xdr:spPr>
        <a:xfrm>
          <a:off x="1951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238126</xdr:colOff>
      <xdr:row>28</xdr:row>
      <xdr:rowOff>238126</xdr:rowOff>
    </xdr:from>
    <xdr:to>
      <xdr:col>40</xdr:col>
      <xdr:colOff>238125</xdr:colOff>
      <xdr:row>28</xdr:row>
      <xdr:rowOff>250826</xdr:rowOff>
    </xdr:to>
    <xdr:cxnSp macro="">
      <xdr:nvCxnSpPr>
        <xdr:cNvPr id="42148" name="CNtp40c13routev"/>
        <xdr:cNvCxnSpPr>
          <a:stCxn id="42122" idx="6"/>
          <a:endCxn id="42147" idx="2"/>
        </xdr:cNvCxnSpPr>
      </xdr:nvCxnSpPr>
      <xdr:spPr>
        <a:xfrm>
          <a:off x="1951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238126</xdr:colOff>
      <xdr:row>18</xdr:row>
      <xdr:rowOff>238126</xdr:rowOff>
    </xdr:from>
    <xdr:to>
      <xdr:col>40</xdr:col>
      <xdr:colOff>238125</xdr:colOff>
      <xdr:row>18</xdr:row>
      <xdr:rowOff>250826</xdr:rowOff>
    </xdr:to>
    <xdr:cxnSp macro="">
      <xdr:nvCxnSpPr>
        <xdr:cNvPr id="42142" name="CNtp40c12routeb"/>
        <xdr:cNvCxnSpPr>
          <a:stCxn id="42116" idx="6"/>
          <a:endCxn id="42139" idx="2"/>
        </xdr:cNvCxnSpPr>
      </xdr:nvCxnSpPr>
      <xdr:spPr>
        <a:xfrm>
          <a:off x="1951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238126</xdr:colOff>
      <xdr:row>18</xdr:row>
      <xdr:rowOff>238126</xdr:rowOff>
    </xdr:from>
    <xdr:to>
      <xdr:col>40</xdr:col>
      <xdr:colOff>238125</xdr:colOff>
      <xdr:row>18</xdr:row>
      <xdr:rowOff>250826</xdr:rowOff>
    </xdr:to>
    <xdr:cxnSp macro="">
      <xdr:nvCxnSpPr>
        <xdr:cNvPr id="42141" name="CNtp40c12routec"/>
        <xdr:cNvCxnSpPr>
          <a:stCxn id="42116" idx="6"/>
          <a:endCxn id="42139" idx="2"/>
        </xdr:cNvCxnSpPr>
      </xdr:nvCxnSpPr>
      <xdr:spPr>
        <a:xfrm>
          <a:off x="1951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238126</xdr:colOff>
      <xdr:row>18</xdr:row>
      <xdr:rowOff>238126</xdr:rowOff>
    </xdr:from>
    <xdr:to>
      <xdr:col>40</xdr:col>
      <xdr:colOff>238125</xdr:colOff>
      <xdr:row>18</xdr:row>
      <xdr:rowOff>250826</xdr:rowOff>
    </xdr:to>
    <xdr:cxnSp macro="">
      <xdr:nvCxnSpPr>
        <xdr:cNvPr id="42140" name="CNtp40c12routev"/>
        <xdr:cNvCxnSpPr>
          <a:stCxn id="42116" idx="6"/>
          <a:endCxn id="42139" idx="2"/>
        </xdr:cNvCxnSpPr>
      </xdr:nvCxnSpPr>
      <xdr:spPr>
        <a:xfrm>
          <a:off x="1951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238126</xdr:colOff>
      <xdr:row>8</xdr:row>
      <xdr:rowOff>238126</xdr:rowOff>
    </xdr:from>
    <xdr:to>
      <xdr:col>40</xdr:col>
      <xdr:colOff>238125</xdr:colOff>
      <xdr:row>8</xdr:row>
      <xdr:rowOff>250826</xdr:rowOff>
    </xdr:to>
    <xdr:cxnSp macro="">
      <xdr:nvCxnSpPr>
        <xdr:cNvPr id="42132" name="CNtp40c11routeb"/>
        <xdr:cNvCxnSpPr>
          <a:stCxn id="42110" idx="6"/>
          <a:endCxn id="42131" idx="2"/>
        </xdr:cNvCxnSpPr>
      </xdr:nvCxnSpPr>
      <xdr:spPr>
        <a:xfrm>
          <a:off x="19516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238126</xdr:colOff>
      <xdr:row>4</xdr:row>
      <xdr:rowOff>238126</xdr:rowOff>
    </xdr:from>
    <xdr:to>
      <xdr:col>40</xdr:col>
      <xdr:colOff>238125</xdr:colOff>
      <xdr:row>6</xdr:row>
      <xdr:rowOff>238126</xdr:rowOff>
    </xdr:to>
    <xdr:cxnSp macro="">
      <xdr:nvCxnSpPr>
        <xdr:cNvPr id="42129" name="CNtp40c11routec"/>
        <xdr:cNvCxnSpPr>
          <a:stCxn id="42105" idx="6"/>
          <a:endCxn id="42127" idx="2"/>
        </xdr:cNvCxnSpPr>
      </xdr:nvCxnSpPr>
      <xdr:spPr>
        <a:xfrm flipV="1">
          <a:off x="19516726" y="3286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238126</xdr:colOff>
      <xdr:row>4</xdr:row>
      <xdr:rowOff>238126</xdr:rowOff>
    </xdr:from>
    <xdr:to>
      <xdr:col>40</xdr:col>
      <xdr:colOff>238125</xdr:colOff>
      <xdr:row>6</xdr:row>
      <xdr:rowOff>238126</xdr:rowOff>
    </xdr:to>
    <xdr:cxnSp macro="">
      <xdr:nvCxnSpPr>
        <xdr:cNvPr id="42128" name="CNtp40c11routev"/>
        <xdr:cNvCxnSpPr>
          <a:stCxn id="42105" idx="6"/>
          <a:endCxn id="42127" idx="2"/>
        </xdr:cNvCxnSpPr>
      </xdr:nvCxnSpPr>
      <xdr:spPr>
        <a:xfrm flipV="1">
          <a:off x="19516726" y="3286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238126</xdr:colOff>
      <xdr:row>28</xdr:row>
      <xdr:rowOff>238126</xdr:rowOff>
    </xdr:from>
    <xdr:to>
      <xdr:col>39</xdr:col>
      <xdr:colOff>238125</xdr:colOff>
      <xdr:row>28</xdr:row>
      <xdr:rowOff>250826</xdr:rowOff>
    </xdr:to>
    <xdr:cxnSp macro="">
      <xdr:nvCxnSpPr>
        <xdr:cNvPr id="42125" name="CNtp39c13routeb"/>
        <xdr:cNvCxnSpPr>
          <a:stCxn id="42097" idx="6"/>
          <a:endCxn id="42122" idx="2"/>
        </xdr:cNvCxnSpPr>
      </xdr:nvCxnSpPr>
      <xdr:spPr>
        <a:xfrm>
          <a:off x="1904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238126</xdr:colOff>
      <xdr:row>28</xdr:row>
      <xdr:rowOff>238126</xdr:rowOff>
    </xdr:from>
    <xdr:to>
      <xdr:col>39</xdr:col>
      <xdr:colOff>238125</xdr:colOff>
      <xdr:row>28</xdr:row>
      <xdr:rowOff>250826</xdr:rowOff>
    </xdr:to>
    <xdr:cxnSp macro="">
      <xdr:nvCxnSpPr>
        <xdr:cNvPr id="42124" name="CNtp39c13routec"/>
        <xdr:cNvCxnSpPr>
          <a:stCxn id="42097" idx="6"/>
          <a:endCxn id="42122" idx="2"/>
        </xdr:cNvCxnSpPr>
      </xdr:nvCxnSpPr>
      <xdr:spPr>
        <a:xfrm>
          <a:off x="1904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238126</xdr:colOff>
      <xdr:row>28</xdr:row>
      <xdr:rowOff>238126</xdr:rowOff>
    </xdr:from>
    <xdr:to>
      <xdr:col>39</xdr:col>
      <xdr:colOff>238125</xdr:colOff>
      <xdr:row>28</xdr:row>
      <xdr:rowOff>250826</xdr:rowOff>
    </xdr:to>
    <xdr:cxnSp macro="">
      <xdr:nvCxnSpPr>
        <xdr:cNvPr id="42123" name="CNtp39c13routev"/>
        <xdr:cNvCxnSpPr>
          <a:stCxn id="42097" idx="6"/>
          <a:endCxn id="42122" idx="2"/>
        </xdr:cNvCxnSpPr>
      </xdr:nvCxnSpPr>
      <xdr:spPr>
        <a:xfrm>
          <a:off x="1904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238126</xdr:colOff>
      <xdr:row>18</xdr:row>
      <xdr:rowOff>238126</xdr:rowOff>
    </xdr:from>
    <xdr:to>
      <xdr:col>39</xdr:col>
      <xdr:colOff>238125</xdr:colOff>
      <xdr:row>18</xdr:row>
      <xdr:rowOff>250826</xdr:rowOff>
    </xdr:to>
    <xdr:cxnSp macro="">
      <xdr:nvCxnSpPr>
        <xdr:cNvPr id="42119" name="CNtp39c12routeb"/>
        <xdr:cNvCxnSpPr>
          <a:stCxn id="42091" idx="6"/>
          <a:endCxn id="42116" idx="2"/>
        </xdr:cNvCxnSpPr>
      </xdr:nvCxnSpPr>
      <xdr:spPr>
        <a:xfrm>
          <a:off x="1904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238126</xdr:colOff>
      <xdr:row>18</xdr:row>
      <xdr:rowOff>238126</xdr:rowOff>
    </xdr:from>
    <xdr:to>
      <xdr:col>39</xdr:col>
      <xdr:colOff>238125</xdr:colOff>
      <xdr:row>18</xdr:row>
      <xdr:rowOff>250826</xdr:rowOff>
    </xdr:to>
    <xdr:cxnSp macro="">
      <xdr:nvCxnSpPr>
        <xdr:cNvPr id="42118" name="CNtp39c12routec"/>
        <xdr:cNvCxnSpPr>
          <a:stCxn id="42091" idx="6"/>
          <a:endCxn id="42116" idx="2"/>
        </xdr:cNvCxnSpPr>
      </xdr:nvCxnSpPr>
      <xdr:spPr>
        <a:xfrm>
          <a:off x="1904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238126</xdr:colOff>
      <xdr:row>18</xdr:row>
      <xdr:rowOff>238126</xdr:rowOff>
    </xdr:from>
    <xdr:to>
      <xdr:col>39</xdr:col>
      <xdr:colOff>238125</xdr:colOff>
      <xdr:row>18</xdr:row>
      <xdr:rowOff>250826</xdr:rowOff>
    </xdr:to>
    <xdr:cxnSp macro="">
      <xdr:nvCxnSpPr>
        <xdr:cNvPr id="42117" name="CNtp39c12routev"/>
        <xdr:cNvCxnSpPr>
          <a:stCxn id="42091" idx="6"/>
          <a:endCxn id="42116" idx="2"/>
        </xdr:cNvCxnSpPr>
      </xdr:nvCxnSpPr>
      <xdr:spPr>
        <a:xfrm>
          <a:off x="1904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238126</xdr:colOff>
      <xdr:row>8</xdr:row>
      <xdr:rowOff>238126</xdr:rowOff>
    </xdr:from>
    <xdr:to>
      <xdr:col>39</xdr:col>
      <xdr:colOff>238125</xdr:colOff>
      <xdr:row>8</xdr:row>
      <xdr:rowOff>250826</xdr:rowOff>
    </xdr:to>
    <xdr:cxnSp macro="">
      <xdr:nvCxnSpPr>
        <xdr:cNvPr id="42111" name="CNtp39c11routeb"/>
        <xdr:cNvCxnSpPr>
          <a:stCxn id="42085" idx="6"/>
          <a:endCxn id="42110" idx="2"/>
        </xdr:cNvCxnSpPr>
      </xdr:nvCxnSpPr>
      <xdr:spPr>
        <a:xfrm>
          <a:off x="19040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238126</xdr:colOff>
      <xdr:row>6</xdr:row>
      <xdr:rowOff>238126</xdr:rowOff>
    </xdr:from>
    <xdr:to>
      <xdr:col>39</xdr:col>
      <xdr:colOff>238125</xdr:colOff>
      <xdr:row>6</xdr:row>
      <xdr:rowOff>250826</xdr:rowOff>
    </xdr:to>
    <xdr:cxnSp macro="">
      <xdr:nvCxnSpPr>
        <xdr:cNvPr id="42107" name="CNtp39c11routec"/>
        <xdr:cNvCxnSpPr>
          <a:stCxn id="42080" idx="6"/>
          <a:endCxn id="42105" idx="2"/>
        </xdr:cNvCxnSpPr>
      </xdr:nvCxnSpPr>
      <xdr:spPr>
        <a:xfrm>
          <a:off x="19040476" y="423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238126</xdr:colOff>
      <xdr:row>6</xdr:row>
      <xdr:rowOff>238126</xdr:rowOff>
    </xdr:from>
    <xdr:to>
      <xdr:col>39</xdr:col>
      <xdr:colOff>238125</xdr:colOff>
      <xdr:row>6</xdr:row>
      <xdr:rowOff>250826</xdr:rowOff>
    </xdr:to>
    <xdr:cxnSp macro="">
      <xdr:nvCxnSpPr>
        <xdr:cNvPr id="42106" name="CNtp39c11routev"/>
        <xdr:cNvCxnSpPr>
          <a:stCxn id="42080" idx="6"/>
          <a:endCxn id="42105" idx="2"/>
        </xdr:cNvCxnSpPr>
      </xdr:nvCxnSpPr>
      <xdr:spPr>
        <a:xfrm>
          <a:off x="19040476" y="423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238126</xdr:colOff>
      <xdr:row>23</xdr:row>
      <xdr:rowOff>238126</xdr:rowOff>
    </xdr:from>
    <xdr:to>
      <xdr:col>38</xdr:col>
      <xdr:colOff>238125</xdr:colOff>
      <xdr:row>28</xdr:row>
      <xdr:rowOff>238126</xdr:rowOff>
    </xdr:to>
    <xdr:cxnSp macro="">
      <xdr:nvCxnSpPr>
        <xdr:cNvPr id="42100" name="CNtp38c13routeb"/>
        <xdr:cNvCxnSpPr>
          <a:stCxn id="42072" idx="6"/>
          <a:endCxn id="42097" idx="2"/>
        </xdr:cNvCxnSpPr>
      </xdr:nvCxnSpPr>
      <xdr:spPr>
        <a:xfrm>
          <a:off x="185642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238126</xdr:colOff>
      <xdr:row>23</xdr:row>
      <xdr:rowOff>238126</xdr:rowOff>
    </xdr:from>
    <xdr:to>
      <xdr:col>38</xdr:col>
      <xdr:colOff>238125</xdr:colOff>
      <xdr:row>28</xdr:row>
      <xdr:rowOff>238126</xdr:rowOff>
    </xdr:to>
    <xdr:cxnSp macro="">
      <xdr:nvCxnSpPr>
        <xdr:cNvPr id="42099" name="CNtp38c13routec"/>
        <xdr:cNvCxnSpPr>
          <a:stCxn id="42072" idx="6"/>
          <a:endCxn id="42097" idx="2"/>
        </xdr:cNvCxnSpPr>
      </xdr:nvCxnSpPr>
      <xdr:spPr>
        <a:xfrm>
          <a:off x="185642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238126</xdr:colOff>
      <xdr:row>23</xdr:row>
      <xdr:rowOff>238126</xdr:rowOff>
    </xdr:from>
    <xdr:to>
      <xdr:col>38</xdr:col>
      <xdr:colOff>238125</xdr:colOff>
      <xdr:row>28</xdr:row>
      <xdr:rowOff>238126</xdr:rowOff>
    </xdr:to>
    <xdr:cxnSp macro="">
      <xdr:nvCxnSpPr>
        <xdr:cNvPr id="42098" name="CNtp38c13routev"/>
        <xdr:cNvCxnSpPr>
          <a:stCxn id="42072" idx="6"/>
          <a:endCxn id="42097" idx="2"/>
        </xdr:cNvCxnSpPr>
      </xdr:nvCxnSpPr>
      <xdr:spPr>
        <a:xfrm>
          <a:off x="185642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238126</xdr:colOff>
      <xdr:row>13</xdr:row>
      <xdr:rowOff>238126</xdr:rowOff>
    </xdr:from>
    <xdr:to>
      <xdr:col>38</xdr:col>
      <xdr:colOff>238125</xdr:colOff>
      <xdr:row>18</xdr:row>
      <xdr:rowOff>238126</xdr:rowOff>
    </xdr:to>
    <xdr:cxnSp macro="">
      <xdr:nvCxnSpPr>
        <xdr:cNvPr id="42094" name="CNtp38c12routeb"/>
        <xdr:cNvCxnSpPr>
          <a:stCxn id="42067" idx="6"/>
          <a:endCxn id="42091" idx="2"/>
        </xdr:cNvCxnSpPr>
      </xdr:nvCxnSpPr>
      <xdr:spPr>
        <a:xfrm>
          <a:off x="18564226" y="757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238126</xdr:colOff>
      <xdr:row>13</xdr:row>
      <xdr:rowOff>238126</xdr:rowOff>
    </xdr:from>
    <xdr:to>
      <xdr:col>38</xdr:col>
      <xdr:colOff>238125</xdr:colOff>
      <xdr:row>18</xdr:row>
      <xdr:rowOff>238126</xdr:rowOff>
    </xdr:to>
    <xdr:cxnSp macro="">
      <xdr:nvCxnSpPr>
        <xdr:cNvPr id="42093" name="CNtp38c12routec"/>
        <xdr:cNvCxnSpPr>
          <a:stCxn id="42067" idx="6"/>
          <a:endCxn id="42091" idx="2"/>
        </xdr:cNvCxnSpPr>
      </xdr:nvCxnSpPr>
      <xdr:spPr>
        <a:xfrm>
          <a:off x="18564226" y="757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238126</xdr:colOff>
      <xdr:row>13</xdr:row>
      <xdr:rowOff>238126</xdr:rowOff>
    </xdr:from>
    <xdr:to>
      <xdr:col>38</xdr:col>
      <xdr:colOff>238125</xdr:colOff>
      <xdr:row>18</xdr:row>
      <xdr:rowOff>238126</xdr:rowOff>
    </xdr:to>
    <xdr:cxnSp macro="">
      <xdr:nvCxnSpPr>
        <xdr:cNvPr id="42092" name="CNtp38c12routev"/>
        <xdr:cNvCxnSpPr>
          <a:stCxn id="42067" idx="6"/>
          <a:endCxn id="42091" idx="2"/>
        </xdr:cNvCxnSpPr>
      </xdr:nvCxnSpPr>
      <xdr:spPr>
        <a:xfrm>
          <a:off x="18564226" y="757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238126</xdr:colOff>
      <xdr:row>3</xdr:row>
      <xdr:rowOff>238126</xdr:rowOff>
    </xdr:from>
    <xdr:to>
      <xdr:col>38</xdr:col>
      <xdr:colOff>238125</xdr:colOff>
      <xdr:row>8</xdr:row>
      <xdr:rowOff>238126</xdr:rowOff>
    </xdr:to>
    <xdr:cxnSp macro="">
      <xdr:nvCxnSpPr>
        <xdr:cNvPr id="42086" name="CNtp38c11routeb"/>
        <xdr:cNvCxnSpPr>
          <a:stCxn id="42061" idx="6"/>
          <a:endCxn id="42085" idx="2"/>
        </xdr:cNvCxnSpPr>
      </xdr:nvCxnSpPr>
      <xdr:spPr>
        <a:xfrm>
          <a:off x="18564226" y="2809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238126</xdr:colOff>
      <xdr:row>3</xdr:row>
      <xdr:rowOff>238126</xdr:rowOff>
    </xdr:from>
    <xdr:to>
      <xdr:col>38</xdr:col>
      <xdr:colOff>238125</xdr:colOff>
      <xdr:row>6</xdr:row>
      <xdr:rowOff>238126</xdr:rowOff>
    </xdr:to>
    <xdr:cxnSp macro="">
      <xdr:nvCxnSpPr>
        <xdr:cNvPr id="42082" name="CNtp38c11routec"/>
        <xdr:cNvCxnSpPr>
          <a:stCxn id="42061" idx="6"/>
          <a:endCxn id="42080" idx="2"/>
        </xdr:cNvCxnSpPr>
      </xdr:nvCxnSpPr>
      <xdr:spPr>
        <a:xfrm>
          <a:off x="18564226" y="2809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238126</xdr:colOff>
      <xdr:row>3</xdr:row>
      <xdr:rowOff>238126</xdr:rowOff>
    </xdr:from>
    <xdr:to>
      <xdr:col>38</xdr:col>
      <xdr:colOff>238125</xdr:colOff>
      <xdr:row>6</xdr:row>
      <xdr:rowOff>238126</xdr:rowOff>
    </xdr:to>
    <xdr:cxnSp macro="">
      <xdr:nvCxnSpPr>
        <xdr:cNvPr id="42081" name="CNtp38c11routev"/>
        <xdr:cNvCxnSpPr>
          <a:stCxn id="42061" idx="6"/>
          <a:endCxn id="42080" idx="2"/>
        </xdr:cNvCxnSpPr>
      </xdr:nvCxnSpPr>
      <xdr:spPr>
        <a:xfrm>
          <a:off x="18564226" y="2809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238126</xdr:colOff>
      <xdr:row>23</xdr:row>
      <xdr:rowOff>238126</xdr:rowOff>
    </xdr:from>
    <xdr:to>
      <xdr:col>37</xdr:col>
      <xdr:colOff>238125</xdr:colOff>
      <xdr:row>28</xdr:row>
      <xdr:rowOff>238126</xdr:rowOff>
    </xdr:to>
    <xdr:cxnSp macro="">
      <xdr:nvCxnSpPr>
        <xdr:cNvPr id="42075" name="CNtp37c13routeb"/>
        <xdr:cNvCxnSpPr>
          <a:stCxn id="42057" idx="6"/>
          <a:endCxn id="42072" idx="2"/>
        </xdr:cNvCxnSpPr>
      </xdr:nvCxnSpPr>
      <xdr:spPr>
        <a:xfrm flipV="1">
          <a:off x="180879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238126</xdr:colOff>
      <xdr:row>23</xdr:row>
      <xdr:rowOff>238126</xdr:rowOff>
    </xdr:from>
    <xdr:to>
      <xdr:col>37</xdr:col>
      <xdr:colOff>238125</xdr:colOff>
      <xdr:row>28</xdr:row>
      <xdr:rowOff>238126</xdr:rowOff>
    </xdr:to>
    <xdr:cxnSp macro="">
      <xdr:nvCxnSpPr>
        <xdr:cNvPr id="42074" name="CNtp37c13routec"/>
        <xdr:cNvCxnSpPr>
          <a:stCxn id="42057" idx="6"/>
          <a:endCxn id="42072" idx="2"/>
        </xdr:cNvCxnSpPr>
      </xdr:nvCxnSpPr>
      <xdr:spPr>
        <a:xfrm flipV="1">
          <a:off x="180879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238126</xdr:colOff>
      <xdr:row>23</xdr:row>
      <xdr:rowOff>238126</xdr:rowOff>
    </xdr:from>
    <xdr:to>
      <xdr:col>37</xdr:col>
      <xdr:colOff>238125</xdr:colOff>
      <xdr:row>24</xdr:row>
      <xdr:rowOff>238126</xdr:rowOff>
    </xdr:to>
    <xdr:cxnSp macro="">
      <xdr:nvCxnSpPr>
        <xdr:cNvPr id="42073" name="CNtp37c13routev"/>
        <xdr:cNvCxnSpPr>
          <a:stCxn id="42054" idx="6"/>
          <a:endCxn id="42072" idx="2"/>
        </xdr:cNvCxnSpPr>
      </xdr:nvCxnSpPr>
      <xdr:spPr>
        <a:xfrm flipV="1">
          <a:off x="1808797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238126</xdr:colOff>
      <xdr:row>13</xdr:row>
      <xdr:rowOff>238126</xdr:rowOff>
    </xdr:from>
    <xdr:to>
      <xdr:col>37</xdr:col>
      <xdr:colOff>238125</xdr:colOff>
      <xdr:row>16</xdr:row>
      <xdr:rowOff>238126</xdr:rowOff>
    </xdr:to>
    <xdr:cxnSp macro="">
      <xdr:nvCxnSpPr>
        <xdr:cNvPr id="42070" name="CNtp37c12routeb"/>
        <xdr:cNvCxnSpPr>
          <a:stCxn id="42045" idx="6"/>
          <a:endCxn id="42067" idx="2"/>
        </xdr:cNvCxnSpPr>
      </xdr:nvCxnSpPr>
      <xdr:spPr>
        <a:xfrm flipV="1">
          <a:off x="18087976" y="7572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238126</xdr:colOff>
      <xdr:row>13</xdr:row>
      <xdr:rowOff>238126</xdr:rowOff>
    </xdr:from>
    <xdr:to>
      <xdr:col>37</xdr:col>
      <xdr:colOff>238125</xdr:colOff>
      <xdr:row>16</xdr:row>
      <xdr:rowOff>238126</xdr:rowOff>
    </xdr:to>
    <xdr:cxnSp macro="">
      <xdr:nvCxnSpPr>
        <xdr:cNvPr id="42069" name="CNtp37c12routec"/>
        <xdr:cNvCxnSpPr>
          <a:stCxn id="42045" idx="6"/>
          <a:endCxn id="42067" idx="2"/>
        </xdr:cNvCxnSpPr>
      </xdr:nvCxnSpPr>
      <xdr:spPr>
        <a:xfrm flipV="1">
          <a:off x="18087976" y="7572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238126</xdr:colOff>
      <xdr:row>13</xdr:row>
      <xdr:rowOff>238126</xdr:rowOff>
    </xdr:from>
    <xdr:to>
      <xdr:col>37</xdr:col>
      <xdr:colOff>238125</xdr:colOff>
      <xdr:row>18</xdr:row>
      <xdr:rowOff>238126</xdr:rowOff>
    </xdr:to>
    <xdr:cxnSp macro="">
      <xdr:nvCxnSpPr>
        <xdr:cNvPr id="42068" name="CNtp37c12routev"/>
        <xdr:cNvCxnSpPr>
          <a:stCxn id="42050" idx="6"/>
          <a:endCxn id="42067" idx="2"/>
        </xdr:cNvCxnSpPr>
      </xdr:nvCxnSpPr>
      <xdr:spPr>
        <a:xfrm flipV="1">
          <a:off x="18087976" y="757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238126</xdr:colOff>
      <xdr:row>3</xdr:row>
      <xdr:rowOff>238126</xdr:rowOff>
    </xdr:from>
    <xdr:to>
      <xdr:col>37</xdr:col>
      <xdr:colOff>238125</xdr:colOff>
      <xdr:row>8</xdr:row>
      <xdr:rowOff>238126</xdr:rowOff>
    </xdr:to>
    <xdr:cxnSp macro="">
      <xdr:nvCxnSpPr>
        <xdr:cNvPr id="42064" name="CNtp37c11routeb"/>
        <xdr:cNvCxnSpPr>
          <a:stCxn id="42038" idx="6"/>
          <a:endCxn id="42061" idx="2"/>
        </xdr:cNvCxnSpPr>
      </xdr:nvCxnSpPr>
      <xdr:spPr>
        <a:xfrm flipV="1">
          <a:off x="18087976" y="2809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238126</xdr:colOff>
      <xdr:row>3</xdr:row>
      <xdr:rowOff>238126</xdr:rowOff>
    </xdr:from>
    <xdr:to>
      <xdr:col>37</xdr:col>
      <xdr:colOff>238125</xdr:colOff>
      <xdr:row>10</xdr:row>
      <xdr:rowOff>238126</xdr:rowOff>
    </xdr:to>
    <xdr:cxnSp macro="">
      <xdr:nvCxnSpPr>
        <xdr:cNvPr id="42063" name="CNtp37c11routec"/>
        <xdr:cNvCxnSpPr>
          <a:stCxn id="42042" idx="6"/>
          <a:endCxn id="42061" idx="2"/>
        </xdr:cNvCxnSpPr>
      </xdr:nvCxnSpPr>
      <xdr:spPr>
        <a:xfrm flipV="1">
          <a:off x="18087976" y="2809876"/>
          <a:ext cx="476249" cy="3333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238126</xdr:colOff>
      <xdr:row>3</xdr:row>
      <xdr:rowOff>238126</xdr:rowOff>
    </xdr:from>
    <xdr:to>
      <xdr:col>37</xdr:col>
      <xdr:colOff>238125</xdr:colOff>
      <xdr:row>4</xdr:row>
      <xdr:rowOff>238126</xdr:rowOff>
    </xdr:to>
    <xdr:cxnSp macro="">
      <xdr:nvCxnSpPr>
        <xdr:cNvPr id="42062" name="CNtp37c11routev"/>
        <xdr:cNvCxnSpPr>
          <a:stCxn id="42032" idx="6"/>
          <a:endCxn id="42061" idx="2"/>
        </xdr:cNvCxnSpPr>
      </xdr:nvCxnSpPr>
      <xdr:spPr>
        <a:xfrm flipV="1">
          <a:off x="1808797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238126</xdr:colOff>
      <xdr:row>28</xdr:row>
      <xdr:rowOff>238126</xdr:rowOff>
    </xdr:from>
    <xdr:to>
      <xdr:col>36</xdr:col>
      <xdr:colOff>238125</xdr:colOff>
      <xdr:row>28</xdr:row>
      <xdr:rowOff>250826</xdr:rowOff>
    </xdr:to>
    <xdr:cxnSp macro="">
      <xdr:nvCxnSpPr>
        <xdr:cNvPr id="42059" name="CNtp36c13routeb"/>
        <xdr:cNvCxnSpPr>
          <a:stCxn id="42027" idx="6"/>
          <a:endCxn id="42057" idx="2"/>
        </xdr:cNvCxnSpPr>
      </xdr:nvCxnSpPr>
      <xdr:spPr>
        <a:xfrm>
          <a:off x="1761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238126</xdr:colOff>
      <xdr:row>28</xdr:row>
      <xdr:rowOff>238126</xdr:rowOff>
    </xdr:from>
    <xdr:to>
      <xdr:col>36</xdr:col>
      <xdr:colOff>238125</xdr:colOff>
      <xdr:row>28</xdr:row>
      <xdr:rowOff>250826</xdr:rowOff>
    </xdr:to>
    <xdr:cxnSp macro="">
      <xdr:nvCxnSpPr>
        <xdr:cNvPr id="42058" name="CNtp36c13routec"/>
        <xdr:cNvCxnSpPr>
          <a:stCxn id="42027" idx="6"/>
          <a:endCxn id="42057" idx="2"/>
        </xdr:cNvCxnSpPr>
      </xdr:nvCxnSpPr>
      <xdr:spPr>
        <a:xfrm>
          <a:off x="17611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238126</xdr:colOff>
      <xdr:row>24</xdr:row>
      <xdr:rowOff>238126</xdr:rowOff>
    </xdr:from>
    <xdr:to>
      <xdr:col>36</xdr:col>
      <xdr:colOff>238125</xdr:colOff>
      <xdr:row>24</xdr:row>
      <xdr:rowOff>250826</xdr:rowOff>
    </xdr:to>
    <xdr:cxnSp macro="">
      <xdr:nvCxnSpPr>
        <xdr:cNvPr id="42055" name="CNtp36c13routev"/>
        <xdr:cNvCxnSpPr>
          <a:stCxn id="42024" idx="6"/>
          <a:endCxn id="42054" idx="2"/>
        </xdr:cNvCxnSpPr>
      </xdr:nvCxnSpPr>
      <xdr:spPr>
        <a:xfrm>
          <a:off x="176117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238126</xdr:colOff>
      <xdr:row>18</xdr:row>
      <xdr:rowOff>238126</xdr:rowOff>
    </xdr:from>
    <xdr:to>
      <xdr:col>36</xdr:col>
      <xdr:colOff>238125</xdr:colOff>
      <xdr:row>18</xdr:row>
      <xdr:rowOff>250826</xdr:rowOff>
    </xdr:to>
    <xdr:cxnSp macro="">
      <xdr:nvCxnSpPr>
        <xdr:cNvPr id="42051" name="CNtp36c12routev"/>
        <xdr:cNvCxnSpPr>
          <a:stCxn id="42020" idx="6"/>
          <a:endCxn id="42050" idx="2"/>
        </xdr:cNvCxnSpPr>
      </xdr:nvCxnSpPr>
      <xdr:spPr>
        <a:xfrm>
          <a:off x="1761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238126</xdr:colOff>
      <xdr:row>16</xdr:row>
      <xdr:rowOff>238126</xdr:rowOff>
    </xdr:from>
    <xdr:to>
      <xdr:col>36</xdr:col>
      <xdr:colOff>238125</xdr:colOff>
      <xdr:row>16</xdr:row>
      <xdr:rowOff>250826</xdr:rowOff>
    </xdr:to>
    <xdr:cxnSp macro="">
      <xdr:nvCxnSpPr>
        <xdr:cNvPr id="42047" name="CNtp36c12routeb"/>
        <xdr:cNvCxnSpPr>
          <a:stCxn id="42015" idx="6"/>
          <a:endCxn id="42045" idx="2"/>
        </xdr:cNvCxnSpPr>
      </xdr:nvCxnSpPr>
      <xdr:spPr>
        <a:xfrm>
          <a:off x="17611726" y="900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238126</xdr:colOff>
      <xdr:row>16</xdr:row>
      <xdr:rowOff>238126</xdr:rowOff>
    </xdr:from>
    <xdr:to>
      <xdr:col>36</xdr:col>
      <xdr:colOff>238125</xdr:colOff>
      <xdr:row>16</xdr:row>
      <xdr:rowOff>250826</xdr:rowOff>
    </xdr:to>
    <xdr:cxnSp macro="">
      <xdr:nvCxnSpPr>
        <xdr:cNvPr id="42046" name="CNtp36c12routec"/>
        <xdr:cNvCxnSpPr>
          <a:stCxn id="42015" idx="6"/>
          <a:endCxn id="42045" idx="2"/>
        </xdr:cNvCxnSpPr>
      </xdr:nvCxnSpPr>
      <xdr:spPr>
        <a:xfrm>
          <a:off x="17611726" y="900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238126</xdr:colOff>
      <xdr:row>10</xdr:row>
      <xdr:rowOff>238126</xdr:rowOff>
    </xdr:from>
    <xdr:to>
      <xdr:col>36</xdr:col>
      <xdr:colOff>238125</xdr:colOff>
      <xdr:row>10</xdr:row>
      <xdr:rowOff>250826</xdr:rowOff>
    </xdr:to>
    <xdr:cxnSp macro="">
      <xdr:nvCxnSpPr>
        <xdr:cNvPr id="42043" name="CNtp36c11routec"/>
        <xdr:cNvCxnSpPr>
          <a:stCxn id="42012" idx="6"/>
          <a:endCxn id="42042" idx="2"/>
        </xdr:cNvCxnSpPr>
      </xdr:nvCxnSpPr>
      <xdr:spPr>
        <a:xfrm>
          <a:off x="17611726" y="614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238126</xdr:colOff>
      <xdr:row>8</xdr:row>
      <xdr:rowOff>238126</xdr:rowOff>
    </xdr:from>
    <xdr:to>
      <xdr:col>36</xdr:col>
      <xdr:colOff>238125</xdr:colOff>
      <xdr:row>8</xdr:row>
      <xdr:rowOff>250826</xdr:rowOff>
    </xdr:to>
    <xdr:cxnSp macro="">
      <xdr:nvCxnSpPr>
        <xdr:cNvPr id="42039" name="CNtp36c11routeb"/>
        <xdr:cNvCxnSpPr>
          <a:stCxn id="42008" idx="6"/>
          <a:endCxn id="42038" idx="2"/>
        </xdr:cNvCxnSpPr>
      </xdr:nvCxnSpPr>
      <xdr:spPr>
        <a:xfrm>
          <a:off x="17611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238126</xdr:colOff>
      <xdr:row>4</xdr:row>
      <xdr:rowOff>238126</xdr:rowOff>
    </xdr:from>
    <xdr:to>
      <xdr:col>36</xdr:col>
      <xdr:colOff>238125</xdr:colOff>
      <xdr:row>4</xdr:row>
      <xdr:rowOff>250826</xdr:rowOff>
    </xdr:to>
    <xdr:cxnSp macro="">
      <xdr:nvCxnSpPr>
        <xdr:cNvPr id="42033" name="CNtp36c11routev"/>
        <xdr:cNvCxnSpPr>
          <a:stCxn id="42002" idx="6"/>
          <a:endCxn id="42032" idx="2"/>
        </xdr:cNvCxnSpPr>
      </xdr:nvCxnSpPr>
      <xdr:spPr>
        <a:xfrm>
          <a:off x="1761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238126</xdr:colOff>
      <xdr:row>28</xdr:row>
      <xdr:rowOff>238126</xdr:rowOff>
    </xdr:from>
    <xdr:to>
      <xdr:col>35</xdr:col>
      <xdr:colOff>238125</xdr:colOff>
      <xdr:row>28</xdr:row>
      <xdr:rowOff>250826</xdr:rowOff>
    </xdr:to>
    <xdr:cxnSp macro="">
      <xdr:nvCxnSpPr>
        <xdr:cNvPr id="42029" name="CNtp35c13routeb"/>
        <xdr:cNvCxnSpPr>
          <a:stCxn id="41997" idx="6"/>
          <a:endCxn id="42027" idx="2"/>
        </xdr:cNvCxnSpPr>
      </xdr:nvCxnSpPr>
      <xdr:spPr>
        <a:xfrm>
          <a:off x="1713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238126</xdr:colOff>
      <xdr:row>28</xdr:row>
      <xdr:rowOff>238126</xdr:rowOff>
    </xdr:from>
    <xdr:to>
      <xdr:col>35</xdr:col>
      <xdr:colOff>238125</xdr:colOff>
      <xdr:row>28</xdr:row>
      <xdr:rowOff>250826</xdr:rowOff>
    </xdr:to>
    <xdr:cxnSp macro="">
      <xdr:nvCxnSpPr>
        <xdr:cNvPr id="42028" name="CNtp35c13routec"/>
        <xdr:cNvCxnSpPr>
          <a:stCxn id="41997" idx="6"/>
          <a:endCxn id="42027" idx="2"/>
        </xdr:cNvCxnSpPr>
      </xdr:nvCxnSpPr>
      <xdr:spPr>
        <a:xfrm>
          <a:off x="17135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238126</xdr:colOff>
      <xdr:row>24</xdr:row>
      <xdr:rowOff>238126</xdr:rowOff>
    </xdr:from>
    <xdr:to>
      <xdr:col>35</xdr:col>
      <xdr:colOff>238125</xdr:colOff>
      <xdr:row>24</xdr:row>
      <xdr:rowOff>250826</xdr:rowOff>
    </xdr:to>
    <xdr:cxnSp macro="">
      <xdr:nvCxnSpPr>
        <xdr:cNvPr id="42025" name="CNtp35c13routev"/>
        <xdr:cNvCxnSpPr>
          <a:stCxn id="41994" idx="6"/>
          <a:endCxn id="42024" idx="2"/>
        </xdr:cNvCxnSpPr>
      </xdr:nvCxnSpPr>
      <xdr:spPr>
        <a:xfrm>
          <a:off x="171354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238126</xdr:colOff>
      <xdr:row>15</xdr:row>
      <xdr:rowOff>238126</xdr:rowOff>
    </xdr:from>
    <xdr:to>
      <xdr:col>35</xdr:col>
      <xdr:colOff>238125</xdr:colOff>
      <xdr:row>18</xdr:row>
      <xdr:rowOff>238126</xdr:rowOff>
    </xdr:to>
    <xdr:cxnSp macro="">
      <xdr:nvCxnSpPr>
        <xdr:cNvPr id="42021" name="CNtp35c12routev"/>
        <xdr:cNvCxnSpPr>
          <a:stCxn id="41988" idx="6"/>
          <a:endCxn id="42020" idx="2"/>
        </xdr:cNvCxnSpPr>
      </xdr:nvCxnSpPr>
      <xdr:spPr>
        <a:xfrm>
          <a:off x="1713547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238126</xdr:colOff>
      <xdr:row>15</xdr:row>
      <xdr:rowOff>238126</xdr:rowOff>
    </xdr:from>
    <xdr:to>
      <xdr:col>35</xdr:col>
      <xdr:colOff>238125</xdr:colOff>
      <xdr:row>16</xdr:row>
      <xdr:rowOff>238126</xdr:rowOff>
    </xdr:to>
    <xdr:cxnSp macro="">
      <xdr:nvCxnSpPr>
        <xdr:cNvPr id="42017" name="CNtp35c12routeb"/>
        <xdr:cNvCxnSpPr>
          <a:stCxn id="41988" idx="6"/>
          <a:endCxn id="42015" idx="2"/>
        </xdr:cNvCxnSpPr>
      </xdr:nvCxnSpPr>
      <xdr:spPr>
        <a:xfrm>
          <a:off x="17135476" y="852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238126</xdr:colOff>
      <xdr:row>15</xdr:row>
      <xdr:rowOff>238126</xdr:rowOff>
    </xdr:from>
    <xdr:to>
      <xdr:col>35</xdr:col>
      <xdr:colOff>238125</xdr:colOff>
      <xdr:row>16</xdr:row>
      <xdr:rowOff>238126</xdr:rowOff>
    </xdr:to>
    <xdr:cxnSp macro="">
      <xdr:nvCxnSpPr>
        <xdr:cNvPr id="42016" name="CNtp35c12routec"/>
        <xdr:cNvCxnSpPr>
          <a:stCxn id="41988" idx="6"/>
          <a:endCxn id="42015" idx="2"/>
        </xdr:cNvCxnSpPr>
      </xdr:nvCxnSpPr>
      <xdr:spPr>
        <a:xfrm>
          <a:off x="17135476" y="852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238126</xdr:colOff>
      <xdr:row>10</xdr:row>
      <xdr:rowOff>238126</xdr:rowOff>
    </xdr:from>
    <xdr:to>
      <xdr:col>35</xdr:col>
      <xdr:colOff>238125</xdr:colOff>
      <xdr:row>10</xdr:row>
      <xdr:rowOff>250826</xdr:rowOff>
    </xdr:to>
    <xdr:cxnSp macro="">
      <xdr:nvCxnSpPr>
        <xdr:cNvPr id="42013" name="CNtp35c11routec"/>
        <xdr:cNvCxnSpPr>
          <a:stCxn id="41985" idx="6"/>
          <a:endCxn id="42012" idx="2"/>
        </xdr:cNvCxnSpPr>
      </xdr:nvCxnSpPr>
      <xdr:spPr>
        <a:xfrm>
          <a:off x="17135476" y="614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238126</xdr:colOff>
      <xdr:row>8</xdr:row>
      <xdr:rowOff>238126</xdr:rowOff>
    </xdr:from>
    <xdr:to>
      <xdr:col>35</xdr:col>
      <xdr:colOff>238125</xdr:colOff>
      <xdr:row>8</xdr:row>
      <xdr:rowOff>250826</xdr:rowOff>
    </xdr:to>
    <xdr:cxnSp macro="">
      <xdr:nvCxnSpPr>
        <xdr:cNvPr id="42009" name="CNtp35c11routeb"/>
        <xdr:cNvCxnSpPr>
          <a:stCxn id="41981" idx="6"/>
          <a:endCxn id="42008" idx="2"/>
        </xdr:cNvCxnSpPr>
      </xdr:nvCxnSpPr>
      <xdr:spPr>
        <a:xfrm>
          <a:off x="17135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238126</xdr:colOff>
      <xdr:row>4</xdr:row>
      <xdr:rowOff>238126</xdr:rowOff>
    </xdr:from>
    <xdr:to>
      <xdr:col>35</xdr:col>
      <xdr:colOff>238125</xdr:colOff>
      <xdr:row>4</xdr:row>
      <xdr:rowOff>250826</xdr:rowOff>
    </xdr:to>
    <xdr:cxnSp macro="">
      <xdr:nvCxnSpPr>
        <xdr:cNvPr id="42003" name="CNtp35c11routev"/>
        <xdr:cNvCxnSpPr>
          <a:stCxn id="41975" idx="6"/>
          <a:endCxn id="42002" idx="2"/>
        </xdr:cNvCxnSpPr>
      </xdr:nvCxnSpPr>
      <xdr:spPr>
        <a:xfrm>
          <a:off x="1713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238126</xdr:colOff>
      <xdr:row>28</xdr:row>
      <xdr:rowOff>238126</xdr:rowOff>
    </xdr:from>
    <xdr:to>
      <xdr:col>34</xdr:col>
      <xdr:colOff>238125</xdr:colOff>
      <xdr:row>28</xdr:row>
      <xdr:rowOff>250826</xdr:rowOff>
    </xdr:to>
    <xdr:cxnSp macro="">
      <xdr:nvCxnSpPr>
        <xdr:cNvPr id="41999" name="CNtp34c13routeb"/>
        <xdr:cNvCxnSpPr>
          <a:stCxn id="41970" idx="6"/>
          <a:endCxn id="41997" idx="2"/>
        </xdr:cNvCxnSpPr>
      </xdr:nvCxnSpPr>
      <xdr:spPr>
        <a:xfrm>
          <a:off x="1665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238126</xdr:colOff>
      <xdr:row>28</xdr:row>
      <xdr:rowOff>238126</xdr:rowOff>
    </xdr:from>
    <xdr:to>
      <xdr:col>34</xdr:col>
      <xdr:colOff>238125</xdr:colOff>
      <xdr:row>28</xdr:row>
      <xdr:rowOff>250826</xdr:rowOff>
    </xdr:to>
    <xdr:cxnSp macro="">
      <xdr:nvCxnSpPr>
        <xdr:cNvPr id="41998" name="CNtp34c13routec"/>
        <xdr:cNvCxnSpPr>
          <a:stCxn id="41970" idx="6"/>
          <a:endCxn id="41997" idx="2"/>
        </xdr:cNvCxnSpPr>
      </xdr:nvCxnSpPr>
      <xdr:spPr>
        <a:xfrm>
          <a:off x="16659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238126</xdr:colOff>
      <xdr:row>24</xdr:row>
      <xdr:rowOff>238126</xdr:rowOff>
    </xdr:from>
    <xdr:to>
      <xdr:col>34</xdr:col>
      <xdr:colOff>238125</xdr:colOff>
      <xdr:row>24</xdr:row>
      <xdr:rowOff>250826</xdr:rowOff>
    </xdr:to>
    <xdr:cxnSp macro="">
      <xdr:nvCxnSpPr>
        <xdr:cNvPr id="41995" name="CNtp34c13routev"/>
        <xdr:cNvCxnSpPr>
          <a:stCxn id="41968" idx="6"/>
          <a:endCxn id="41994" idx="2"/>
        </xdr:cNvCxnSpPr>
      </xdr:nvCxnSpPr>
      <xdr:spPr>
        <a:xfrm>
          <a:off x="166592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238126</xdr:colOff>
      <xdr:row>15</xdr:row>
      <xdr:rowOff>238126</xdr:rowOff>
    </xdr:from>
    <xdr:to>
      <xdr:col>34</xdr:col>
      <xdr:colOff>238125</xdr:colOff>
      <xdr:row>18</xdr:row>
      <xdr:rowOff>238126</xdr:rowOff>
    </xdr:to>
    <xdr:cxnSp macro="">
      <xdr:nvCxnSpPr>
        <xdr:cNvPr id="41991" name="CNtp34c12routeb"/>
        <xdr:cNvCxnSpPr>
          <a:stCxn id="41964" idx="6"/>
          <a:endCxn id="41988" idx="2"/>
        </xdr:cNvCxnSpPr>
      </xdr:nvCxnSpPr>
      <xdr:spPr>
        <a:xfrm flipV="1">
          <a:off x="1665922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238126</xdr:colOff>
      <xdr:row>15</xdr:row>
      <xdr:rowOff>238126</xdr:rowOff>
    </xdr:from>
    <xdr:to>
      <xdr:col>34</xdr:col>
      <xdr:colOff>238125</xdr:colOff>
      <xdr:row>18</xdr:row>
      <xdr:rowOff>238126</xdr:rowOff>
    </xdr:to>
    <xdr:cxnSp macro="">
      <xdr:nvCxnSpPr>
        <xdr:cNvPr id="41990" name="CNtp34c12routec"/>
        <xdr:cNvCxnSpPr>
          <a:stCxn id="41964" idx="6"/>
          <a:endCxn id="41988" idx="2"/>
        </xdr:cNvCxnSpPr>
      </xdr:nvCxnSpPr>
      <xdr:spPr>
        <a:xfrm flipV="1">
          <a:off x="1665922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238126</xdr:colOff>
      <xdr:row>14</xdr:row>
      <xdr:rowOff>238126</xdr:rowOff>
    </xdr:from>
    <xdr:to>
      <xdr:col>34</xdr:col>
      <xdr:colOff>238125</xdr:colOff>
      <xdr:row>15</xdr:row>
      <xdr:rowOff>238126</xdr:rowOff>
    </xdr:to>
    <xdr:cxnSp macro="">
      <xdr:nvCxnSpPr>
        <xdr:cNvPr id="41989" name="CNtp34c12routev"/>
        <xdr:cNvCxnSpPr>
          <a:stCxn id="41961" idx="6"/>
          <a:endCxn id="41988" idx="2"/>
        </xdr:cNvCxnSpPr>
      </xdr:nvCxnSpPr>
      <xdr:spPr>
        <a:xfrm>
          <a:off x="16659226" y="80486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238126</xdr:colOff>
      <xdr:row>10</xdr:row>
      <xdr:rowOff>238126</xdr:rowOff>
    </xdr:from>
    <xdr:to>
      <xdr:col>34</xdr:col>
      <xdr:colOff>238125</xdr:colOff>
      <xdr:row>10</xdr:row>
      <xdr:rowOff>250826</xdr:rowOff>
    </xdr:to>
    <xdr:cxnSp macro="">
      <xdr:nvCxnSpPr>
        <xdr:cNvPr id="41986" name="CNtp34c11routec"/>
        <xdr:cNvCxnSpPr>
          <a:stCxn id="41958" idx="6"/>
          <a:endCxn id="41985" idx="2"/>
        </xdr:cNvCxnSpPr>
      </xdr:nvCxnSpPr>
      <xdr:spPr>
        <a:xfrm>
          <a:off x="16659226" y="614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238126</xdr:colOff>
      <xdr:row>8</xdr:row>
      <xdr:rowOff>238126</xdr:rowOff>
    </xdr:from>
    <xdr:to>
      <xdr:col>34</xdr:col>
      <xdr:colOff>238125</xdr:colOff>
      <xdr:row>8</xdr:row>
      <xdr:rowOff>250826</xdr:rowOff>
    </xdr:to>
    <xdr:cxnSp macro="">
      <xdr:nvCxnSpPr>
        <xdr:cNvPr id="41982" name="CNtp34c11routeb"/>
        <xdr:cNvCxnSpPr>
          <a:stCxn id="41954" idx="6"/>
          <a:endCxn id="41981" idx="2"/>
        </xdr:cNvCxnSpPr>
      </xdr:nvCxnSpPr>
      <xdr:spPr>
        <a:xfrm>
          <a:off x="166592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238126</xdr:colOff>
      <xdr:row>4</xdr:row>
      <xdr:rowOff>238126</xdr:rowOff>
    </xdr:from>
    <xdr:to>
      <xdr:col>34</xdr:col>
      <xdr:colOff>238125</xdr:colOff>
      <xdr:row>4</xdr:row>
      <xdr:rowOff>250826</xdr:rowOff>
    </xdr:to>
    <xdr:cxnSp macro="">
      <xdr:nvCxnSpPr>
        <xdr:cNvPr id="41976" name="CNtp34c11routev"/>
        <xdr:cNvCxnSpPr>
          <a:stCxn id="41948" idx="6"/>
          <a:endCxn id="41975" idx="2"/>
        </xdr:cNvCxnSpPr>
      </xdr:nvCxnSpPr>
      <xdr:spPr>
        <a:xfrm>
          <a:off x="1665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238126</xdr:colOff>
      <xdr:row>28</xdr:row>
      <xdr:rowOff>238126</xdr:rowOff>
    </xdr:from>
    <xdr:to>
      <xdr:col>33</xdr:col>
      <xdr:colOff>238125</xdr:colOff>
      <xdr:row>28</xdr:row>
      <xdr:rowOff>250826</xdr:rowOff>
    </xdr:to>
    <xdr:cxnSp macro="">
      <xdr:nvCxnSpPr>
        <xdr:cNvPr id="41972" name="CNtp33c13routeb"/>
        <xdr:cNvCxnSpPr>
          <a:stCxn id="41943" idx="6"/>
          <a:endCxn id="41970" idx="2"/>
        </xdr:cNvCxnSpPr>
      </xdr:nvCxnSpPr>
      <xdr:spPr>
        <a:xfrm>
          <a:off x="1618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238126</xdr:colOff>
      <xdr:row>28</xdr:row>
      <xdr:rowOff>238126</xdr:rowOff>
    </xdr:from>
    <xdr:to>
      <xdr:col>33</xdr:col>
      <xdr:colOff>238125</xdr:colOff>
      <xdr:row>28</xdr:row>
      <xdr:rowOff>250826</xdr:rowOff>
    </xdr:to>
    <xdr:cxnSp macro="">
      <xdr:nvCxnSpPr>
        <xdr:cNvPr id="41971" name="CNtp33c13routec"/>
        <xdr:cNvCxnSpPr>
          <a:stCxn id="41943" idx="6"/>
          <a:endCxn id="41970" idx="2"/>
        </xdr:cNvCxnSpPr>
      </xdr:nvCxnSpPr>
      <xdr:spPr>
        <a:xfrm>
          <a:off x="161829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238126</xdr:colOff>
      <xdr:row>24</xdr:row>
      <xdr:rowOff>238126</xdr:rowOff>
    </xdr:from>
    <xdr:to>
      <xdr:col>33</xdr:col>
      <xdr:colOff>238125</xdr:colOff>
      <xdr:row>24</xdr:row>
      <xdr:rowOff>250826</xdr:rowOff>
    </xdr:to>
    <xdr:cxnSp macro="">
      <xdr:nvCxnSpPr>
        <xdr:cNvPr id="41969" name="CNtp33c13routev"/>
        <xdr:cNvCxnSpPr>
          <a:stCxn id="41939" idx="6"/>
          <a:endCxn id="41968" idx="2"/>
        </xdr:cNvCxnSpPr>
      </xdr:nvCxnSpPr>
      <xdr:spPr>
        <a:xfrm>
          <a:off x="161829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238126</xdr:colOff>
      <xdr:row>18</xdr:row>
      <xdr:rowOff>238126</xdr:rowOff>
    </xdr:from>
    <xdr:to>
      <xdr:col>33</xdr:col>
      <xdr:colOff>238125</xdr:colOff>
      <xdr:row>18</xdr:row>
      <xdr:rowOff>250826</xdr:rowOff>
    </xdr:to>
    <xdr:cxnSp macro="">
      <xdr:nvCxnSpPr>
        <xdr:cNvPr id="41966" name="CNtp33c12routeb"/>
        <xdr:cNvCxnSpPr>
          <a:stCxn id="41935" idx="6"/>
          <a:endCxn id="41964" idx="2"/>
        </xdr:cNvCxnSpPr>
      </xdr:nvCxnSpPr>
      <xdr:spPr>
        <a:xfrm>
          <a:off x="1618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238126</xdr:colOff>
      <xdr:row>18</xdr:row>
      <xdr:rowOff>238126</xdr:rowOff>
    </xdr:from>
    <xdr:to>
      <xdr:col>33</xdr:col>
      <xdr:colOff>238125</xdr:colOff>
      <xdr:row>18</xdr:row>
      <xdr:rowOff>250826</xdr:rowOff>
    </xdr:to>
    <xdr:cxnSp macro="">
      <xdr:nvCxnSpPr>
        <xdr:cNvPr id="41965" name="CNtp33c12routec"/>
        <xdr:cNvCxnSpPr>
          <a:stCxn id="41935" idx="6"/>
          <a:endCxn id="41964" idx="2"/>
        </xdr:cNvCxnSpPr>
      </xdr:nvCxnSpPr>
      <xdr:spPr>
        <a:xfrm>
          <a:off x="1618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238126</xdr:colOff>
      <xdr:row>14</xdr:row>
      <xdr:rowOff>238126</xdr:rowOff>
    </xdr:from>
    <xdr:to>
      <xdr:col>33</xdr:col>
      <xdr:colOff>238125</xdr:colOff>
      <xdr:row>18</xdr:row>
      <xdr:rowOff>238126</xdr:rowOff>
    </xdr:to>
    <xdr:cxnSp macro="">
      <xdr:nvCxnSpPr>
        <xdr:cNvPr id="41962" name="CNtp33c12routev"/>
        <xdr:cNvCxnSpPr>
          <a:stCxn id="41935" idx="6"/>
          <a:endCxn id="41961" idx="2"/>
        </xdr:cNvCxnSpPr>
      </xdr:nvCxnSpPr>
      <xdr:spPr>
        <a:xfrm flipV="1">
          <a:off x="161829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238126</xdr:colOff>
      <xdr:row>10</xdr:row>
      <xdr:rowOff>238126</xdr:rowOff>
    </xdr:from>
    <xdr:to>
      <xdr:col>33</xdr:col>
      <xdr:colOff>238125</xdr:colOff>
      <xdr:row>10</xdr:row>
      <xdr:rowOff>250826</xdr:rowOff>
    </xdr:to>
    <xdr:cxnSp macro="">
      <xdr:nvCxnSpPr>
        <xdr:cNvPr id="41959" name="CNtp33c11routec"/>
        <xdr:cNvCxnSpPr>
          <a:stCxn id="41929" idx="6"/>
          <a:endCxn id="41958" idx="2"/>
        </xdr:cNvCxnSpPr>
      </xdr:nvCxnSpPr>
      <xdr:spPr>
        <a:xfrm>
          <a:off x="16182976" y="614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238126</xdr:colOff>
      <xdr:row>8</xdr:row>
      <xdr:rowOff>238126</xdr:rowOff>
    </xdr:from>
    <xdr:to>
      <xdr:col>33</xdr:col>
      <xdr:colOff>238125</xdr:colOff>
      <xdr:row>8</xdr:row>
      <xdr:rowOff>250826</xdr:rowOff>
    </xdr:to>
    <xdr:cxnSp macro="">
      <xdr:nvCxnSpPr>
        <xdr:cNvPr id="41955" name="CNtp33c11routeb"/>
        <xdr:cNvCxnSpPr>
          <a:stCxn id="41927" idx="6"/>
          <a:endCxn id="41954" idx="2"/>
        </xdr:cNvCxnSpPr>
      </xdr:nvCxnSpPr>
      <xdr:spPr>
        <a:xfrm>
          <a:off x="16182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238126</xdr:colOff>
      <xdr:row>4</xdr:row>
      <xdr:rowOff>238126</xdr:rowOff>
    </xdr:from>
    <xdr:to>
      <xdr:col>33</xdr:col>
      <xdr:colOff>238125</xdr:colOff>
      <xdr:row>4</xdr:row>
      <xdr:rowOff>250826</xdr:rowOff>
    </xdr:to>
    <xdr:cxnSp macro="">
      <xdr:nvCxnSpPr>
        <xdr:cNvPr id="41949" name="CNtp33c11routev"/>
        <xdr:cNvCxnSpPr>
          <a:stCxn id="41923" idx="6"/>
          <a:endCxn id="41948" idx="2"/>
        </xdr:cNvCxnSpPr>
      </xdr:nvCxnSpPr>
      <xdr:spPr>
        <a:xfrm>
          <a:off x="1618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238126</xdr:colOff>
      <xdr:row>28</xdr:row>
      <xdr:rowOff>238126</xdr:rowOff>
    </xdr:from>
    <xdr:to>
      <xdr:col>32</xdr:col>
      <xdr:colOff>238125</xdr:colOff>
      <xdr:row>28</xdr:row>
      <xdr:rowOff>250826</xdr:rowOff>
    </xdr:to>
    <xdr:cxnSp macro="">
      <xdr:nvCxnSpPr>
        <xdr:cNvPr id="41945" name="CNtp32c13routeb"/>
        <xdr:cNvCxnSpPr>
          <a:stCxn id="41919" idx="6"/>
          <a:endCxn id="41943" idx="2"/>
        </xdr:cNvCxnSpPr>
      </xdr:nvCxnSpPr>
      <xdr:spPr>
        <a:xfrm>
          <a:off x="1570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238126</xdr:colOff>
      <xdr:row>28</xdr:row>
      <xdr:rowOff>238126</xdr:rowOff>
    </xdr:from>
    <xdr:to>
      <xdr:col>32</xdr:col>
      <xdr:colOff>238125</xdr:colOff>
      <xdr:row>28</xdr:row>
      <xdr:rowOff>250826</xdr:rowOff>
    </xdr:to>
    <xdr:cxnSp macro="">
      <xdr:nvCxnSpPr>
        <xdr:cNvPr id="41944" name="CNtp32c13routec"/>
        <xdr:cNvCxnSpPr>
          <a:stCxn id="41919" idx="6"/>
          <a:endCxn id="41943" idx="2"/>
        </xdr:cNvCxnSpPr>
      </xdr:nvCxnSpPr>
      <xdr:spPr>
        <a:xfrm>
          <a:off x="157067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238126</xdr:colOff>
      <xdr:row>24</xdr:row>
      <xdr:rowOff>238126</xdr:rowOff>
    </xdr:from>
    <xdr:to>
      <xdr:col>32</xdr:col>
      <xdr:colOff>238125</xdr:colOff>
      <xdr:row>24</xdr:row>
      <xdr:rowOff>250826</xdr:rowOff>
    </xdr:to>
    <xdr:cxnSp macro="">
      <xdr:nvCxnSpPr>
        <xdr:cNvPr id="41940" name="CNtp32c13routev"/>
        <xdr:cNvCxnSpPr>
          <a:stCxn id="41917" idx="6"/>
          <a:endCxn id="41939" idx="2"/>
        </xdr:cNvCxnSpPr>
      </xdr:nvCxnSpPr>
      <xdr:spPr>
        <a:xfrm>
          <a:off x="1570672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238126</xdr:colOff>
      <xdr:row>18</xdr:row>
      <xdr:rowOff>238126</xdr:rowOff>
    </xdr:from>
    <xdr:to>
      <xdr:col>32</xdr:col>
      <xdr:colOff>238125</xdr:colOff>
      <xdr:row>18</xdr:row>
      <xdr:rowOff>250826</xdr:rowOff>
    </xdr:to>
    <xdr:cxnSp macro="">
      <xdr:nvCxnSpPr>
        <xdr:cNvPr id="41938" name="CNtp32c12routeb"/>
        <xdr:cNvCxnSpPr>
          <a:stCxn id="41913" idx="6"/>
          <a:endCxn id="41935" idx="2"/>
        </xdr:cNvCxnSpPr>
      </xdr:nvCxnSpPr>
      <xdr:spPr>
        <a:xfrm>
          <a:off x="1570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238126</xdr:colOff>
      <xdr:row>18</xdr:row>
      <xdr:rowOff>238126</xdr:rowOff>
    </xdr:from>
    <xdr:to>
      <xdr:col>32</xdr:col>
      <xdr:colOff>238125</xdr:colOff>
      <xdr:row>18</xdr:row>
      <xdr:rowOff>250826</xdr:rowOff>
    </xdr:to>
    <xdr:cxnSp macro="">
      <xdr:nvCxnSpPr>
        <xdr:cNvPr id="41937" name="CNtp32c12routec"/>
        <xdr:cNvCxnSpPr>
          <a:stCxn id="41913" idx="6"/>
          <a:endCxn id="41935" idx="2"/>
        </xdr:cNvCxnSpPr>
      </xdr:nvCxnSpPr>
      <xdr:spPr>
        <a:xfrm>
          <a:off x="1570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238126</xdr:colOff>
      <xdr:row>18</xdr:row>
      <xdr:rowOff>238126</xdr:rowOff>
    </xdr:from>
    <xdr:to>
      <xdr:col>32</xdr:col>
      <xdr:colOff>238125</xdr:colOff>
      <xdr:row>18</xdr:row>
      <xdr:rowOff>250826</xdr:rowOff>
    </xdr:to>
    <xdr:cxnSp macro="">
      <xdr:nvCxnSpPr>
        <xdr:cNvPr id="41936" name="CNtp32c12routev"/>
        <xdr:cNvCxnSpPr>
          <a:stCxn id="41913" idx="6"/>
          <a:endCxn id="41935" idx="2"/>
        </xdr:cNvCxnSpPr>
      </xdr:nvCxnSpPr>
      <xdr:spPr>
        <a:xfrm>
          <a:off x="1570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238126</xdr:colOff>
      <xdr:row>4</xdr:row>
      <xdr:rowOff>238126</xdr:rowOff>
    </xdr:from>
    <xdr:to>
      <xdr:col>32</xdr:col>
      <xdr:colOff>238125</xdr:colOff>
      <xdr:row>10</xdr:row>
      <xdr:rowOff>238126</xdr:rowOff>
    </xdr:to>
    <xdr:cxnSp macro="">
      <xdr:nvCxnSpPr>
        <xdr:cNvPr id="41930" name="CNtp32c11routec"/>
        <xdr:cNvCxnSpPr>
          <a:stCxn id="41899" idx="6"/>
          <a:endCxn id="41929" idx="2"/>
        </xdr:cNvCxnSpPr>
      </xdr:nvCxnSpPr>
      <xdr:spPr>
        <a:xfrm>
          <a:off x="15706726" y="3286126"/>
          <a:ext cx="476249" cy="2857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238126</xdr:colOff>
      <xdr:row>8</xdr:row>
      <xdr:rowOff>238126</xdr:rowOff>
    </xdr:from>
    <xdr:to>
      <xdr:col>32</xdr:col>
      <xdr:colOff>238125</xdr:colOff>
      <xdr:row>8</xdr:row>
      <xdr:rowOff>250826</xdr:rowOff>
    </xdr:to>
    <xdr:cxnSp macro="">
      <xdr:nvCxnSpPr>
        <xdr:cNvPr id="41928" name="CNtp32c11routeb"/>
        <xdr:cNvCxnSpPr>
          <a:stCxn id="41907" idx="6"/>
          <a:endCxn id="41927" idx="2"/>
        </xdr:cNvCxnSpPr>
      </xdr:nvCxnSpPr>
      <xdr:spPr>
        <a:xfrm>
          <a:off x="157067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238126</xdr:colOff>
      <xdr:row>4</xdr:row>
      <xdr:rowOff>238126</xdr:rowOff>
    </xdr:from>
    <xdr:to>
      <xdr:col>32</xdr:col>
      <xdr:colOff>238125</xdr:colOff>
      <xdr:row>5</xdr:row>
      <xdr:rowOff>238126</xdr:rowOff>
    </xdr:to>
    <xdr:cxnSp macro="">
      <xdr:nvCxnSpPr>
        <xdr:cNvPr id="41924" name="CNtp32c11routev"/>
        <xdr:cNvCxnSpPr>
          <a:stCxn id="41902" idx="6"/>
          <a:endCxn id="41923" idx="2"/>
        </xdr:cNvCxnSpPr>
      </xdr:nvCxnSpPr>
      <xdr:spPr>
        <a:xfrm flipV="1">
          <a:off x="157067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238126</xdr:colOff>
      <xdr:row>28</xdr:row>
      <xdr:rowOff>238126</xdr:rowOff>
    </xdr:from>
    <xdr:to>
      <xdr:col>31</xdr:col>
      <xdr:colOff>238125</xdr:colOff>
      <xdr:row>28</xdr:row>
      <xdr:rowOff>250826</xdr:rowOff>
    </xdr:to>
    <xdr:cxnSp macro="">
      <xdr:nvCxnSpPr>
        <xdr:cNvPr id="41921" name="CNtp31c13routeb"/>
        <xdr:cNvCxnSpPr>
          <a:stCxn id="41894" idx="6"/>
          <a:endCxn id="41919" idx="2"/>
        </xdr:cNvCxnSpPr>
      </xdr:nvCxnSpPr>
      <xdr:spPr>
        <a:xfrm>
          <a:off x="1523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238126</xdr:colOff>
      <xdr:row>28</xdr:row>
      <xdr:rowOff>238126</xdr:rowOff>
    </xdr:from>
    <xdr:to>
      <xdr:col>31</xdr:col>
      <xdr:colOff>238125</xdr:colOff>
      <xdr:row>28</xdr:row>
      <xdr:rowOff>250826</xdr:rowOff>
    </xdr:to>
    <xdr:cxnSp macro="">
      <xdr:nvCxnSpPr>
        <xdr:cNvPr id="41920" name="CNtp31c13routec"/>
        <xdr:cNvCxnSpPr>
          <a:stCxn id="41894" idx="6"/>
          <a:endCxn id="41919" idx="2"/>
        </xdr:cNvCxnSpPr>
      </xdr:nvCxnSpPr>
      <xdr:spPr>
        <a:xfrm>
          <a:off x="1523047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238126</xdr:colOff>
      <xdr:row>24</xdr:row>
      <xdr:rowOff>238126</xdr:rowOff>
    </xdr:from>
    <xdr:to>
      <xdr:col>31</xdr:col>
      <xdr:colOff>238125</xdr:colOff>
      <xdr:row>24</xdr:row>
      <xdr:rowOff>250826</xdr:rowOff>
    </xdr:to>
    <xdr:cxnSp macro="">
      <xdr:nvCxnSpPr>
        <xdr:cNvPr id="41918" name="CNtp31c13routev"/>
        <xdr:cNvCxnSpPr>
          <a:stCxn id="41889" idx="6"/>
          <a:endCxn id="41917" idx="2"/>
        </xdr:cNvCxnSpPr>
      </xdr:nvCxnSpPr>
      <xdr:spPr>
        <a:xfrm>
          <a:off x="152304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238126</xdr:colOff>
      <xdr:row>18</xdr:row>
      <xdr:rowOff>238126</xdr:rowOff>
    </xdr:from>
    <xdr:to>
      <xdr:col>31</xdr:col>
      <xdr:colOff>238125</xdr:colOff>
      <xdr:row>18</xdr:row>
      <xdr:rowOff>250826</xdr:rowOff>
    </xdr:to>
    <xdr:cxnSp macro="">
      <xdr:nvCxnSpPr>
        <xdr:cNvPr id="41916" name="CNtp31c12routeb"/>
        <xdr:cNvCxnSpPr>
          <a:stCxn id="41882" idx="6"/>
          <a:endCxn id="41913" idx="2"/>
        </xdr:cNvCxnSpPr>
      </xdr:nvCxnSpPr>
      <xdr:spPr>
        <a:xfrm>
          <a:off x="1523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238126</xdr:colOff>
      <xdr:row>18</xdr:row>
      <xdr:rowOff>238126</xdr:rowOff>
    </xdr:from>
    <xdr:to>
      <xdr:col>31</xdr:col>
      <xdr:colOff>238125</xdr:colOff>
      <xdr:row>18</xdr:row>
      <xdr:rowOff>250826</xdr:rowOff>
    </xdr:to>
    <xdr:cxnSp macro="">
      <xdr:nvCxnSpPr>
        <xdr:cNvPr id="41915" name="CNtp31c12routec"/>
        <xdr:cNvCxnSpPr>
          <a:stCxn id="41882" idx="6"/>
          <a:endCxn id="41913" idx="2"/>
        </xdr:cNvCxnSpPr>
      </xdr:nvCxnSpPr>
      <xdr:spPr>
        <a:xfrm>
          <a:off x="1523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238126</xdr:colOff>
      <xdr:row>18</xdr:row>
      <xdr:rowOff>238126</xdr:rowOff>
    </xdr:from>
    <xdr:to>
      <xdr:col>31</xdr:col>
      <xdr:colOff>238125</xdr:colOff>
      <xdr:row>18</xdr:row>
      <xdr:rowOff>250826</xdr:rowOff>
    </xdr:to>
    <xdr:cxnSp macro="">
      <xdr:nvCxnSpPr>
        <xdr:cNvPr id="41914" name="CNtp31c12routev"/>
        <xdr:cNvCxnSpPr>
          <a:stCxn id="41882" idx="6"/>
          <a:endCxn id="41913" idx="2"/>
        </xdr:cNvCxnSpPr>
      </xdr:nvCxnSpPr>
      <xdr:spPr>
        <a:xfrm>
          <a:off x="1523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238126</xdr:colOff>
      <xdr:row>8</xdr:row>
      <xdr:rowOff>238126</xdr:rowOff>
    </xdr:from>
    <xdr:to>
      <xdr:col>31</xdr:col>
      <xdr:colOff>238125</xdr:colOff>
      <xdr:row>8</xdr:row>
      <xdr:rowOff>250826</xdr:rowOff>
    </xdr:to>
    <xdr:cxnSp macro="">
      <xdr:nvCxnSpPr>
        <xdr:cNvPr id="41908" name="CNtp31c11routeb"/>
        <xdr:cNvCxnSpPr>
          <a:stCxn id="41874" idx="6"/>
          <a:endCxn id="41907" idx="2"/>
        </xdr:cNvCxnSpPr>
      </xdr:nvCxnSpPr>
      <xdr:spPr>
        <a:xfrm>
          <a:off x="152304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238126</xdr:colOff>
      <xdr:row>5</xdr:row>
      <xdr:rowOff>238126</xdr:rowOff>
    </xdr:from>
    <xdr:to>
      <xdr:col>31</xdr:col>
      <xdr:colOff>238125</xdr:colOff>
      <xdr:row>5</xdr:row>
      <xdr:rowOff>250826</xdr:rowOff>
    </xdr:to>
    <xdr:cxnSp macro="">
      <xdr:nvCxnSpPr>
        <xdr:cNvPr id="41903" name="CNtp31c11routev"/>
        <xdr:cNvCxnSpPr>
          <a:stCxn id="41871" idx="6"/>
          <a:endCxn id="41902" idx="2"/>
        </xdr:cNvCxnSpPr>
      </xdr:nvCxnSpPr>
      <xdr:spPr>
        <a:xfrm>
          <a:off x="1523047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238126</xdr:colOff>
      <xdr:row>4</xdr:row>
      <xdr:rowOff>238126</xdr:rowOff>
    </xdr:from>
    <xdr:to>
      <xdr:col>31</xdr:col>
      <xdr:colOff>238125</xdr:colOff>
      <xdr:row>4</xdr:row>
      <xdr:rowOff>250826</xdr:rowOff>
    </xdr:to>
    <xdr:cxnSp macro="">
      <xdr:nvCxnSpPr>
        <xdr:cNvPr id="41900" name="CNtp31c11routec"/>
        <xdr:cNvCxnSpPr>
          <a:stCxn id="41868" idx="6"/>
          <a:endCxn id="41899" idx="2"/>
        </xdr:cNvCxnSpPr>
      </xdr:nvCxnSpPr>
      <xdr:spPr>
        <a:xfrm>
          <a:off x="1523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238126</xdr:colOff>
      <xdr:row>28</xdr:row>
      <xdr:rowOff>238126</xdr:rowOff>
    </xdr:from>
    <xdr:to>
      <xdr:col>30</xdr:col>
      <xdr:colOff>238125</xdr:colOff>
      <xdr:row>28</xdr:row>
      <xdr:rowOff>250826</xdr:rowOff>
    </xdr:to>
    <xdr:cxnSp macro="">
      <xdr:nvCxnSpPr>
        <xdr:cNvPr id="41896" name="CNtp30c13routeb"/>
        <xdr:cNvCxnSpPr>
          <a:stCxn id="41864" idx="6"/>
          <a:endCxn id="41894" idx="2"/>
        </xdr:cNvCxnSpPr>
      </xdr:nvCxnSpPr>
      <xdr:spPr>
        <a:xfrm>
          <a:off x="1475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238126</xdr:colOff>
      <xdr:row>28</xdr:row>
      <xdr:rowOff>238126</xdr:rowOff>
    </xdr:from>
    <xdr:to>
      <xdr:col>30</xdr:col>
      <xdr:colOff>238125</xdr:colOff>
      <xdr:row>28</xdr:row>
      <xdr:rowOff>250826</xdr:rowOff>
    </xdr:to>
    <xdr:cxnSp macro="">
      <xdr:nvCxnSpPr>
        <xdr:cNvPr id="41895" name="CNtp30c13routec"/>
        <xdr:cNvCxnSpPr>
          <a:stCxn id="41864" idx="6"/>
          <a:endCxn id="41894" idx="2"/>
        </xdr:cNvCxnSpPr>
      </xdr:nvCxnSpPr>
      <xdr:spPr>
        <a:xfrm>
          <a:off x="14754226" y="1471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238126</xdr:colOff>
      <xdr:row>24</xdr:row>
      <xdr:rowOff>238126</xdr:rowOff>
    </xdr:from>
    <xdr:to>
      <xdr:col>30</xdr:col>
      <xdr:colOff>238125</xdr:colOff>
      <xdr:row>25</xdr:row>
      <xdr:rowOff>238126</xdr:rowOff>
    </xdr:to>
    <xdr:cxnSp macro="">
      <xdr:nvCxnSpPr>
        <xdr:cNvPr id="41890" name="CNtp30c13routev"/>
        <xdr:cNvCxnSpPr>
          <a:stCxn id="41861" idx="6"/>
          <a:endCxn id="41889" idx="2"/>
        </xdr:cNvCxnSpPr>
      </xdr:nvCxnSpPr>
      <xdr:spPr>
        <a:xfrm flipV="1">
          <a:off x="14754226" y="12811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238126</xdr:colOff>
      <xdr:row>18</xdr:row>
      <xdr:rowOff>238126</xdr:rowOff>
    </xdr:from>
    <xdr:to>
      <xdr:col>30</xdr:col>
      <xdr:colOff>238125</xdr:colOff>
      <xdr:row>18</xdr:row>
      <xdr:rowOff>250826</xdr:rowOff>
    </xdr:to>
    <xdr:cxnSp macro="">
      <xdr:nvCxnSpPr>
        <xdr:cNvPr id="41885" name="CNtp30c12routeb"/>
        <xdr:cNvCxnSpPr>
          <a:stCxn id="41854" idx="6"/>
          <a:endCxn id="41882" idx="2"/>
        </xdr:cNvCxnSpPr>
      </xdr:nvCxnSpPr>
      <xdr:spPr>
        <a:xfrm>
          <a:off x="1475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238126</xdr:colOff>
      <xdr:row>18</xdr:row>
      <xdr:rowOff>238126</xdr:rowOff>
    </xdr:from>
    <xdr:to>
      <xdr:col>30</xdr:col>
      <xdr:colOff>238125</xdr:colOff>
      <xdr:row>18</xdr:row>
      <xdr:rowOff>250826</xdr:rowOff>
    </xdr:to>
    <xdr:cxnSp macro="">
      <xdr:nvCxnSpPr>
        <xdr:cNvPr id="41884" name="CNtp30c12routec"/>
        <xdr:cNvCxnSpPr>
          <a:stCxn id="41854" idx="6"/>
          <a:endCxn id="41882" idx="2"/>
        </xdr:cNvCxnSpPr>
      </xdr:nvCxnSpPr>
      <xdr:spPr>
        <a:xfrm>
          <a:off x="1475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238126</xdr:colOff>
      <xdr:row>18</xdr:row>
      <xdr:rowOff>238126</xdr:rowOff>
    </xdr:from>
    <xdr:to>
      <xdr:col>30</xdr:col>
      <xdr:colOff>238125</xdr:colOff>
      <xdr:row>18</xdr:row>
      <xdr:rowOff>250826</xdr:rowOff>
    </xdr:to>
    <xdr:cxnSp macro="">
      <xdr:nvCxnSpPr>
        <xdr:cNvPr id="41883" name="CNtp30c12routev"/>
        <xdr:cNvCxnSpPr>
          <a:stCxn id="41854" idx="6"/>
          <a:endCxn id="41882" idx="2"/>
        </xdr:cNvCxnSpPr>
      </xdr:nvCxnSpPr>
      <xdr:spPr>
        <a:xfrm>
          <a:off x="1475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238126</xdr:colOff>
      <xdr:row>8</xdr:row>
      <xdr:rowOff>238126</xdr:rowOff>
    </xdr:from>
    <xdr:to>
      <xdr:col>30</xdr:col>
      <xdr:colOff>238125</xdr:colOff>
      <xdr:row>8</xdr:row>
      <xdr:rowOff>250826</xdr:rowOff>
    </xdr:to>
    <xdr:cxnSp macro="">
      <xdr:nvCxnSpPr>
        <xdr:cNvPr id="41875" name="CNtp30c11routeb"/>
        <xdr:cNvCxnSpPr>
          <a:stCxn id="41846" idx="6"/>
          <a:endCxn id="41874" idx="2"/>
        </xdr:cNvCxnSpPr>
      </xdr:nvCxnSpPr>
      <xdr:spPr>
        <a:xfrm>
          <a:off x="1475422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238126</xdr:colOff>
      <xdr:row>5</xdr:row>
      <xdr:rowOff>238126</xdr:rowOff>
    </xdr:from>
    <xdr:to>
      <xdr:col>30</xdr:col>
      <xdr:colOff>238125</xdr:colOff>
      <xdr:row>5</xdr:row>
      <xdr:rowOff>250826</xdr:rowOff>
    </xdr:to>
    <xdr:cxnSp macro="">
      <xdr:nvCxnSpPr>
        <xdr:cNvPr id="41872" name="CNtp30c11routev"/>
        <xdr:cNvCxnSpPr>
          <a:stCxn id="41843" idx="6"/>
          <a:endCxn id="41871" idx="2"/>
        </xdr:cNvCxnSpPr>
      </xdr:nvCxnSpPr>
      <xdr:spPr>
        <a:xfrm>
          <a:off x="1475422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238126</xdr:colOff>
      <xdr:row>4</xdr:row>
      <xdr:rowOff>238126</xdr:rowOff>
    </xdr:from>
    <xdr:to>
      <xdr:col>30</xdr:col>
      <xdr:colOff>238125</xdr:colOff>
      <xdr:row>5</xdr:row>
      <xdr:rowOff>238126</xdr:rowOff>
    </xdr:to>
    <xdr:cxnSp macro="">
      <xdr:nvCxnSpPr>
        <xdr:cNvPr id="41869" name="CNtp30c11routec"/>
        <xdr:cNvCxnSpPr>
          <a:stCxn id="41843" idx="6"/>
          <a:endCxn id="41868" idx="2"/>
        </xdr:cNvCxnSpPr>
      </xdr:nvCxnSpPr>
      <xdr:spPr>
        <a:xfrm flipV="1">
          <a:off x="147542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238126</xdr:colOff>
      <xdr:row>23</xdr:row>
      <xdr:rowOff>238126</xdr:rowOff>
    </xdr:from>
    <xdr:to>
      <xdr:col>29</xdr:col>
      <xdr:colOff>238125</xdr:colOff>
      <xdr:row>28</xdr:row>
      <xdr:rowOff>238126</xdr:rowOff>
    </xdr:to>
    <xdr:cxnSp macro="">
      <xdr:nvCxnSpPr>
        <xdr:cNvPr id="41866" name="CNtp29c13routeb"/>
        <xdr:cNvCxnSpPr>
          <a:stCxn id="41830" idx="6"/>
          <a:endCxn id="41864" idx="2"/>
        </xdr:cNvCxnSpPr>
      </xdr:nvCxnSpPr>
      <xdr:spPr>
        <a:xfrm>
          <a:off x="142779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238126</xdr:colOff>
      <xdr:row>23</xdr:row>
      <xdr:rowOff>238126</xdr:rowOff>
    </xdr:from>
    <xdr:to>
      <xdr:col>29</xdr:col>
      <xdr:colOff>238125</xdr:colOff>
      <xdr:row>28</xdr:row>
      <xdr:rowOff>238126</xdr:rowOff>
    </xdr:to>
    <xdr:cxnSp macro="">
      <xdr:nvCxnSpPr>
        <xdr:cNvPr id="41865" name="CNtp29c13routec"/>
        <xdr:cNvCxnSpPr>
          <a:stCxn id="41830" idx="6"/>
          <a:endCxn id="41864" idx="2"/>
        </xdr:cNvCxnSpPr>
      </xdr:nvCxnSpPr>
      <xdr:spPr>
        <a:xfrm>
          <a:off x="142779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238126</xdr:colOff>
      <xdr:row>23</xdr:row>
      <xdr:rowOff>238126</xdr:rowOff>
    </xdr:from>
    <xdr:to>
      <xdr:col>29</xdr:col>
      <xdr:colOff>238125</xdr:colOff>
      <xdr:row>25</xdr:row>
      <xdr:rowOff>238126</xdr:rowOff>
    </xdr:to>
    <xdr:cxnSp macro="">
      <xdr:nvCxnSpPr>
        <xdr:cNvPr id="41862" name="CNtp29c13routev"/>
        <xdr:cNvCxnSpPr>
          <a:stCxn id="41830" idx="6"/>
          <a:endCxn id="41861" idx="2"/>
        </xdr:cNvCxnSpPr>
      </xdr:nvCxnSpPr>
      <xdr:spPr>
        <a:xfrm>
          <a:off x="14277976" y="12334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238126</xdr:colOff>
      <xdr:row>18</xdr:row>
      <xdr:rowOff>238126</xdr:rowOff>
    </xdr:from>
    <xdr:to>
      <xdr:col>29</xdr:col>
      <xdr:colOff>238125</xdr:colOff>
      <xdr:row>18</xdr:row>
      <xdr:rowOff>250826</xdr:rowOff>
    </xdr:to>
    <xdr:cxnSp macro="">
      <xdr:nvCxnSpPr>
        <xdr:cNvPr id="41857" name="CNtp29c12routeb"/>
        <xdr:cNvCxnSpPr>
          <a:stCxn id="41823" idx="6"/>
          <a:endCxn id="41854" idx="2"/>
        </xdr:cNvCxnSpPr>
      </xdr:nvCxnSpPr>
      <xdr:spPr>
        <a:xfrm>
          <a:off x="1427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238126</xdr:colOff>
      <xdr:row>18</xdr:row>
      <xdr:rowOff>238126</xdr:rowOff>
    </xdr:from>
    <xdr:to>
      <xdr:col>29</xdr:col>
      <xdr:colOff>238125</xdr:colOff>
      <xdr:row>18</xdr:row>
      <xdr:rowOff>250826</xdr:rowOff>
    </xdr:to>
    <xdr:cxnSp macro="">
      <xdr:nvCxnSpPr>
        <xdr:cNvPr id="41856" name="CNtp29c12routec"/>
        <xdr:cNvCxnSpPr>
          <a:stCxn id="41823" idx="6"/>
          <a:endCxn id="41854" idx="2"/>
        </xdr:cNvCxnSpPr>
      </xdr:nvCxnSpPr>
      <xdr:spPr>
        <a:xfrm>
          <a:off x="1427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238126</xdr:colOff>
      <xdr:row>18</xdr:row>
      <xdr:rowOff>238126</xdr:rowOff>
    </xdr:from>
    <xdr:to>
      <xdr:col>29</xdr:col>
      <xdr:colOff>238125</xdr:colOff>
      <xdr:row>18</xdr:row>
      <xdr:rowOff>250826</xdr:rowOff>
    </xdr:to>
    <xdr:cxnSp macro="">
      <xdr:nvCxnSpPr>
        <xdr:cNvPr id="41855" name="CNtp29c12routev"/>
        <xdr:cNvCxnSpPr>
          <a:stCxn id="41823" idx="6"/>
          <a:endCxn id="41854" idx="2"/>
        </xdr:cNvCxnSpPr>
      </xdr:nvCxnSpPr>
      <xdr:spPr>
        <a:xfrm>
          <a:off x="1427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238126</xdr:colOff>
      <xdr:row>8</xdr:row>
      <xdr:rowOff>238126</xdr:rowOff>
    </xdr:from>
    <xdr:to>
      <xdr:col>29</xdr:col>
      <xdr:colOff>238125</xdr:colOff>
      <xdr:row>8</xdr:row>
      <xdr:rowOff>250826</xdr:rowOff>
    </xdr:to>
    <xdr:cxnSp macro="">
      <xdr:nvCxnSpPr>
        <xdr:cNvPr id="41847" name="CNtp29c11routeb"/>
        <xdr:cNvCxnSpPr>
          <a:stCxn id="41815" idx="6"/>
          <a:endCxn id="41846" idx="2"/>
        </xdr:cNvCxnSpPr>
      </xdr:nvCxnSpPr>
      <xdr:spPr>
        <a:xfrm>
          <a:off x="14277976" y="519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238126</xdr:colOff>
      <xdr:row>5</xdr:row>
      <xdr:rowOff>238126</xdr:rowOff>
    </xdr:from>
    <xdr:to>
      <xdr:col>29</xdr:col>
      <xdr:colOff>238125</xdr:colOff>
      <xdr:row>5</xdr:row>
      <xdr:rowOff>250826</xdr:rowOff>
    </xdr:to>
    <xdr:cxnSp macro="">
      <xdr:nvCxnSpPr>
        <xdr:cNvPr id="41845" name="CNtp29c11routec"/>
        <xdr:cNvCxnSpPr>
          <a:stCxn id="41811" idx="6"/>
          <a:endCxn id="41843" idx="2"/>
        </xdr:cNvCxnSpPr>
      </xdr:nvCxnSpPr>
      <xdr:spPr>
        <a:xfrm>
          <a:off x="1427797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238126</xdr:colOff>
      <xdr:row>5</xdr:row>
      <xdr:rowOff>238126</xdr:rowOff>
    </xdr:from>
    <xdr:to>
      <xdr:col>29</xdr:col>
      <xdr:colOff>238125</xdr:colOff>
      <xdr:row>5</xdr:row>
      <xdr:rowOff>250826</xdr:rowOff>
    </xdr:to>
    <xdr:cxnSp macro="">
      <xdr:nvCxnSpPr>
        <xdr:cNvPr id="41844" name="CNtp29c11routev"/>
        <xdr:cNvCxnSpPr>
          <a:stCxn id="41811" idx="6"/>
          <a:endCxn id="41843" idx="2"/>
        </xdr:cNvCxnSpPr>
      </xdr:nvCxnSpPr>
      <xdr:spPr>
        <a:xfrm>
          <a:off x="1427797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238126</xdr:colOff>
      <xdr:row>23</xdr:row>
      <xdr:rowOff>238126</xdr:rowOff>
    </xdr:from>
    <xdr:to>
      <xdr:col>28</xdr:col>
      <xdr:colOff>238125</xdr:colOff>
      <xdr:row>23</xdr:row>
      <xdr:rowOff>250826</xdr:rowOff>
    </xdr:to>
    <xdr:cxnSp macro="">
      <xdr:nvCxnSpPr>
        <xdr:cNvPr id="41833" name="CNtp28c13routeb"/>
        <xdr:cNvCxnSpPr>
          <a:stCxn id="41805" idx="6"/>
          <a:endCxn id="41830" idx="2"/>
        </xdr:cNvCxnSpPr>
      </xdr:nvCxnSpPr>
      <xdr:spPr>
        <a:xfrm>
          <a:off x="13801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238126</xdr:colOff>
      <xdr:row>23</xdr:row>
      <xdr:rowOff>238126</xdr:rowOff>
    </xdr:from>
    <xdr:to>
      <xdr:col>28</xdr:col>
      <xdr:colOff>238125</xdr:colOff>
      <xdr:row>23</xdr:row>
      <xdr:rowOff>250826</xdr:rowOff>
    </xdr:to>
    <xdr:cxnSp macro="">
      <xdr:nvCxnSpPr>
        <xdr:cNvPr id="41832" name="CNtp28c13routec"/>
        <xdr:cNvCxnSpPr>
          <a:stCxn id="41805" idx="6"/>
          <a:endCxn id="41830" idx="2"/>
        </xdr:cNvCxnSpPr>
      </xdr:nvCxnSpPr>
      <xdr:spPr>
        <a:xfrm>
          <a:off x="13801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238126</xdr:colOff>
      <xdr:row>23</xdr:row>
      <xdr:rowOff>238126</xdr:rowOff>
    </xdr:from>
    <xdr:to>
      <xdr:col>28</xdr:col>
      <xdr:colOff>238125</xdr:colOff>
      <xdr:row>23</xdr:row>
      <xdr:rowOff>250826</xdr:rowOff>
    </xdr:to>
    <xdr:cxnSp macro="">
      <xdr:nvCxnSpPr>
        <xdr:cNvPr id="41831" name="CNtp28c13routev"/>
        <xdr:cNvCxnSpPr>
          <a:stCxn id="41805" idx="6"/>
          <a:endCxn id="41830" idx="2"/>
        </xdr:cNvCxnSpPr>
      </xdr:nvCxnSpPr>
      <xdr:spPr>
        <a:xfrm>
          <a:off x="13801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238126</xdr:colOff>
      <xdr:row>18</xdr:row>
      <xdr:rowOff>238126</xdr:rowOff>
    </xdr:from>
    <xdr:to>
      <xdr:col>28</xdr:col>
      <xdr:colOff>238125</xdr:colOff>
      <xdr:row>18</xdr:row>
      <xdr:rowOff>250826</xdr:rowOff>
    </xdr:to>
    <xdr:cxnSp macro="">
      <xdr:nvCxnSpPr>
        <xdr:cNvPr id="41826" name="CNtp28c12routeb"/>
        <xdr:cNvCxnSpPr>
          <a:stCxn id="41798" idx="6"/>
          <a:endCxn id="41823" idx="2"/>
        </xdr:cNvCxnSpPr>
      </xdr:nvCxnSpPr>
      <xdr:spPr>
        <a:xfrm>
          <a:off x="1380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238126</xdr:colOff>
      <xdr:row>18</xdr:row>
      <xdr:rowOff>238126</xdr:rowOff>
    </xdr:from>
    <xdr:to>
      <xdr:col>28</xdr:col>
      <xdr:colOff>238125</xdr:colOff>
      <xdr:row>18</xdr:row>
      <xdr:rowOff>250826</xdr:rowOff>
    </xdr:to>
    <xdr:cxnSp macro="">
      <xdr:nvCxnSpPr>
        <xdr:cNvPr id="41825" name="CNtp28c12routec"/>
        <xdr:cNvCxnSpPr>
          <a:stCxn id="41798" idx="6"/>
          <a:endCxn id="41823" idx="2"/>
        </xdr:cNvCxnSpPr>
      </xdr:nvCxnSpPr>
      <xdr:spPr>
        <a:xfrm>
          <a:off x="1380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238126</xdr:colOff>
      <xdr:row>18</xdr:row>
      <xdr:rowOff>238126</xdr:rowOff>
    </xdr:from>
    <xdr:to>
      <xdr:col>28</xdr:col>
      <xdr:colOff>238125</xdr:colOff>
      <xdr:row>18</xdr:row>
      <xdr:rowOff>250826</xdr:rowOff>
    </xdr:to>
    <xdr:cxnSp macro="">
      <xdr:nvCxnSpPr>
        <xdr:cNvPr id="41824" name="CNtp28c12routev"/>
        <xdr:cNvCxnSpPr>
          <a:stCxn id="41798" idx="6"/>
          <a:endCxn id="41823" idx="2"/>
        </xdr:cNvCxnSpPr>
      </xdr:nvCxnSpPr>
      <xdr:spPr>
        <a:xfrm>
          <a:off x="1380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238126</xdr:colOff>
      <xdr:row>3</xdr:row>
      <xdr:rowOff>238126</xdr:rowOff>
    </xdr:from>
    <xdr:to>
      <xdr:col>28</xdr:col>
      <xdr:colOff>238125</xdr:colOff>
      <xdr:row>8</xdr:row>
      <xdr:rowOff>238126</xdr:rowOff>
    </xdr:to>
    <xdr:cxnSp macro="">
      <xdr:nvCxnSpPr>
        <xdr:cNvPr id="41816" name="CNtp28c11routeb"/>
        <xdr:cNvCxnSpPr>
          <a:stCxn id="41787" idx="6"/>
          <a:endCxn id="41815" idx="2"/>
        </xdr:cNvCxnSpPr>
      </xdr:nvCxnSpPr>
      <xdr:spPr>
        <a:xfrm>
          <a:off x="13801726" y="2809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238126</xdr:colOff>
      <xdr:row>3</xdr:row>
      <xdr:rowOff>238126</xdr:rowOff>
    </xdr:from>
    <xdr:to>
      <xdr:col>28</xdr:col>
      <xdr:colOff>238125</xdr:colOff>
      <xdr:row>5</xdr:row>
      <xdr:rowOff>238126</xdr:rowOff>
    </xdr:to>
    <xdr:cxnSp macro="">
      <xdr:nvCxnSpPr>
        <xdr:cNvPr id="41813" name="CNtp28c11routec"/>
        <xdr:cNvCxnSpPr>
          <a:stCxn id="41787" idx="6"/>
          <a:endCxn id="41811" idx="2"/>
        </xdr:cNvCxnSpPr>
      </xdr:nvCxnSpPr>
      <xdr:spPr>
        <a:xfrm>
          <a:off x="13801726" y="2809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238126</xdr:colOff>
      <xdr:row>3</xdr:row>
      <xdr:rowOff>238126</xdr:rowOff>
    </xdr:from>
    <xdr:to>
      <xdr:col>28</xdr:col>
      <xdr:colOff>238125</xdr:colOff>
      <xdr:row>5</xdr:row>
      <xdr:rowOff>238126</xdr:rowOff>
    </xdr:to>
    <xdr:cxnSp macro="">
      <xdr:nvCxnSpPr>
        <xdr:cNvPr id="41812" name="CNtp28c11routev"/>
        <xdr:cNvCxnSpPr>
          <a:stCxn id="41787" idx="6"/>
          <a:endCxn id="41811" idx="2"/>
        </xdr:cNvCxnSpPr>
      </xdr:nvCxnSpPr>
      <xdr:spPr>
        <a:xfrm>
          <a:off x="13801726" y="2809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238126</xdr:colOff>
      <xdr:row>23</xdr:row>
      <xdr:rowOff>238126</xdr:rowOff>
    </xdr:from>
    <xdr:to>
      <xdr:col>27</xdr:col>
      <xdr:colOff>238125</xdr:colOff>
      <xdr:row>25</xdr:row>
      <xdr:rowOff>238126</xdr:rowOff>
    </xdr:to>
    <xdr:cxnSp macro="">
      <xdr:nvCxnSpPr>
        <xdr:cNvPr id="41808" name="CNtp27c13routeb"/>
        <xdr:cNvCxnSpPr>
          <a:stCxn id="41782" idx="6"/>
          <a:endCxn id="41805" idx="2"/>
        </xdr:cNvCxnSpPr>
      </xdr:nvCxnSpPr>
      <xdr:spPr>
        <a:xfrm flipV="1">
          <a:off x="13325476" y="12334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238126</xdr:colOff>
      <xdr:row>23</xdr:row>
      <xdr:rowOff>238126</xdr:rowOff>
    </xdr:from>
    <xdr:to>
      <xdr:col>27</xdr:col>
      <xdr:colOff>238125</xdr:colOff>
      <xdr:row>25</xdr:row>
      <xdr:rowOff>238126</xdr:rowOff>
    </xdr:to>
    <xdr:cxnSp macro="">
      <xdr:nvCxnSpPr>
        <xdr:cNvPr id="41807" name="CNtp27c13routec"/>
        <xdr:cNvCxnSpPr>
          <a:stCxn id="41782" idx="6"/>
          <a:endCxn id="41805" idx="2"/>
        </xdr:cNvCxnSpPr>
      </xdr:nvCxnSpPr>
      <xdr:spPr>
        <a:xfrm flipV="1">
          <a:off x="13325476" y="12334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238126</xdr:colOff>
      <xdr:row>23</xdr:row>
      <xdr:rowOff>238126</xdr:rowOff>
    </xdr:from>
    <xdr:to>
      <xdr:col>27</xdr:col>
      <xdr:colOff>238125</xdr:colOff>
      <xdr:row>25</xdr:row>
      <xdr:rowOff>238126</xdr:rowOff>
    </xdr:to>
    <xdr:cxnSp macro="">
      <xdr:nvCxnSpPr>
        <xdr:cNvPr id="41806" name="CNtp27c13routev"/>
        <xdr:cNvCxnSpPr>
          <a:stCxn id="41782" idx="6"/>
          <a:endCxn id="41805" idx="2"/>
        </xdr:cNvCxnSpPr>
      </xdr:nvCxnSpPr>
      <xdr:spPr>
        <a:xfrm flipV="1">
          <a:off x="13325476" y="12334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238126</xdr:colOff>
      <xdr:row>15</xdr:row>
      <xdr:rowOff>238126</xdr:rowOff>
    </xdr:from>
    <xdr:to>
      <xdr:col>27</xdr:col>
      <xdr:colOff>238125</xdr:colOff>
      <xdr:row>18</xdr:row>
      <xdr:rowOff>238126</xdr:rowOff>
    </xdr:to>
    <xdr:cxnSp macro="">
      <xdr:nvCxnSpPr>
        <xdr:cNvPr id="41801" name="CNtp27c12routeb"/>
        <xdr:cNvCxnSpPr>
          <a:stCxn id="41778" idx="6"/>
          <a:endCxn id="41798" idx="2"/>
        </xdr:cNvCxnSpPr>
      </xdr:nvCxnSpPr>
      <xdr:spPr>
        <a:xfrm>
          <a:off x="1332547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238126</xdr:colOff>
      <xdr:row>13</xdr:row>
      <xdr:rowOff>238126</xdr:rowOff>
    </xdr:from>
    <xdr:to>
      <xdr:col>27</xdr:col>
      <xdr:colOff>238125</xdr:colOff>
      <xdr:row>18</xdr:row>
      <xdr:rowOff>238126</xdr:rowOff>
    </xdr:to>
    <xdr:cxnSp macro="">
      <xdr:nvCxnSpPr>
        <xdr:cNvPr id="41800" name="CNtp27c12routec"/>
        <xdr:cNvCxnSpPr>
          <a:stCxn id="41775" idx="6"/>
          <a:endCxn id="41798" idx="2"/>
        </xdr:cNvCxnSpPr>
      </xdr:nvCxnSpPr>
      <xdr:spPr>
        <a:xfrm>
          <a:off x="13325476" y="757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238126</xdr:colOff>
      <xdr:row>15</xdr:row>
      <xdr:rowOff>238126</xdr:rowOff>
    </xdr:from>
    <xdr:to>
      <xdr:col>27</xdr:col>
      <xdr:colOff>238125</xdr:colOff>
      <xdr:row>18</xdr:row>
      <xdr:rowOff>238126</xdr:rowOff>
    </xdr:to>
    <xdr:cxnSp macro="">
      <xdr:nvCxnSpPr>
        <xdr:cNvPr id="41799" name="CNtp27c12routev"/>
        <xdr:cNvCxnSpPr>
          <a:stCxn id="41778" idx="6"/>
          <a:endCxn id="41798" idx="2"/>
        </xdr:cNvCxnSpPr>
      </xdr:nvCxnSpPr>
      <xdr:spPr>
        <a:xfrm>
          <a:off x="1332547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238126</xdr:colOff>
      <xdr:row>3</xdr:row>
      <xdr:rowOff>238126</xdr:rowOff>
    </xdr:from>
    <xdr:to>
      <xdr:col>27</xdr:col>
      <xdr:colOff>238125</xdr:colOff>
      <xdr:row>5</xdr:row>
      <xdr:rowOff>238126</xdr:rowOff>
    </xdr:to>
    <xdr:cxnSp macro="">
      <xdr:nvCxnSpPr>
        <xdr:cNvPr id="41790" name="CNtp27c11routeb"/>
        <xdr:cNvCxnSpPr>
          <a:stCxn id="41771" idx="6"/>
          <a:endCxn id="41787" idx="2"/>
        </xdr:cNvCxnSpPr>
      </xdr:nvCxnSpPr>
      <xdr:spPr>
        <a:xfrm flipV="1">
          <a:off x="13325476" y="2809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238126</xdr:colOff>
      <xdr:row>3</xdr:row>
      <xdr:rowOff>238126</xdr:rowOff>
    </xdr:from>
    <xdr:to>
      <xdr:col>27</xdr:col>
      <xdr:colOff>238125</xdr:colOff>
      <xdr:row>5</xdr:row>
      <xdr:rowOff>238126</xdr:rowOff>
    </xdr:to>
    <xdr:cxnSp macro="">
      <xdr:nvCxnSpPr>
        <xdr:cNvPr id="41789" name="CNtp27c11routec"/>
        <xdr:cNvCxnSpPr>
          <a:stCxn id="41771" idx="6"/>
          <a:endCxn id="41787" idx="2"/>
        </xdr:cNvCxnSpPr>
      </xdr:nvCxnSpPr>
      <xdr:spPr>
        <a:xfrm flipV="1">
          <a:off x="13325476" y="2809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238126</xdr:colOff>
      <xdr:row>3</xdr:row>
      <xdr:rowOff>238126</xdr:rowOff>
    </xdr:from>
    <xdr:to>
      <xdr:col>27</xdr:col>
      <xdr:colOff>238125</xdr:colOff>
      <xdr:row>5</xdr:row>
      <xdr:rowOff>238126</xdr:rowOff>
    </xdr:to>
    <xdr:cxnSp macro="">
      <xdr:nvCxnSpPr>
        <xdr:cNvPr id="41788" name="CNtp27c11routev"/>
        <xdr:cNvCxnSpPr>
          <a:stCxn id="41771" idx="6"/>
          <a:endCxn id="41787" idx="2"/>
        </xdr:cNvCxnSpPr>
      </xdr:nvCxnSpPr>
      <xdr:spPr>
        <a:xfrm flipV="1">
          <a:off x="13325476" y="2809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238126</xdr:colOff>
      <xdr:row>25</xdr:row>
      <xdr:rowOff>238126</xdr:rowOff>
    </xdr:from>
    <xdr:to>
      <xdr:col>26</xdr:col>
      <xdr:colOff>238125</xdr:colOff>
      <xdr:row>30</xdr:row>
      <xdr:rowOff>238126</xdr:rowOff>
    </xdr:to>
    <xdr:cxnSp macro="">
      <xdr:nvCxnSpPr>
        <xdr:cNvPr id="41785" name="CNtp26c13routeb"/>
        <xdr:cNvCxnSpPr>
          <a:stCxn id="41768" idx="6"/>
          <a:endCxn id="41782" idx="2"/>
        </xdr:cNvCxnSpPr>
      </xdr:nvCxnSpPr>
      <xdr:spPr>
        <a:xfrm flipV="1">
          <a:off x="12849226" y="13287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238126</xdr:colOff>
      <xdr:row>24</xdr:row>
      <xdr:rowOff>238126</xdr:rowOff>
    </xdr:from>
    <xdr:to>
      <xdr:col>26</xdr:col>
      <xdr:colOff>238125</xdr:colOff>
      <xdr:row>25</xdr:row>
      <xdr:rowOff>238126</xdr:rowOff>
    </xdr:to>
    <xdr:cxnSp macro="">
      <xdr:nvCxnSpPr>
        <xdr:cNvPr id="41784" name="CNtp26c13routec"/>
        <xdr:cNvCxnSpPr>
          <a:stCxn id="41764" idx="6"/>
          <a:endCxn id="41782" idx="2"/>
        </xdr:cNvCxnSpPr>
      </xdr:nvCxnSpPr>
      <xdr:spPr>
        <a:xfrm>
          <a:off x="12849226" y="12811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238126</xdr:colOff>
      <xdr:row>24</xdr:row>
      <xdr:rowOff>238126</xdr:rowOff>
    </xdr:from>
    <xdr:to>
      <xdr:col>26</xdr:col>
      <xdr:colOff>238125</xdr:colOff>
      <xdr:row>25</xdr:row>
      <xdr:rowOff>238126</xdr:rowOff>
    </xdr:to>
    <xdr:cxnSp macro="">
      <xdr:nvCxnSpPr>
        <xdr:cNvPr id="41783" name="CNtp26c13routev"/>
        <xdr:cNvCxnSpPr>
          <a:stCxn id="41764" idx="6"/>
          <a:endCxn id="41782" idx="2"/>
        </xdr:cNvCxnSpPr>
      </xdr:nvCxnSpPr>
      <xdr:spPr>
        <a:xfrm>
          <a:off x="12849226" y="12811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238126</xdr:colOff>
      <xdr:row>13</xdr:row>
      <xdr:rowOff>238126</xdr:rowOff>
    </xdr:from>
    <xdr:to>
      <xdr:col>26</xdr:col>
      <xdr:colOff>238125</xdr:colOff>
      <xdr:row>15</xdr:row>
      <xdr:rowOff>238126</xdr:rowOff>
    </xdr:to>
    <xdr:cxnSp macro="">
      <xdr:nvCxnSpPr>
        <xdr:cNvPr id="41780" name="CNtp26c12routeb"/>
        <xdr:cNvCxnSpPr>
          <a:stCxn id="41756" idx="6"/>
          <a:endCxn id="41778" idx="2"/>
        </xdr:cNvCxnSpPr>
      </xdr:nvCxnSpPr>
      <xdr:spPr>
        <a:xfrm>
          <a:off x="12849226" y="75723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238126</xdr:colOff>
      <xdr:row>15</xdr:row>
      <xdr:rowOff>238126</xdr:rowOff>
    </xdr:from>
    <xdr:to>
      <xdr:col>26</xdr:col>
      <xdr:colOff>238125</xdr:colOff>
      <xdr:row>18</xdr:row>
      <xdr:rowOff>238126</xdr:rowOff>
    </xdr:to>
    <xdr:cxnSp macro="">
      <xdr:nvCxnSpPr>
        <xdr:cNvPr id="41779" name="CNtp26c12routev"/>
        <xdr:cNvCxnSpPr>
          <a:stCxn id="41760" idx="6"/>
          <a:endCxn id="41778" idx="2"/>
        </xdr:cNvCxnSpPr>
      </xdr:nvCxnSpPr>
      <xdr:spPr>
        <a:xfrm flipV="1">
          <a:off x="12849226" y="85248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238126</xdr:colOff>
      <xdr:row>13</xdr:row>
      <xdr:rowOff>238126</xdr:rowOff>
    </xdr:from>
    <xdr:to>
      <xdr:col>26</xdr:col>
      <xdr:colOff>238125</xdr:colOff>
      <xdr:row>13</xdr:row>
      <xdr:rowOff>250826</xdr:rowOff>
    </xdr:to>
    <xdr:cxnSp macro="">
      <xdr:nvCxnSpPr>
        <xdr:cNvPr id="41776" name="CNtp26c12routec"/>
        <xdr:cNvCxnSpPr>
          <a:stCxn id="41756" idx="6"/>
          <a:endCxn id="41775" idx="2"/>
        </xdr:cNvCxnSpPr>
      </xdr:nvCxnSpPr>
      <xdr:spPr>
        <a:xfrm>
          <a:off x="12849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238126</xdr:colOff>
      <xdr:row>3</xdr:row>
      <xdr:rowOff>238126</xdr:rowOff>
    </xdr:from>
    <xdr:to>
      <xdr:col>26</xdr:col>
      <xdr:colOff>238125</xdr:colOff>
      <xdr:row>5</xdr:row>
      <xdr:rowOff>238126</xdr:rowOff>
    </xdr:to>
    <xdr:cxnSp macro="">
      <xdr:nvCxnSpPr>
        <xdr:cNvPr id="41774" name="CNtp26c11routeb"/>
        <xdr:cNvCxnSpPr>
          <a:stCxn id="41750" idx="6"/>
          <a:endCxn id="41771" idx="2"/>
        </xdr:cNvCxnSpPr>
      </xdr:nvCxnSpPr>
      <xdr:spPr>
        <a:xfrm>
          <a:off x="12849226" y="2809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238126</xdr:colOff>
      <xdr:row>3</xdr:row>
      <xdr:rowOff>238126</xdr:rowOff>
    </xdr:from>
    <xdr:to>
      <xdr:col>26</xdr:col>
      <xdr:colOff>238125</xdr:colOff>
      <xdr:row>5</xdr:row>
      <xdr:rowOff>238126</xdr:rowOff>
    </xdr:to>
    <xdr:cxnSp macro="">
      <xdr:nvCxnSpPr>
        <xdr:cNvPr id="41773" name="CNtp26c11routec"/>
        <xdr:cNvCxnSpPr>
          <a:stCxn id="41750" idx="6"/>
          <a:endCxn id="41771" idx="2"/>
        </xdr:cNvCxnSpPr>
      </xdr:nvCxnSpPr>
      <xdr:spPr>
        <a:xfrm>
          <a:off x="12849226" y="2809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238126</xdr:colOff>
      <xdr:row>4</xdr:row>
      <xdr:rowOff>238126</xdr:rowOff>
    </xdr:from>
    <xdr:to>
      <xdr:col>26</xdr:col>
      <xdr:colOff>238125</xdr:colOff>
      <xdr:row>5</xdr:row>
      <xdr:rowOff>238126</xdr:rowOff>
    </xdr:to>
    <xdr:cxnSp macro="">
      <xdr:nvCxnSpPr>
        <xdr:cNvPr id="41772" name="CNtp26c11routev"/>
        <xdr:cNvCxnSpPr>
          <a:stCxn id="41754" idx="6"/>
          <a:endCxn id="41771" idx="2"/>
        </xdr:cNvCxnSpPr>
      </xdr:nvCxnSpPr>
      <xdr:spPr>
        <a:xfrm>
          <a:off x="1284922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238126</xdr:colOff>
      <xdr:row>30</xdr:row>
      <xdr:rowOff>238126</xdr:rowOff>
    </xdr:from>
    <xdr:to>
      <xdr:col>25</xdr:col>
      <xdr:colOff>238125</xdr:colOff>
      <xdr:row>30</xdr:row>
      <xdr:rowOff>250826</xdr:rowOff>
    </xdr:to>
    <xdr:cxnSp macro="">
      <xdr:nvCxnSpPr>
        <xdr:cNvPr id="41769" name="CNtp25c13routeb"/>
        <xdr:cNvCxnSpPr>
          <a:stCxn id="41746" idx="6"/>
          <a:endCxn id="41768" idx="2"/>
        </xdr:cNvCxnSpPr>
      </xdr:nvCxnSpPr>
      <xdr:spPr>
        <a:xfrm>
          <a:off x="12372976" y="1566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238126</xdr:colOff>
      <xdr:row>24</xdr:row>
      <xdr:rowOff>238126</xdr:rowOff>
    </xdr:from>
    <xdr:to>
      <xdr:col>25</xdr:col>
      <xdr:colOff>238125</xdr:colOff>
      <xdr:row>30</xdr:row>
      <xdr:rowOff>238126</xdr:rowOff>
    </xdr:to>
    <xdr:cxnSp macro="">
      <xdr:nvCxnSpPr>
        <xdr:cNvPr id="41766" name="CNtp25c13routec"/>
        <xdr:cNvCxnSpPr>
          <a:stCxn id="41746" idx="6"/>
          <a:endCxn id="41764" idx="2"/>
        </xdr:cNvCxnSpPr>
      </xdr:nvCxnSpPr>
      <xdr:spPr>
        <a:xfrm flipV="1">
          <a:off x="12372976" y="12811126"/>
          <a:ext cx="476249" cy="2857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238126</xdr:colOff>
      <xdr:row>24</xdr:row>
      <xdr:rowOff>238126</xdr:rowOff>
    </xdr:from>
    <xdr:to>
      <xdr:col>25</xdr:col>
      <xdr:colOff>238125</xdr:colOff>
      <xdr:row>30</xdr:row>
      <xdr:rowOff>238126</xdr:rowOff>
    </xdr:to>
    <xdr:cxnSp macro="">
      <xdr:nvCxnSpPr>
        <xdr:cNvPr id="41765" name="CNtp25c13routev"/>
        <xdr:cNvCxnSpPr>
          <a:stCxn id="41746" idx="6"/>
          <a:endCxn id="41764" idx="2"/>
        </xdr:cNvCxnSpPr>
      </xdr:nvCxnSpPr>
      <xdr:spPr>
        <a:xfrm flipV="1">
          <a:off x="12372976" y="12811126"/>
          <a:ext cx="476249" cy="2857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238126</xdr:colOff>
      <xdr:row>18</xdr:row>
      <xdr:rowOff>238126</xdr:rowOff>
    </xdr:from>
    <xdr:to>
      <xdr:col>25</xdr:col>
      <xdr:colOff>238125</xdr:colOff>
      <xdr:row>20</xdr:row>
      <xdr:rowOff>238126</xdr:rowOff>
    </xdr:to>
    <xdr:cxnSp macro="">
      <xdr:nvCxnSpPr>
        <xdr:cNvPr id="41761" name="CNtp25c12routev"/>
        <xdr:cNvCxnSpPr>
          <a:stCxn id="41742" idx="6"/>
          <a:endCxn id="41760" idx="2"/>
        </xdr:cNvCxnSpPr>
      </xdr:nvCxnSpPr>
      <xdr:spPr>
        <a:xfrm flipV="1">
          <a:off x="12372976" y="995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238126</xdr:colOff>
      <xdr:row>13</xdr:row>
      <xdr:rowOff>238126</xdr:rowOff>
    </xdr:from>
    <xdr:to>
      <xdr:col>25</xdr:col>
      <xdr:colOff>238125</xdr:colOff>
      <xdr:row>13</xdr:row>
      <xdr:rowOff>250826</xdr:rowOff>
    </xdr:to>
    <xdr:cxnSp macro="">
      <xdr:nvCxnSpPr>
        <xdr:cNvPr id="41758" name="CNtp25c12routeb"/>
        <xdr:cNvCxnSpPr>
          <a:stCxn id="41738" idx="6"/>
          <a:endCxn id="41756" idx="2"/>
        </xdr:cNvCxnSpPr>
      </xdr:nvCxnSpPr>
      <xdr:spPr>
        <a:xfrm>
          <a:off x="123729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238126</xdr:colOff>
      <xdr:row>13</xdr:row>
      <xdr:rowOff>238126</xdr:rowOff>
    </xdr:from>
    <xdr:to>
      <xdr:col>25</xdr:col>
      <xdr:colOff>238125</xdr:colOff>
      <xdr:row>13</xdr:row>
      <xdr:rowOff>250826</xdr:rowOff>
    </xdr:to>
    <xdr:cxnSp macro="">
      <xdr:nvCxnSpPr>
        <xdr:cNvPr id="41757" name="CNtp25c12routec"/>
        <xdr:cNvCxnSpPr>
          <a:stCxn id="41738" idx="6"/>
          <a:endCxn id="41756" idx="2"/>
        </xdr:cNvCxnSpPr>
      </xdr:nvCxnSpPr>
      <xdr:spPr>
        <a:xfrm>
          <a:off x="123729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238126</xdr:colOff>
      <xdr:row>4</xdr:row>
      <xdr:rowOff>238126</xdr:rowOff>
    </xdr:from>
    <xdr:to>
      <xdr:col>25</xdr:col>
      <xdr:colOff>238125</xdr:colOff>
      <xdr:row>4</xdr:row>
      <xdr:rowOff>250826</xdr:rowOff>
    </xdr:to>
    <xdr:cxnSp macro="">
      <xdr:nvCxnSpPr>
        <xdr:cNvPr id="41755" name="CNtp25c11routev"/>
        <xdr:cNvCxnSpPr>
          <a:stCxn id="41736" idx="6"/>
          <a:endCxn id="41754" idx="2"/>
        </xdr:cNvCxnSpPr>
      </xdr:nvCxnSpPr>
      <xdr:spPr>
        <a:xfrm>
          <a:off x="12372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238126</xdr:colOff>
      <xdr:row>3</xdr:row>
      <xdr:rowOff>238126</xdr:rowOff>
    </xdr:from>
    <xdr:to>
      <xdr:col>25</xdr:col>
      <xdr:colOff>238125</xdr:colOff>
      <xdr:row>3</xdr:row>
      <xdr:rowOff>250826</xdr:rowOff>
    </xdr:to>
    <xdr:cxnSp macro="">
      <xdr:nvCxnSpPr>
        <xdr:cNvPr id="41752" name="CNtp25c11routeb"/>
        <xdr:cNvCxnSpPr>
          <a:stCxn id="41732" idx="6"/>
          <a:endCxn id="41750" idx="2"/>
        </xdr:cNvCxnSpPr>
      </xdr:nvCxnSpPr>
      <xdr:spPr>
        <a:xfrm>
          <a:off x="12372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238126</xdr:colOff>
      <xdr:row>3</xdr:row>
      <xdr:rowOff>238126</xdr:rowOff>
    </xdr:from>
    <xdr:to>
      <xdr:col>25</xdr:col>
      <xdr:colOff>238125</xdr:colOff>
      <xdr:row>3</xdr:row>
      <xdr:rowOff>250826</xdr:rowOff>
    </xdr:to>
    <xdr:cxnSp macro="">
      <xdr:nvCxnSpPr>
        <xdr:cNvPr id="41751" name="CNtp25c11routec"/>
        <xdr:cNvCxnSpPr>
          <a:stCxn id="41732" idx="6"/>
          <a:endCxn id="41750" idx="2"/>
        </xdr:cNvCxnSpPr>
      </xdr:nvCxnSpPr>
      <xdr:spPr>
        <a:xfrm>
          <a:off x="12372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238126</xdr:colOff>
      <xdr:row>23</xdr:row>
      <xdr:rowOff>238126</xdr:rowOff>
    </xdr:from>
    <xdr:to>
      <xdr:col>24</xdr:col>
      <xdr:colOff>238125</xdr:colOff>
      <xdr:row>30</xdr:row>
      <xdr:rowOff>238126</xdr:rowOff>
    </xdr:to>
    <xdr:cxnSp macro="">
      <xdr:nvCxnSpPr>
        <xdr:cNvPr id="41749" name="CNtp24c13routeb"/>
        <xdr:cNvCxnSpPr>
          <a:stCxn id="41726" idx="6"/>
          <a:endCxn id="41746" idx="2"/>
        </xdr:cNvCxnSpPr>
      </xdr:nvCxnSpPr>
      <xdr:spPr>
        <a:xfrm>
          <a:off x="11896726" y="12334876"/>
          <a:ext cx="476249" cy="3333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238126</xdr:colOff>
      <xdr:row>23</xdr:row>
      <xdr:rowOff>238126</xdr:rowOff>
    </xdr:from>
    <xdr:to>
      <xdr:col>24</xdr:col>
      <xdr:colOff>238125</xdr:colOff>
      <xdr:row>30</xdr:row>
      <xdr:rowOff>238126</xdr:rowOff>
    </xdr:to>
    <xdr:cxnSp macro="">
      <xdr:nvCxnSpPr>
        <xdr:cNvPr id="41748" name="CNtp24c13routec"/>
        <xdr:cNvCxnSpPr>
          <a:stCxn id="41726" idx="6"/>
          <a:endCxn id="41746" idx="2"/>
        </xdr:cNvCxnSpPr>
      </xdr:nvCxnSpPr>
      <xdr:spPr>
        <a:xfrm>
          <a:off x="11896726" y="12334876"/>
          <a:ext cx="476249" cy="3333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238126</xdr:colOff>
      <xdr:row>24</xdr:row>
      <xdr:rowOff>238126</xdr:rowOff>
    </xdr:from>
    <xdr:to>
      <xdr:col>24</xdr:col>
      <xdr:colOff>238125</xdr:colOff>
      <xdr:row>30</xdr:row>
      <xdr:rowOff>238126</xdr:rowOff>
    </xdr:to>
    <xdr:cxnSp macro="">
      <xdr:nvCxnSpPr>
        <xdr:cNvPr id="41747" name="CNtp24c13routev"/>
        <xdr:cNvCxnSpPr>
          <a:stCxn id="41730" idx="6"/>
          <a:endCxn id="41746" idx="2"/>
        </xdr:cNvCxnSpPr>
      </xdr:nvCxnSpPr>
      <xdr:spPr>
        <a:xfrm>
          <a:off x="11896726" y="12811126"/>
          <a:ext cx="476249" cy="2857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238126</xdr:colOff>
      <xdr:row>14</xdr:row>
      <xdr:rowOff>238126</xdr:rowOff>
    </xdr:from>
    <xdr:to>
      <xdr:col>24</xdr:col>
      <xdr:colOff>238125</xdr:colOff>
      <xdr:row>20</xdr:row>
      <xdr:rowOff>238126</xdr:rowOff>
    </xdr:to>
    <xdr:cxnSp macro="">
      <xdr:nvCxnSpPr>
        <xdr:cNvPr id="41743" name="CNtp24c12routev"/>
        <xdr:cNvCxnSpPr>
          <a:stCxn id="41724" idx="6"/>
          <a:endCxn id="41742" idx="2"/>
        </xdr:cNvCxnSpPr>
      </xdr:nvCxnSpPr>
      <xdr:spPr>
        <a:xfrm>
          <a:off x="11896726" y="8048626"/>
          <a:ext cx="476249" cy="2857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238126</xdr:colOff>
      <xdr:row>13</xdr:row>
      <xdr:rowOff>238126</xdr:rowOff>
    </xdr:from>
    <xdr:to>
      <xdr:col>24</xdr:col>
      <xdr:colOff>238125</xdr:colOff>
      <xdr:row>13</xdr:row>
      <xdr:rowOff>250826</xdr:rowOff>
    </xdr:to>
    <xdr:cxnSp macro="">
      <xdr:nvCxnSpPr>
        <xdr:cNvPr id="41740" name="CNtp24c12routeb"/>
        <xdr:cNvCxnSpPr>
          <a:stCxn id="41720" idx="6"/>
          <a:endCxn id="41738" idx="2"/>
        </xdr:cNvCxnSpPr>
      </xdr:nvCxnSpPr>
      <xdr:spPr>
        <a:xfrm>
          <a:off x="118967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238126</xdr:colOff>
      <xdr:row>13</xdr:row>
      <xdr:rowOff>238126</xdr:rowOff>
    </xdr:from>
    <xdr:to>
      <xdr:col>24</xdr:col>
      <xdr:colOff>238125</xdr:colOff>
      <xdr:row>13</xdr:row>
      <xdr:rowOff>250826</xdr:rowOff>
    </xdr:to>
    <xdr:cxnSp macro="">
      <xdr:nvCxnSpPr>
        <xdr:cNvPr id="41739" name="CNtp24c12routec"/>
        <xdr:cNvCxnSpPr>
          <a:stCxn id="41720" idx="6"/>
          <a:endCxn id="41738" idx="2"/>
        </xdr:cNvCxnSpPr>
      </xdr:nvCxnSpPr>
      <xdr:spPr>
        <a:xfrm>
          <a:off x="118967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238126</xdr:colOff>
      <xdr:row>4</xdr:row>
      <xdr:rowOff>238126</xdr:rowOff>
    </xdr:from>
    <xdr:to>
      <xdr:col>24</xdr:col>
      <xdr:colOff>238125</xdr:colOff>
      <xdr:row>4</xdr:row>
      <xdr:rowOff>250826</xdr:rowOff>
    </xdr:to>
    <xdr:cxnSp macro="">
      <xdr:nvCxnSpPr>
        <xdr:cNvPr id="41737" name="CNtp24c11routev"/>
        <xdr:cNvCxnSpPr>
          <a:stCxn id="41718" idx="6"/>
          <a:endCxn id="41736" idx="2"/>
        </xdr:cNvCxnSpPr>
      </xdr:nvCxnSpPr>
      <xdr:spPr>
        <a:xfrm>
          <a:off x="1189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238126</xdr:colOff>
      <xdr:row>3</xdr:row>
      <xdr:rowOff>238126</xdr:rowOff>
    </xdr:from>
    <xdr:to>
      <xdr:col>24</xdr:col>
      <xdr:colOff>238125</xdr:colOff>
      <xdr:row>3</xdr:row>
      <xdr:rowOff>250826</xdr:rowOff>
    </xdr:to>
    <xdr:cxnSp macro="">
      <xdr:nvCxnSpPr>
        <xdr:cNvPr id="41734" name="CNtp24c11routeb"/>
        <xdr:cNvCxnSpPr>
          <a:stCxn id="41714" idx="6"/>
          <a:endCxn id="41732" idx="2"/>
        </xdr:cNvCxnSpPr>
      </xdr:nvCxnSpPr>
      <xdr:spPr>
        <a:xfrm>
          <a:off x="11896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238126</xdr:colOff>
      <xdr:row>3</xdr:row>
      <xdr:rowOff>238126</xdr:rowOff>
    </xdr:from>
    <xdr:to>
      <xdr:col>24</xdr:col>
      <xdr:colOff>238125</xdr:colOff>
      <xdr:row>3</xdr:row>
      <xdr:rowOff>250826</xdr:rowOff>
    </xdr:to>
    <xdr:cxnSp macro="">
      <xdr:nvCxnSpPr>
        <xdr:cNvPr id="41733" name="CNtp24c11routec"/>
        <xdr:cNvCxnSpPr>
          <a:stCxn id="41714" idx="6"/>
          <a:endCxn id="41732" idx="2"/>
        </xdr:cNvCxnSpPr>
      </xdr:nvCxnSpPr>
      <xdr:spPr>
        <a:xfrm>
          <a:off x="11896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238126</xdr:colOff>
      <xdr:row>23</xdr:row>
      <xdr:rowOff>238126</xdr:rowOff>
    </xdr:from>
    <xdr:to>
      <xdr:col>23</xdr:col>
      <xdr:colOff>238125</xdr:colOff>
      <xdr:row>24</xdr:row>
      <xdr:rowOff>238126</xdr:rowOff>
    </xdr:to>
    <xdr:cxnSp macro="">
      <xdr:nvCxnSpPr>
        <xdr:cNvPr id="41731" name="CNtp23c13routev"/>
        <xdr:cNvCxnSpPr>
          <a:stCxn id="41708" idx="6"/>
          <a:endCxn id="41730" idx="2"/>
        </xdr:cNvCxnSpPr>
      </xdr:nvCxnSpPr>
      <xdr:spPr>
        <a:xfrm>
          <a:off x="1142047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238126</xdr:colOff>
      <xdr:row>23</xdr:row>
      <xdr:rowOff>238126</xdr:rowOff>
    </xdr:from>
    <xdr:to>
      <xdr:col>23</xdr:col>
      <xdr:colOff>238125</xdr:colOff>
      <xdr:row>23</xdr:row>
      <xdr:rowOff>250826</xdr:rowOff>
    </xdr:to>
    <xdr:cxnSp macro="">
      <xdr:nvCxnSpPr>
        <xdr:cNvPr id="41728" name="CNtp23c13routeb"/>
        <xdr:cNvCxnSpPr>
          <a:stCxn id="41708" idx="6"/>
          <a:endCxn id="41726" idx="2"/>
        </xdr:cNvCxnSpPr>
      </xdr:nvCxnSpPr>
      <xdr:spPr>
        <a:xfrm>
          <a:off x="11420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238126</xdr:colOff>
      <xdr:row>23</xdr:row>
      <xdr:rowOff>238126</xdr:rowOff>
    </xdr:from>
    <xdr:to>
      <xdr:col>23</xdr:col>
      <xdr:colOff>238125</xdr:colOff>
      <xdr:row>23</xdr:row>
      <xdr:rowOff>250826</xdr:rowOff>
    </xdr:to>
    <xdr:cxnSp macro="">
      <xdr:nvCxnSpPr>
        <xdr:cNvPr id="41727" name="CNtp23c13routec"/>
        <xdr:cNvCxnSpPr>
          <a:stCxn id="41708" idx="6"/>
          <a:endCxn id="41726" idx="2"/>
        </xdr:cNvCxnSpPr>
      </xdr:nvCxnSpPr>
      <xdr:spPr>
        <a:xfrm>
          <a:off x="11420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238126</xdr:colOff>
      <xdr:row>14</xdr:row>
      <xdr:rowOff>238126</xdr:rowOff>
    </xdr:from>
    <xdr:to>
      <xdr:col>23</xdr:col>
      <xdr:colOff>238125</xdr:colOff>
      <xdr:row>18</xdr:row>
      <xdr:rowOff>238126</xdr:rowOff>
    </xdr:to>
    <xdr:cxnSp macro="">
      <xdr:nvCxnSpPr>
        <xdr:cNvPr id="41725" name="CNtp23c12routev"/>
        <xdr:cNvCxnSpPr>
          <a:stCxn id="41705" idx="6"/>
          <a:endCxn id="41724" idx="2"/>
        </xdr:cNvCxnSpPr>
      </xdr:nvCxnSpPr>
      <xdr:spPr>
        <a:xfrm flipV="1">
          <a:off x="114204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238126</xdr:colOff>
      <xdr:row>13</xdr:row>
      <xdr:rowOff>238126</xdr:rowOff>
    </xdr:from>
    <xdr:to>
      <xdr:col>23</xdr:col>
      <xdr:colOff>238125</xdr:colOff>
      <xdr:row>13</xdr:row>
      <xdr:rowOff>250826</xdr:rowOff>
    </xdr:to>
    <xdr:cxnSp macro="">
      <xdr:nvCxnSpPr>
        <xdr:cNvPr id="41722" name="CNtp23c12routeb"/>
        <xdr:cNvCxnSpPr>
          <a:stCxn id="41700" idx="6"/>
          <a:endCxn id="41720" idx="2"/>
        </xdr:cNvCxnSpPr>
      </xdr:nvCxnSpPr>
      <xdr:spPr>
        <a:xfrm>
          <a:off x="11420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238126</xdr:colOff>
      <xdr:row>13</xdr:row>
      <xdr:rowOff>238126</xdr:rowOff>
    </xdr:from>
    <xdr:to>
      <xdr:col>23</xdr:col>
      <xdr:colOff>238125</xdr:colOff>
      <xdr:row>13</xdr:row>
      <xdr:rowOff>250826</xdr:rowOff>
    </xdr:to>
    <xdr:cxnSp macro="">
      <xdr:nvCxnSpPr>
        <xdr:cNvPr id="41721" name="CNtp23c12routec"/>
        <xdr:cNvCxnSpPr>
          <a:stCxn id="41700" idx="6"/>
          <a:endCxn id="41720" idx="2"/>
        </xdr:cNvCxnSpPr>
      </xdr:nvCxnSpPr>
      <xdr:spPr>
        <a:xfrm>
          <a:off x="11420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238126</xdr:colOff>
      <xdr:row>4</xdr:row>
      <xdr:rowOff>238126</xdr:rowOff>
    </xdr:from>
    <xdr:to>
      <xdr:col>23</xdr:col>
      <xdr:colOff>238125</xdr:colOff>
      <xdr:row>5</xdr:row>
      <xdr:rowOff>238126</xdr:rowOff>
    </xdr:to>
    <xdr:cxnSp macro="">
      <xdr:nvCxnSpPr>
        <xdr:cNvPr id="41719" name="CNtp23c11routev"/>
        <xdr:cNvCxnSpPr>
          <a:stCxn id="41698" idx="6"/>
          <a:endCxn id="41718" idx="2"/>
        </xdr:cNvCxnSpPr>
      </xdr:nvCxnSpPr>
      <xdr:spPr>
        <a:xfrm flipV="1">
          <a:off x="114204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238126</xdr:colOff>
      <xdr:row>3</xdr:row>
      <xdr:rowOff>238126</xdr:rowOff>
    </xdr:from>
    <xdr:to>
      <xdr:col>23</xdr:col>
      <xdr:colOff>238125</xdr:colOff>
      <xdr:row>3</xdr:row>
      <xdr:rowOff>250826</xdr:rowOff>
    </xdr:to>
    <xdr:cxnSp macro="">
      <xdr:nvCxnSpPr>
        <xdr:cNvPr id="41716" name="CNtp23c11routeb"/>
        <xdr:cNvCxnSpPr>
          <a:stCxn id="41694" idx="6"/>
          <a:endCxn id="41714" idx="2"/>
        </xdr:cNvCxnSpPr>
      </xdr:nvCxnSpPr>
      <xdr:spPr>
        <a:xfrm>
          <a:off x="11420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238126</xdr:colOff>
      <xdr:row>3</xdr:row>
      <xdr:rowOff>238126</xdr:rowOff>
    </xdr:from>
    <xdr:to>
      <xdr:col>23</xdr:col>
      <xdr:colOff>238125</xdr:colOff>
      <xdr:row>3</xdr:row>
      <xdr:rowOff>250826</xdr:rowOff>
    </xdr:to>
    <xdr:cxnSp macro="">
      <xdr:nvCxnSpPr>
        <xdr:cNvPr id="41715" name="CNtp23c11routec"/>
        <xdr:cNvCxnSpPr>
          <a:stCxn id="41694" idx="6"/>
          <a:endCxn id="41714" idx="2"/>
        </xdr:cNvCxnSpPr>
      </xdr:nvCxnSpPr>
      <xdr:spPr>
        <a:xfrm>
          <a:off x="11420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238126</xdr:colOff>
      <xdr:row>23</xdr:row>
      <xdr:rowOff>238126</xdr:rowOff>
    </xdr:from>
    <xdr:to>
      <xdr:col>22</xdr:col>
      <xdr:colOff>238125</xdr:colOff>
      <xdr:row>24</xdr:row>
      <xdr:rowOff>238126</xdr:rowOff>
    </xdr:to>
    <xdr:cxnSp macro="">
      <xdr:nvCxnSpPr>
        <xdr:cNvPr id="41711" name="CNtp22c13routeb"/>
        <xdr:cNvCxnSpPr>
          <a:stCxn id="41690" idx="6"/>
          <a:endCxn id="41708" idx="2"/>
        </xdr:cNvCxnSpPr>
      </xdr:nvCxnSpPr>
      <xdr:spPr>
        <a:xfrm flipV="1">
          <a:off x="1094422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238126</xdr:colOff>
      <xdr:row>23</xdr:row>
      <xdr:rowOff>238126</xdr:rowOff>
    </xdr:from>
    <xdr:to>
      <xdr:col>22</xdr:col>
      <xdr:colOff>238125</xdr:colOff>
      <xdr:row>24</xdr:row>
      <xdr:rowOff>238126</xdr:rowOff>
    </xdr:to>
    <xdr:cxnSp macro="">
      <xdr:nvCxnSpPr>
        <xdr:cNvPr id="41710" name="CNtp22c13routec"/>
        <xdr:cNvCxnSpPr>
          <a:stCxn id="41690" idx="6"/>
          <a:endCxn id="41708" idx="2"/>
        </xdr:cNvCxnSpPr>
      </xdr:nvCxnSpPr>
      <xdr:spPr>
        <a:xfrm flipV="1">
          <a:off x="1094422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238126</xdr:colOff>
      <xdr:row>23</xdr:row>
      <xdr:rowOff>238126</xdr:rowOff>
    </xdr:from>
    <xdr:to>
      <xdr:col>22</xdr:col>
      <xdr:colOff>238125</xdr:colOff>
      <xdr:row>24</xdr:row>
      <xdr:rowOff>238126</xdr:rowOff>
    </xdr:to>
    <xdr:cxnSp macro="">
      <xdr:nvCxnSpPr>
        <xdr:cNvPr id="41709" name="CNtp22c13routev"/>
        <xdr:cNvCxnSpPr>
          <a:stCxn id="41690" idx="6"/>
          <a:endCxn id="41708" idx="2"/>
        </xdr:cNvCxnSpPr>
      </xdr:nvCxnSpPr>
      <xdr:spPr>
        <a:xfrm flipV="1">
          <a:off x="1094422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238126</xdr:colOff>
      <xdr:row>14</xdr:row>
      <xdr:rowOff>238126</xdr:rowOff>
    </xdr:from>
    <xdr:to>
      <xdr:col>22</xdr:col>
      <xdr:colOff>238125</xdr:colOff>
      <xdr:row>18</xdr:row>
      <xdr:rowOff>238126</xdr:rowOff>
    </xdr:to>
    <xdr:cxnSp macro="">
      <xdr:nvCxnSpPr>
        <xdr:cNvPr id="41706" name="CNtp22c12routev"/>
        <xdr:cNvCxnSpPr>
          <a:stCxn id="41687" idx="6"/>
          <a:endCxn id="41705" idx="2"/>
        </xdr:cNvCxnSpPr>
      </xdr:nvCxnSpPr>
      <xdr:spPr>
        <a:xfrm>
          <a:off x="109442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238126</xdr:colOff>
      <xdr:row>13</xdr:row>
      <xdr:rowOff>238126</xdr:rowOff>
    </xdr:from>
    <xdr:to>
      <xdr:col>22</xdr:col>
      <xdr:colOff>238125</xdr:colOff>
      <xdr:row>13</xdr:row>
      <xdr:rowOff>250826</xdr:rowOff>
    </xdr:to>
    <xdr:cxnSp macro="">
      <xdr:nvCxnSpPr>
        <xdr:cNvPr id="41702" name="CNtp22c12routeb"/>
        <xdr:cNvCxnSpPr>
          <a:stCxn id="41683" idx="6"/>
          <a:endCxn id="41700" idx="2"/>
        </xdr:cNvCxnSpPr>
      </xdr:nvCxnSpPr>
      <xdr:spPr>
        <a:xfrm>
          <a:off x="10944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238126</xdr:colOff>
      <xdr:row>13</xdr:row>
      <xdr:rowOff>238126</xdr:rowOff>
    </xdr:from>
    <xdr:to>
      <xdr:col>22</xdr:col>
      <xdr:colOff>238125</xdr:colOff>
      <xdr:row>13</xdr:row>
      <xdr:rowOff>250826</xdr:rowOff>
    </xdr:to>
    <xdr:cxnSp macro="">
      <xdr:nvCxnSpPr>
        <xdr:cNvPr id="41701" name="CNtp22c12routec"/>
        <xdr:cNvCxnSpPr>
          <a:stCxn id="41683" idx="6"/>
          <a:endCxn id="41700" idx="2"/>
        </xdr:cNvCxnSpPr>
      </xdr:nvCxnSpPr>
      <xdr:spPr>
        <a:xfrm>
          <a:off x="10944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238126</xdr:colOff>
      <xdr:row>5</xdr:row>
      <xdr:rowOff>238126</xdr:rowOff>
    </xdr:from>
    <xdr:to>
      <xdr:col>22</xdr:col>
      <xdr:colOff>238125</xdr:colOff>
      <xdr:row>5</xdr:row>
      <xdr:rowOff>250826</xdr:rowOff>
    </xdr:to>
    <xdr:cxnSp macro="">
      <xdr:nvCxnSpPr>
        <xdr:cNvPr id="41699" name="CNtp22c11routev"/>
        <xdr:cNvCxnSpPr>
          <a:stCxn id="41681" idx="6"/>
          <a:endCxn id="41698" idx="2"/>
        </xdr:cNvCxnSpPr>
      </xdr:nvCxnSpPr>
      <xdr:spPr>
        <a:xfrm>
          <a:off x="10944226" y="376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238126</xdr:colOff>
      <xdr:row>3</xdr:row>
      <xdr:rowOff>238126</xdr:rowOff>
    </xdr:from>
    <xdr:to>
      <xdr:col>22</xdr:col>
      <xdr:colOff>238125</xdr:colOff>
      <xdr:row>3</xdr:row>
      <xdr:rowOff>250826</xdr:rowOff>
    </xdr:to>
    <xdr:cxnSp macro="">
      <xdr:nvCxnSpPr>
        <xdr:cNvPr id="41696" name="CNtp22c11routeb"/>
        <xdr:cNvCxnSpPr>
          <a:stCxn id="41675" idx="6"/>
          <a:endCxn id="41694" idx="2"/>
        </xdr:cNvCxnSpPr>
      </xdr:nvCxnSpPr>
      <xdr:spPr>
        <a:xfrm>
          <a:off x="10944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238126</xdr:colOff>
      <xdr:row>3</xdr:row>
      <xdr:rowOff>238126</xdr:rowOff>
    </xdr:from>
    <xdr:to>
      <xdr:col>22</xdr:col>
      <xdr:colOff>238125</xdr:colOff>
      <xdr:row>4</xdr:row>
      <xdr:rowOff>238126</xdr:rowOff>
    </xdr:to>
    <xdr:cxnSp macro="">
      <xdr:nvCxnSpPr>
        <xdr:cNvPr id="41695" name="CNtp22c11routec"/>
        <xdr:cNvCxnSpPr>
          <a:stCxn id="41678" idx="6"/>
          <a:endCxn id="41694" idx="2"/>
        </xdr:cNvCxnSpPr>
      </xdr:nvCxnSpPr>
      <xdr:spPr>
        <a:xfrm flipV="1">
          <a:off x="1094422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238126</xdr:colOff>
      <xdr:row>23</xdr:row>
      <xdr:rowOff>238126</xdr:rowOff>
    </xdr:from>
    <xdr:to>
      <xdr:col>21</xdr:col>
      <xdr:colOff>238125</xdr:colOff>
      <xdr:row>24</xdr:row>
      <xdr:rowOff>238126</xdr:rowOff>
    </xdr:to>
    <xdr:cxnSp macro="">
      <xdr:nvCxnSpPr>
        <xdr:cNvPr id="41693" name="CNtp21c13routeb"/>
        <xdr:cNvCxnSpPr>
          <a:stCxn id="41669" idx="6"/>
          <a:endCxn id="41690" idx="2"/>
        </xdr:cNvCxnSpPr>
      </xdr:nvCxnSpPr>
      <xdr:spPr>
        <a:xfrm>
          <a:off x="1046797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238126</xdr:colOff>
      <xdr:row>24</xdr:row>
      <xdr:rowOff>238126</xdr:rowOff>
    </xdr:from>
    <xdr:to>
      <xdr:col>21</xdr:col>
      <xdr:colOff>238125</xdr:colOff>
      <xdr:row>24</xdr:row>
      <xdr:rowOff>250826</xdr:rowOff>
    </xdr:to>
    <xdr:cxnSp macro="">
      <xdr:nvCxnSpPr>
        <xdr:cNvPr id="41692" name="CNtp21c13routec"/>
        <xdr:cNvCxnSpPr>
          <a:stCxn id="41672" idx="6"/>
          <a:endCxn id="41690" idx="2"/>
        </xdr:cNvCxnSpPr>
      </xdr:nvCxnSpPr>
      <xdr:spPr>
        <a:xfrm>
          <a:off x="104679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238126</xdr:colOff>
      <xdr:row>24</xdr:row>
      <xdr:rowOff>238126</xdr:rowOff>
    </xdr:from>
    <xdr:to>
      <xdr:col>21</xdr:col>
      <xdr:colOff>238125</xdr:colOff>
      <xdr:row>24</xdr:row>
      <xdr:rowOff>250826</xdr:rowOff>
    </xdr:to>
    <xdr:cxnSp macro="">
      <xdr:nvCxnSpPr>
        <xdr:cNvPr id="41691" name="CNtp21c13routev"/>
        <xdr:cNvCxnSpPr>
          <a:stCxn id="41672" idx="6"/>
          <a:endCxn id="41690" idx="2"/>
        </xdr:cNvCxnSpPr>
      </xdr:nvCxnSpPr>
      <xdr:spPr>
        <a:xfrm>
          <a:off x="10467976" y="12811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238126</xdr:colOff>
      <xdr:row>14</xdr:row>
      <xdr:rowOff>238126</xdr:rowOff>
    </xdr:from>
    <xdr:to>
      <xdr:col>21</xdr:col>
      <xdr:colOff>238125</xdr:colOff>
      <xdr:row>14</xdr:row>
      <xdr:rowOff>250826</xdr:rowOff>
    </xdr:to>
    <xdr:cxnSp macro="">
      <xdr:nvCxnSpPr>
        <xdr:cNvPr id="41688" name="CNtp21c12routev"/>
        <xdr:cNvCxnSpPr>
          <a:stCxn id="41664" idx="6"/>
          <a:endCxn id="41687" idx="2"/>
        </xdr:cNvCxnSpPr>
      </xdr:nvCxnSpPr>
      <xdr:spPr>
        <a:xfrm>
          <a:off x="1046797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238126</xdr:colOff>
      <xdr:row>13</xdr:row>
      <xdr:rowOff>238126</xdr:rowOff>
    </xdr:from>
    <xdr:to>
      <xdr:col>21</xdr:col>
      <xdr:colOff>238125</xdr:colOff>
      <xdr:row>13</xdr:row>
      <xdr:rowOff>250826</xdr:rowOff>
    </xdr:to>
    <xdr:cxnSp macro="">
      <xdr:nvCxnSpPr>
        <xdr:cNvPr id="41685" name="CNtp21c12routeb"/>
        <xdr:cNvCxnSpPr>
          <a:stCxn id="41661" idx="6"/>
          <a:endCxn id="41683" idx="2"/>
        </xdr:cNvCxnSpPr>
      </xdr:nvCxnSpPr>
      <xdr:spPr>
        <a:xfrm>
          <a:off x="104679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238126</xdr:colOff>
      <xdr:row>13</xdr:row>
      <xdr:rowOff>238126</xdr:rowOff>
    </xdr:from>
    <xdr:to>
      <xdr:col>21</xdr:col>
      <xdr:colOff>238125</xdr:colOff>
      <xdr:row>14</xdr:row>
      <xdr:rowOff>238126</xdr:rowOff>
    </xdr:to>
    <xdr:cxnSp macro="">
      <xdr:nvCxnSpPr>
        <xdr:cNvPr id="41684" name="CNtp21c12routec"/>
        <xdr:cNvCxnSpPr>
          <a:stCxn id="41664" idx="6"/>
          <a:endCxn id="41683" idx="2"/>
        </xdr:cNvCxnSpPr>
      </xdr:nvCxnSpPr>
      <xdr:spPr>
        <a:xfrm flipV="1">
          <a:off x="10467976" y="75723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238126</xdr:colOff>
      <xdr:row>4</xdr:row>
      <xdr:rowOff>238126</xdr:rowOff>
    </xdr:from>
    <xdr:to>
      <xdr:col>21</xdr:col>
      <xdr:colOff>238125</xdr:colOff>
      <xdr:row>5</xdr:row>
      <xdr:rowOff>238126</xdr:rowOff>
    </xdr:to>
    <xdr:cxnSp macro="">
      <xdr:nvCxnSpPr>
        <xdr:cNvPr id="41682" name="CNtp21c11routev"/>
        <xdr:cNvCxnSpPr>
          <a:stCxn id="41658" idx="6"/>
          <a:endCxn id="41681" idx="2"/>
        </xdr:cNvCxnSpPr>
      </xdr:nvCxnSpPr>
      <xdr:spPr>
        <a:xfrm>
          <a:off x="104679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238126</xdr:colOff>
      <xdr:row>4</xdr:row>
      <xdr:rowOff>238126</xdr:rowOff>
    </xdr:from>
    <xdr:to>
      <xdr:col>21</xdr:col>
      <xdr:colOff>238125</xdr:colOff>
      <xdr:row>4</xdr:row>
      <xdr:rowOff>250826</xdr:rowOff>
    </xdr:to>
    <xdr:cxnSp macro="">
      <xdr:nvCxnSpPr>
        <xdr:cNvPr id="41679" name="CNtp21c11routec"/>
        <xdr:cNvCxnSpPr>
          <a:stCxn id="41658" idx="6"/>
          <a:endCxn id="41678" idx="2"/>
        </xdr:cNvCxnSpPr>
      </xdr:nvCxnSpPr>
      <xdr:spPr>
        <a:xfrm>
          <a:off x="1046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238126</xdr:colOff>
      <xdr:row>3</xdr:row>
      <xdr:rowOff>238126</xdr:rowOff>
    </xdr:from>
    <xdr:to>
      <xdr:col>21</xdr:col>
      <xdr:colOff>238125</xdr:colOff>
      <xdr:row>3</xdr:row>
      <xdr:rowOff>250826</xdr:rowOff>
    </xdr:to>
    <xdr:cxnSp macro="">
      <xdr:nvCxnSpPr>
        <xdr:cNvPr id="41676" name="CNtp21c11routeb"/>
        <xdr:cNvCxnSpPr>
          <a:stCxn id="41655" idx="6"/>
          <a:endCxn id="41675" idx="2"/>
        </xdr:cNvCxnSpPr>
      </xdr:nvCxnSpPr>
      <xdr:spPr>
        <a:xfrm>
          <a:off x="10467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238126</xdr:colOff>
      <xdr:row>23</xdr:row>
      <xdr:rowOff>238126</xdr:rowOff>
    </xdr:from>
    <xdr:to>
      <xdr:col>20</xdr:col>
      <xdr:colOff>238125</xdr:colOff>
      <xdr:row>24</xdr:row>
      <xdr:rowOff>238126</xdr:rowOff>
    </xdr:to>
    <xdr:cxnSp macro="">
      <xdr:nvCxnSpPr>
        <xdr:cNvPr id="41674" name="CNtp20c13routec"/>
        <xdr:cNvCxnSpPr>
          <a:stCxn id="41649" idx="6"/>
          <a:endCxn id="41672" idx="2"/>
        </xdr:cNvCxnSpPr>
      </xdr:nvCxnSpPr>
      <xdr:spPr>
        <a:xfrm>
          <a:off x="999172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238126</xdr:colOff>
      <xdr:row>23</xdr:row>
      <xdr:rowOff>238126</xdr:rowOff>
    </xdr:from>
    <xdr:to>
      <xdr:col>20</xdr:col>
      <xdr:colOff>238125</xdr:colOff>
      <xdr:row>24</xdr:row>
      <xdr:rowOff>238126</xdr:rowOff>
    </xdr:to>
    <xdr:cxnSp macro="">
      <xdr:nvCxnSpPr>
        <xdr:cNvPr id="41673" name="CNtp20c13routev"/>
        <xdr:cNvCxnSpPr>
          <a:stCxn id="41649" idx="6"/>
          <a:endCxn id="41672" idx="2"/>
        </xdr:cNvCxnSpPr>
      </xdr:nvCxnSpPr>
      <xdr:spPr>
        <a:xfrm>
          <a:off x="999172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238126</xdr:colOff>
      <xdr:row>23</xdr:row>
      <xdr:rowOff>238126</xdr:rowOff>
    </xdr:from>
    <xdr:to>
      <xdr:col>20</xdr:col>
      <xdr:colOff>238125</xdr:colOff>
      <xdr:row>23</xdr:row>
      <xdr:rowOff>250826</xdr:rowOff>
    </xdr:to>
    <xdr:cxnSp macro="">
      <xdr:nvCxnSpPr>
        <xdr:cNvPr id="41670" name="CNtp20c13routeb"/>
        <xdr:cNvCxnSpPr>
          <a:stCxn id="41649" idx="6"/>
          <a:endCxn id="41669" idx="2"/>
        </xdr:cNvCxnSpPr>
      </xdr:nvCxnSpPr>
      <xdr:spPr>
        <a:xfrm>
          <a:off x="9991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238126</xdr:colOff>
      <xdr:row>13</xdr:row>
      <xdr:rowOff>238126</xdr:rowOff>
    </xdr:from>
    <xdr:to>
      <xdr:col>20</xdr:col>
      <xdr:colOff>238125</xdr:colOff>
      <xdr:row>14</xdr:row>
      <xdr:rowOff>238126</xdr:rowOff>
    </xdr:to>
    <xdr:cxnSp macro="">
      <xdr:nvCxnSpPr>
        <xdr:cNvPr id="41666" name="CNtp20c12routec"/>
        <xdr:cNvCxnSpPr>
          <a:stCxn id="41642" idx="6"/>
          <a:endCxn id="41664" idx="2"/>
        </xdr:cNvCxnSpPr>
      </xdr:nvCxnSpPr>
      <xdr:spPr>
        <a:xfrm>
          <a:off x="9991726" y="75723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238126</xdr:colOff>
      <xdr:row>14</xdr:row>
      <xdr:rowOff>238126</xdr:rowOff>
    </xdr:from>
    <xdr:to>
      <xdr:col>20</xdr:col>
      <xdr:colOff>238125</xdr:colOff>
      <xdr:row>18</xdr:row>
      <xdr:rowOff>238126</xdr:rowOff>
    </xdr:to>
    <xdr:cxnSp macro="">
      <xdr:nvCxnSpPr>
        <xdr:cNvPr id="41665" name="CNtp20c12routev"/>
        <xdr:cNvCxnSpPr>
          <a:stCxn id="41646" idx="6"/>
          <a:endCxn id="41664" idx="2"/>
        </xdr:cNvCxnSpPr>
      </xdr:nvCxnSpPr>
      <xdr:spPr>
        <a:xfrm flipV="1">
          <a:off x="999172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238126</xdr:colOff>
      <xdr:row>13</xdr:row>
      <xdr:rowOff>238126</xdr:rowOff>
    </xdr:from>
    <xdr:to>
      <xdr:col>20</xdr:col>
      <xdr:colOff>238125</xdr:colOff>
      <xdr:row>13</xdr:row>
      <xdr:rowOff>250826</xdr:rowOff>
    </xdr:to>
    <xdr:cxnSp macro="">
      <xdr:nvCxnSpPr>
        <xdr:cNvPr id="41662" name="CNtp20c12routeb"/>
        <xdr:cNvCxnSpPr>
          <a:stCxn id="41642" idx="6"/>
          <a:endCxn id="41661" idx="2"/>
        </xdr:cNvCxnSpPr>
      </xdr:nvCxnSpPr>
      <xdr:spPr>
        <a:xfrm>
          <a:off x="99917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238126</xdr:colOff>
      <xdr:row>3</xdr:row>
      <xdr:rowOff>238126</xdr:rowOff>
    </xdr:from>
    <xdr:to>
      <xdr:col>20</xdr:col>
      <xdr:colOff>238125</xdr:colOff>
      <xdr:row>4</xdr:row>
      <xdr:rowOff>238126</xdr:rowOff>
    </xdr:to>
    <xdr:cxnSp macro="">
      <xdr:nvCxnSpPr>
        <xdr:cNvPr id="41660" name="CNtp20c11routec"/>
        <xdr:cNvCxnSpPr>
          <a:stCxn id="41636" idx="6"/>
          <a:endCxn id="41658" idx="2"/>
        </xdr:cNvCxnSpPr>
      </xdr:nvCxnSpPr>
      <xdr:spPr>
        <a:xfrm>
          <a:off x="999172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238126</xdr:colOff>
      <xdr:row>4</xdr:row>
      <xdr:rowOff>238126</xdr:rowOff>
    </xdr:from>
    <xdr:to>
      <xdr:col>20</xdr:col>
      <xdr:colOff>238125</xdr:colOff>
      <xdr:row>4</xdr:row>
      <xdr:rowOff>250826</xdr:rowOff>
    </xdr:to>
    <xdr:cxnSp macro="">
      <xdr:nvCxnSpPr>
        <xdr:cNvPr id="41659" name="CNtp20c11routev"/>
        <xdr:cNvCxnSpPr>
          <a:stCxn id="41640" idx="6"/>
          <a:endCxn id="41658" idx="2"/>
        </xdr:cNvCxnSpPr>
      </xdr:nvCxnSpPr>
      <xdr:spPr>
        <a:xfrm>
          <a:off x="999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238126</xdr:colOff>
      <xdr:row>3</xdr:row>
      <xdr:rowOff>238126</xdr:rowOff>
    </xdr:from>
    <xdr:to>
      <xdr:col>20</xdr:col>
      <xdr:colOff>238125</xdr:colOff>
      <xdr:row>3</xdr:row>
      <xdr:rowOff>250826</xdr:rowOff>
    </xdr:to>
    <xdr:cxnSp macro="">
      <xdr:nvCxnSpPr>
        <xdr:cNvPr id="41656" name="CNtp20c11routeb"/>
        <xdr:cNvCxnSpPr>
          <a:stCxn id="41636" idx="6"/>
          <a:endCxn id="41655" idx="2"/>
        </xdr:cNvCxnSpPr>
      </xdr:nvCxnSpPr>
      <xdr:spPr>
        <a:xfrm>
          <a:off x="9991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238126</xdr:colOff>
      <xdr:row>23</xdr:row>
      <xdr:rowOff>238126</xdr:rowOff>
    </xdr:from>
    <xdr:to>
      <xdr:col>19</xdr:col>
      <xdr:colOff>238125</xdr:colOff>
      <xdr:row>23</xdr:row>
      <xdr:rowOff>250826</xdr:rowOff>
    </xdr:to>
    <xdr:cxnSp macro="">
      <xdr:nvCxnSpPr>
        <xdr:cNvPr id="41652" name="CNtp19c13routeb"/>
        <xdr:cNvCxnSpPr>
          <a:stCxn id="41629" idx="6"/>
          <a:endCxn id="41649" idx="2"/>
        </xdr:cNvCxnSpPr>
      </xdr:nvCxnSpPr>
      <xdr:spPr>
        <a:xfrm>
          <a:off x="9515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238126</xdr:colOff>
      <xdr:row>23</xdr:row>
      <xdr:rowOff>238126</xdr:rowOff>
    </xdr:from>
    <xdr:to>
      <xdr:col>19</xdr:col>
      <xdr:colOff>238125</xdr:colOff>
      <xdr:row>23</xdr:row>
      <xdr:rowOff>250826</xdr:rowOff>
    </xdr:to>
    <xdr:cxnSp macro="">
      <xdr:nvCxnSpPr>
        <xdr:cNvPr id="41651" name="CNtp19c13routec"/>
        <xdr:cNvCxnSpPr>
          <a:stCxn id="41629" idx="6"/>
          <a:endCxn id="41649" idx="2"/>
        </xdr:cNvCxnSpPr>
      </xdr:nvCxnSpPr>
      <xdr:spPr>
        <a:xfrm>
          <a:off x="9515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238126</xdr:colOff>
      <xdr:row>23</xdr:row>
      <xdr:rowOff>238126</xdr:rowOff>
    </xdr:from>
    <xdr:to>
      <xdr:col>19</xdr:col>
      <xdr:colOff>238125</xdr:colOff>
      <xdr:row>25</xdr:row>
      <xdr:rowOff>238126</xdr:rowOff>
    </xdr:to>
    <xdr:cxnSp macro="">
      <xdr:nvCxnSpPr>
        <xdr:cNvPr id="41650" name="CNtp19c13routev"/>
        <xdr:cNvCxnSpPr>
          <a:stCxn id="41633" idx="6"/>
          <a:endCxn id="41649" idx="2"/>
        </xdr:cNvCxnSpPr>
      </xdr:nvCxnSpPr>
      <xdr:spPr>
        <a:xfrm flipV="1">
          <a:off x="9515476" y="12334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238126</xdr:colOff>
      <xdr:row>18</xdr:row>
      <xdr:rowOff>238126</xdr:rowOff>
    </xdr:from>
    <xdr:to>
      <xdr:col>19</xdr:col>
      <xdr:colOff>238125</xdr:colOff>
      <xdr:row>18</xdr:row>
      <xdr:rowOff>250826</xdr:rowOff>
    </xdr:to>
    <xdr:cxnSp macro="">
      <xdr:nvCxnSpPr>
        <xdr:cNvPr id="41647" name="CNtp19c12routev"/>
        <xdr:cNvCxnSpPr>
          <a:stCxn id="41627" idx="6"/>
          <a:endCxn id="41646" idx="2"/>
        </xdr:cNvCxnSpPr>
      </xdr:nvCxnSpPr>
      <xdr:spPr>
        <a:xfrm>
          <a:off x="951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238126</xdr:colOff>
      <xdr:row>13</xdr:row>
      <xdr:rowOff>238126</xdr:rowOff>
    </xdr:from>
    <xdr:to>
      <xdr:col>19</xdr:col>
      <xdr:colOff>238125</xdr:colOff>
      <xdr:row>13</xdr:row>
      <xdr:rowOff>250826</xdr:rowOff>
    </xdr:to>
    <xdr:cxnSp macro="">
      <xdr:nvCxnSpPr>
        <xdr:cNvPr id="41644" name="CNtp19c12routeb"/>
        <xdr:cNvCxnSpPr>
          <a:stCxn id="41623" idx="6"/>
          <a:endCxn id="41642" idx="2"/>
        </xdr:cNvCxnSpPr>
      </xdr:nvCxnSpPr>
      <xdr:spPr>
        <a:xfrm>
          <a:off x="9515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238126</xdr:colOff>
      <xdr:row>13</xdr:row>
      <xdr:rowOff>238126</xdr:rowOff>
    </xdr:from>
    <xdr:to>
      <xdr:col>19</xdr:col>
      <xdr:colOff>238125</xdr:colOff>
      <xdr:row>13</xdr:row>
      <xdr:rowOff>250826</xdr:rowOff>
    </xdr:to>
    <xdr:cxnSp macro="">
      <xdr:nvCxnSpPr>
        <xdr:cNvPr id="41643" name="CNtp19c12routec"/>
        <xdr:cNvCxnSpPr>
          <a:stCxn id="41623" idx="6"/>
          <a:endCxn id="41642" idx="2"/>
        </xdr:cNvCxnSpPr>
      </xdr:nvCxnSpPr>
      <xdr:spPr>
        <a:xfrm>
          <a:off x="9515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238126</xdr:colOff>
      <xdr:row>4</xdr:row>
      <xdr:rowOff>238126</xdr:rowOff>
    </xdr:from>
    <xdr:to>
      <xdr:col>19</xdr:col>
      <xdr:colOff>238125</xdr:colOff>
      <xdr:row>5</xdr:row>
      <xdr:rowOff>238126</xdr:rowOff>
    </xdr:to>
    <xdr:cxnSp macro="">
      <xdr:nvCxnSpPr>
        <xdr:cNvPr id="41641" name="CNtp19c11routev"/>
        <xdr:cNvCxnSpPr>
          <a:stCxn id="41621" idx="6"/>
          <a:endCxn id="41640" idx="2"/>
        </xdr:cNvCxnSpPr>
      </xdr:nvCxnSpPr>
      <xdr:spPr>
        <a:xfrm flipV="1">
          <a:off x="9515476" y="328612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238126</xdr:colOff>
      <xdr:row>3</xdr:row>
      <xdr:rowOff>238126</xdr:rowOff>
    </xdr:from>
    <xdr:to>
      <xdr:col>19</xdr:col>
      <xdr:colOff>238125</xdr:colOff>
      <xdr:row>3</xdr:row>
      <xdr:rowOff>250826</xdr:rowOff>
    </xdr:to>
    <xdr:cxnSp macro="">
      <xdr:nvCxnSpPr>
        <xdr:cNvPr id="41638" name="CNtp19c11routeb"/>
        <xdr:cNvCxnSpPr>
          <a:stCxn id="41617" idx="6"/>
          <a:endCxn id="41636" idx="2"/>
        </xdr:cNvCxnSpPr>
      </xdr:nvCxnSpPr>
      <xdr:spPr>
        <a:xfrm>
          <a:off x="9515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238126</xdr:colOff>
      <xdr:row>3</xdr:row>
      <xdr:rowOff>238126</xdr:rowOff>
    </xdr:from>
    <xdr:to>
      <xdr:col>19</xdr:col>
      <xdr:colOff>238125</xdr:colOff>
      <xdr:row>3</xdr:row>
      <xdr:rowOff>250826</xdr:rowOff>
    </xdr:to>
    <xdr:cxnSp macro="">
      <xdr:nvCxnSpPr>
        <xdr:cNvPr id="41637" name="CNtp19c11routec"/>
        <xdr:cNvCxnSpPr>
          <a:stCxn id="41617" idx="6"/>
          <a:endCxn id="41636" idx="2"/>
        </xdr:cNvCxnSpPr>
      </xdr:nvCxnSpPr>
      <xdr:spPr>
        <a:xfrm>
          <a:off x="9515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238126</xdr:colOff>
      <xdr:row>23</xdr:row>
      <xdr:rowOff>238126</xdr:rowOff>
    </xdr:from>
    <xdr:to>
      <xdr:col>18</xdr:col>
      <xdr:colOff>238125</xdr:colOff>
      <xdr:row>25</xdr:row>
      <xdr:rowOff>238126</xdr:rowOff>
    </xdr:to>
    <xdr:cxnSp macro="">
      <xdr:nvCxnSpPr>
        <xdr:cNvPr id="41634" name="CNtp18c13routev"/>
        <xdr:cNvCxnSpPr>
          <a:stCxn id="41612" idx="6"/>
          <a:endCxn id="41633" idx="2"/>
        </xdr:cNvCxnSpPr>
      </xdr:nvCxnSpPr>
      <xdr:spPr>
        <a:xfrm>
          <a:off x="9039226" y="12334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238126</xdr:colOff>
      <xdr:row>23</xdr:row>
      <xdr:rowOff>238126</xdr:rowOff>
    </xdr:from>
    <xdr:to>
      <xdr:col>18</xdr:col>
      <xdr:colOff>238125</xdr:colOff>
      <xdr:row>23</xdr:row>
      <xdr:rowOff>250826</xdr:rowOff>
    </xdr:to>
    <xdr:cxnSp macro="">
      <xdr:nvCxnSpPr>
        <xdr:cNvPr id="41631" name="CNtp18c13routeb"/>
        <xdr:cNvCxnSpPr>
          <a:stCxn id="41612" idx="6"/>
          <a:endCxn id="41629" idx="2"/>
        </xdr:cNvCxnSpPr>
      </xdr:nvCxnSpPr>
      <xdr:spPr>
        <a:xfrm>
          <a:off x="9039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238126</xdr:colOff>
      <xdr:row>23</xdr:row>
      <xdr:rowOff>238126</xdr:rowOff>
    </xdr:from>
    <xdr:to>
      <xdr:col>18</xdr:col>
      <xdr:colOff>238125</xdr:colOff>
      <xdr:row>23</xdr:row>
      <xdr:rowOff>250826</xdr:rowOff>
    </xdr:to>
    <xdr:cxnSp macro="">
      <xdr:nvCxnSpPr>
        <xdr:cNvPr id="41630" name="CNtp18c13routec"/>
        <xdr:cNvCxnSpPr>
          <a:stCxn id="41612" idx="6"/>
          <a:endCxn id="41629" idx="2"/>
        </xdr:cNvCxnSpPr>
      </xdr:nvCxnSpPr>
      <xdr:spPr>
        <a:xfrm>
          <a:off x="9039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238126</xdr:colOff>
      <xdr:row>18</xdr:row>
      <xdr:rowOff>238126</xdr:rowOff>
    </xdr:from>
    <xdr:to>
      <xdr:col>18</xdr:col>
      <xdr:colOff>238125</xdr:colOff>
      <xdr:row>18</xdr:row>
      <xdr:rowOff>250826</xdr:rowOff>
    </xdr:to>
    <xdr:cxnSp macro="">
      <xdr:nvCxnSpPr>
        <xdr:cNvPr id="41628" name="CNtp18c12routev"/>
        <xdr:cNvCxnSpPr>
          <a:stCxn id="41609" idx="6"/>
          <a:endCxn id="41627" idx="2"/>
        </xdr:cNvCxnSpPr>
      </xdr:nvCxnSpPr>
      <xdr:spPr>
        <a:xfrm>
          <a:off x="9039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238126</xdr:colOff>
      <xdr:row>13</xdr:row>
      <xdr:rowOff>238126</xdr:rowOff>
    </xdr:from>
    <xdr:to>
      <xdr:col>18</xdr:col>
      <xdr:colOff>238125</xdr:colOff>
      <xdr:row>13</xdr:row>
      <xdr:rowOff>250826</xdr:rowOff>
    </xdr:to>
    <xdr:cxnSp macro="">
      <xdr:nvCxnSpPr>
        <xdr:cNvPr id="41625" name="CNtp18c12routeb"/>
        <xdr:cNvCxnSpPr>
          <a:stCxn id="41605" idx="6"/>
          <a:endCxn id="41623" idx="2"/>
        </xdr:cNvCxnSpPr>
      </xdr:nvCxnSpPr>
      <xdr:spPr>
        <a:xfrm>
          <a:off x="9039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238126</xdr:colOff>
      <xdr:row>13</xdr:row>
      <xdr:rowOff>238126</xdr:rowOff>
    </xdr:from>
    <xdr:to>
      <xdr:col>18</xdr:col>
      <xdr:colOff>238125</xdr:colOff>
      <xdr:row>13</xdr:row>
      <xdr:rowOff>250826</xdr:rowOff>
    </xdr:to>
    <xdr:cxnSp macro="">
      <xdr:nvCxnSpPr>
        <xdr:cNvPr id="41624" name="CNtp18c12routec"/>
        <xdr:cNvCxnSpPr>
          <a:stCxn id="41605" idx="6"/>
          <a:endCxn id="41623" idx="2"/>
        </xdr:cNvCxnSpPr>
      </xdr:nvCxnSpPr>
      <xdr:spPr>
        <a:xfrm>
          <a:off x="9039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238126</xdr:colOff>
      <xdr:row>3</xdr:row>
      <xdr:rowOff>238126</xdr:rowOff>
    </xdr:from>
    <xdr:to>
      <xdr:col>18</xdr:col>
      <xdr:colOff>238125</xdr:colOff>
      <xdr:row>5</xdr:row>
      <xdr:rowOff>238126</xdr:rowOff>
    </xdr:to>
    <xdr:cxnSp macro="">
      <xdr:nvCxnSpPr>
        <xdr:cNvPr id="41622" name="CNtp18c11routev"/>
        <xdr:cNvCxnSpPr>
          <a:stCxn id="41600" idx="6"/>
          <a:endCxn id="41621" idx="2"/>
        </xdr:cNvCxnSpPr>
      </xdr:nvCxnSpPr>
      <xdr:spPr>
        <a:xfrm>
          <a:off x="9039226" y="280987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238126</xdr:colOff>
      <xdr:row>3</xdr:row>
      <xdr:rowOff>238126</xdr:rowOff>
    </xdr:from>
    <xdr:to>
      <xdr:col>18</xdr:col>
      <xdr:colOff>238125</xdr:colOff>
      <xdr:row>3</xdr:row>
      <xdr:rowOff>250826</xdr:rowOff>
    </xdr:to>
    <xdr:cxnSp macro="">
      <xdr:nvCxnSpPr>
        <xdr:cNvPr id="41619" name="CNtp18c11routeb"/>
        <xdr:cNvCxnSpPr>
          <a:stCxn id="41600" idx="6"/>
          <a:endCxn id="41617" idx="2"/>
        </xdr:cNvCxnSpPr>
      </xdr:nvCxnSpPr>
      <xdr:spPr>
        <a:xfrm>
          <a:off x="9039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238126</xdr:colOff>
      <xdr:row>3</xdr:row>
      <xdr:rowOff>238126</xdr:rowOff>
    </xdr:from>
    <xdr:to>
      <xdr:col>18</xdr:col>
      <xdr:colOff>238125</xdr:colOff>
      <xdr:row>3</xdr:row>
      <xdr:rowOff>250826</xdr:rowOff>
    </xdr:to>
    <xdr:cxnSp macro="">
      <xdr:nvCxnSpPr>
        <xdr:cNvPr id="41618" name="CNtp18c11routec"/>
        <xdr:cNvCxnSpPr>
          <a:stCxn id="41600" idx="6"/>
          <a:endCxn id="41617" idx="2"/>
        </xdr:cNvCxnSpPr>
      </xdr:nvCxnSpPr>
      <xdr:spPr>
        <a:xfrm>
          <a:off x="9039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238126</xdr:colOff>
      <xdr:row>23</xdr:row>
      <xdr:rowOff>238126</xdr:rowOff>
    </xdr:from>
    <xdr:to>
      <xdr:col>17</xdr:col>
      <xdr:colOff>238125</xdr:colOff>
      <xdr:row>23</xdr:row>
      <xdr:rowOff>250826</xdr:rowOff>
    </xdr:to>
    <xdr:cxnSp macro="">
      <xdr:nvCxnSpPr>
        <xdr:cNvPr id="41615" name="CNtp17c13routeb"/>
        <xdr:cNvCxnSpPr>
          <a:stCxn id="41588" idx="6"/>
          <a:endCxn id="41612" idx="2"/>
        </xdr:cNvCxnSpPr>
      </xdr:nvCxnSpPr>
      <xdr:spPr>
        <a:xfrm>
          <a:off x="8562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238126</xdr:colOff>
      <xdr:row>23</xdr:row>
      <xdr:rowOff>238126</xdr:rowOff>
    </xdr:from>
    <xdr:to>
      <xdr:col>17</xdr:col>
      <xdr:colOff>238125</xdr:colOff>
      <xdr:row>23</xdr:row>
      <xdr:rowOff>250826</xdr:rowOff>
    </xdr:to>
    <xdr:cxnSp macro="">
      <xdr:nvCxnSpPr>
        <xdr:cNvPr id="41614" name="CNtp17c13routec"/>
        <xdr:cNvCxnSpPr>
          <a:stCxn id="41588" idx="6"/>
          <a:endCxn id="41612" idx="2"/>
        </xdr:cNvCxnSpPr>
      </xdr:nvCxnSpPr>
      <xdr:spPr>
        <a:xfrm>
          <a:off x="8562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238126</xdr:colOff>
      <xdr:row>23</xdr:row>
      <xdr:rowOff>238126</xdr:rowOff>
    </xdr:from>
    <xdr:to>
      <xdr:col>17</xdr:col>
      <xdr:colOff>238125</xdr:colOff>
      <xdr:row>23</xdr:row>
      <xdr:rowOff>250826</xdr:rowOff>
    </xdr:to>
    <xdr:cxnSp macro="">
      <xdr:nvCxnSpPr>
        <xdr:cNvPr id="41613" name="CNtp17c13routev"/>
        <xdr:cNvCxnSpPr>
          <a:stCxn id="41588" idx="6"/>
          <a:endCxn id="41612" idx="2"/>
        </xdr:cNvCxnSpPr>
      </xdr:nvCxnSpPr>
      <xdr:spPr>
        <a:xfrm>
          <a:off x="8562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238126</xdr:colOff>
      <xdr:row>18</xdr:row>
      <xdr:rowOff>238126</xdr:rowOff>
    </xdr:from>
    <xdr:to>
      <xdr:col>17</xdr:col>
      <xdr:colOff>238125</xdr:colOff>
      <xdr:row>18</xdr:row>
      <xdr:rowOff>250826</xdr:rowOff>
    </xdr:to>
    <xdr:cxnSp macro="">
      <xdr:nvCxnSpPr>
        <xdr:cNvPr id="41610" name="CNtp17c12routev"/>
        <xdr:cNvCxnSpPr>
          <a:stCxn id="41583" idx="6"/>
          <a:endCxn id="41609" idx="2"/>
        </xdr:cNvCxnSpPr>
      </xdr:nvCxnSpPr>
      <xdr:spPr>
        <a:xfrm>
          <a:off x="8562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238126</xdr:colOff>
      <xdr:row>13</xdr:row>
      <xdr:rowOff>238126</xdr:rowOff>
    </xdr:from>
    <xdr:to>
      <xdr:col>17</xdr:col>
      <xdr:colOff>238125</xdr:colOff>
      <xdr:row>13</xdr:row>
      <xdr:rowOff>250826</xdr:rowOff>
    </xdr:to>
    <xdr:cxnSp macro="">
      <xdr:nvCxnSpPr>
        <xdr:cNvPr id="41607" name="CNtp17c12routeb"/>
        <xdr:cNvCxnSpPr>
          <a:stCxn id="41575" idx="6"/>
          <a:endCxn id="41605" idx="2"/>
        </xdr:cNvCxnSpPr>
      </xdr:nvCxnSpPr>
      <xdr:spPr>
        <a:xfrm>
          <a:off x="85629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238126</xdr:colOff>
      <xdr:row>13</xdr:row>
      <xdr:rowOff>238126</xdr:rowOff>
    </xdr:from>
    <xdr:to>
      <xdr:col>17</xdr:col>
      <xdr:colOff>238125</xdr:colOff>
      <xdr:row>13</xdr:row>
      <xdr:rowOff>250826</xdr:rowOff>
    </xdr:to>
    <xdr:cxnSp macro="">
      <xdr:nvCxnSpPr>
        <xdr:cNvPr id="41606" name="CNtp17c12routec"/>
        <xdr:cNvCxnSpPr>
          <a:stCxn id="41575" idx="6"/>
          <a:endCxn id="41605" idx="2"/>
        </xdr:cNvCxnSpPr>
      </xdr:nvCxnSpPr>
      <xdr:spPr>
        <a:xfrm>
          <a:off x="85629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238126</xdr:colOff>
      <xdr:row>3</xdr:row>
      <xdr:rowOff>238126</xdr:rowOff>
    </xdr:from>
    <xdr:to>
      <xdr:col>17</xdr:col>
      <xdr:colOff>238125</xdr:colOff>
      <xdr:row>3</xdr:row>
      <xdr:rowOff>250826</xdr:rowOff>
    </xdr:to>
    <xdr:cxnSp macro="">
      <xdr:nvCxnSpPr>
        <xdr:cNvPr id="41603" name="CNtp17c11routeb"/>
        <xdr:cNvCxnSpPr>
          <a:stCxn id="41568" idx="6"/>
          <a:endCxn id="41600" idx="2"/>
        </xdr:cNvCxnSpPr>
      </xdr:nvCxnSpPr>
      <xdr:spPr>
        <a:xfrm>
          <a:off x="8562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238126</xdr:colOff>
      <xdr:row>3</xdr:row>
      <xdr:rowOff>238126</xdr:rowOff>
    </xdr:from>
    <xdr:to>
      <xdr:col>17</xdr:col>
      <xdr:colOff>238125</xdr:colOff>
      <xdr:row>3</xdr:row>
      <xdr:rowOff>250826</xdr:rowOff>
    </xdr:to>
    <xdr:cxnSp macro="">
      <xdr:nvCxnSpPr>
        <xdr:cNvPr id="41602" name="CNtp17c11routec"/>
        <xdr:cNvCxnSpPr>
          <a:stCxn id="41568" idx="6"/>
          <a:endCxn id="41600" idx="2"/>
        </xdr:cNvCxnSpPr>
      </xdr:nvCxnSpPr>
      <xdr:spPr>
        <a:xfrm>
          <a:off x="8562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238126</xdr:colOff>
      <xdr:row>3</xdr:row>
      <xdr:rowOff>238126</xdr:rowOff>
    </xdr:from>
    <xdr:to>
      <xdr:col>17</xdr:col>
      <xdr:colOff>238125</xdr:colOff>
      <xdr:row>4</xdr:row>
      <xdr:rowOff>238126</xdr:rowOff>
    </xdr:to>
    <xdr:cxnSp macro="">
      <xdr:nvCxnSpPr>
        <xdr:cNvPr id="41601" name="CNtp17c11routev"/>
        <xdr:cNvCxnSpPr>
          <a:stCxn id="41572" idx="6"/>
          <a:endCxn id="41600" idx="2"/>
        </xdr:cNvCxnSpPr>
      </xdr:nvCxnSpPr>
      <xdr:spPr>
        <a:xfrm flipV="1">
          <a:off x="856297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238126</xdr:colOff>
      <xdr:row>23</xdr:row>
      <xdr:rowOff>238126</xdr:rowOff>
    </xdr:from>
    <xdr:to>
      <xdr:col>16</xdr:col>
      <xdr:colOff>238125</xdr:colOff>
      <xdr:row>23</xdr:row>
      <xdr:rowOff>250826</xdr:rowOff>
    </xdr:to>
    <xdr:cxnSp macro="">
      <xdr:nvCxnSpPr>
        <xdr:cNvPr id="41591" name="CNtp16c13routeb"/>
        <xdr:cNvCxnSpPr>
          <a:stCxn id="41556" idx="6"/>
          <a:endCxn id="41588" idx="2"/>
        </xdr:cNvCxnSpPr>
      </xdr:nvCxnSpPr>
      <xdr:spPr>
        <a:xfrm>
          <a:off x="8086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238126</xdr:colOff>
      <xdr:row>23</xdr:row>
      <xdr:rowOff>238126</xdr:rowOff>
    </xdr:from>
    <xdr:to>
      <xdr:col>16</xdr:col>
      <xdr:colOff>238125</xdr:colOff>
      <xdr:row>23</xdr:row>
      <xdr:rowOff>250826</xdr:rowOff>
    </xdr:to>
    <xdr:cxnSp macro="">
      <xdr:nvCxnSpPr>
        <xdr:cNvPr id="41590" name="CNtp16c13routec"/>
        <xdr:cNvCxnSpPr>
          <a:stCxn id="41556" idx="6"/>
          <a:endCxn id="41588" idx="2"/>
        </xdr:cNvCxnSpPr>
      </xdr:nvCxnSpPr>
      <xdr:spPr>
        <a:xfrm>
          <a:off x="8086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238126</xdr:colOff>
      <xdr:row>23</xdr:row>
      <xdr:rowOff>238126</xdr:rowOff>
    </xdr:from>
    <xdr:to>
      <xdr:col>16</xdr:col>
      <xdr:colOff>238125</xdr:colOff>
      <xdr:row>23</xdr:row>
      <xdr:rowOff>250826</xdr:rowOff>
    </xdr:to>
    <xdr:cxnSp macro="">
      <xdr:nvCxnSpPr>
        <xdr:cNvPr id="41589" name="CNtp16c13routev"/>
        <xdr:cNvCxnSpPr>
          <a:stCxn id="41556" idx="6"/>
          <a:endCxn id="41588" idx="2"/>
        </xdr:cNvCxnSpPr>
      </xdr:nvCxnSpPr>
      <xdr:spPr>
        <a:xfrm>
          <a:off x="8086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238126</xdr:colOff>
      <xdr:row>18</xdr:row>
      <xdr:rowOff>238126</xdr:rowOff>
    </xdr:from>
    <xdr:to>
      <xdr:col>16</xdr:col>
      <xdr:colOff>238125</xdr:colOff>
      <xdr:row>18</xdr:row>
      <xdr:rowOff>250826</xdr:rowOff>
    </xdr:to>
    <xdr:cxnSp macro="">
      <xdr:nvCxnSpPr>
        <xdr:cNvPr id="41584" name="CNtp16c12routev"/>
        <xdr:cNvCxnSpPr>
          <a:stCxn id="41551" idx="6"/>
          <a:endCxn id="41583" idx="2"/>
        </xdr:cNvCxnSpPr>
      </xdr:nvCxnSpPr>
      <xdr:spPr>
        <a:xfrm>
          <a:off x="8086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238126</xdr:colOff>
      <xdr:row>13</xdr:row>
      <xdr:rowOff>238126</xdr:rowOff>
    </xdr:from>
    <xdr:to>
      <xdr:col>16</xdr:col>
      <xdr:colOff>238125</xdr:colOff>
      <xdr:row>13</xdr:row>
      <xdr:rowOff>250826</xdr:rowOff>
    </xdr:to>
    <xdr:cxnSp macro="">
      <xdr:nvCxnSpPr>
        <xdr:cNvPr id="41577" name="CNtp16c12routeb"/>
        <xdr:cNvCxnSpPr>
          <a:stCxn id="41543" idx="6"/>
          <a:endCxn id="41575" idx="2"/>
        </xdr:cNvCxnSpPr>
      </xdr:nvCxnSpPr>
      <xdr:spPr>
        <a:xfrm>
          <a:off x="80867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238126</xdr:colOff>
      <xdr:row>13</xdr:row>
      <xdr:rowOff>238126</xdr:rowOff>
    </xdr:from>
    <xdr:to>
      <xdr:col>16</xdr:col>
      <xdr:colOff>238125</xdr:colOff>
      <xdr:row>13</xdr:row>
      <xdr:rowOff>250826</xdr:rowOff>
    </xdr:to>
    <xdr:cxnSp macro="">
      <xdr:nvCxnSpPr>
        <xdr:cNvPr id="41576" name="CNtp16c12routec"/>
        <xdr:cNvCxnSpPr>
          <a:stCxn id="41543" idx="6"/>
          <a:endCxn id="41575" idx="2"/>
        </xdr:cNvCxnSpPr>
      </xdr:nvCxnSpPr>
      <xdr:spPr>
        <a:xfrm>
          <a:off x="80867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238126</xdr:colOff>
      <xdr:row>4</xdr:row>
      <xdr:rowOff>238126</xdr:rowOff>
    </xdr:from>
    <xdr:to>
      <xdr:col>16</xdr:col>
      <xdr:colOff>238125</xdr:colOff>
      <xdr:row>4</xdr:row>
      <xdr:rowOff>250826</xdr:rowOff>
    </xdr:to>
    <xdr:cxnSp macro="">
      <xdr:nvCxnSpPr>
        <xdr:cNvPr id="41573" name="CNtp16c11routev"/>
        <xdr:cNvCxnSpPr>
          <a:stCxn id="41534" idx="6"/>
          <a:endCxn id="41572" idx="2"/>
        </xdr:cNvCxnSpPr>
      </xdr:nvCxnSpPr>
      <xdr:spPr>
        <a:xfrm>
          <a:off x="8086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238126</xdr:colOff>
      <xdr:row>3</xdr:row>
      <xdr:rowOff>238126</xdr:rowOff>
    </xdr:from>
    <xdr:to>
      <xdr:col>16</xdr:col>
      <xdr:colOff>238125</xdr:colOff>
      <xdr:row>3</xdr:row>
      <xdr:rowOff>250826</xdr:rowOff>
    </xdr:to>
    <xdr:cxnSp macro="">
      <xdr:nvCxnSpPr>
        <xdr:cNvPr id="41570" name="CNtp16c11routeb"/>
        <xdr:cNvCxnSpPr>
          <a:stCxn id="41530" idx="6"/>
          <a:endCxn id="41568" idx="2"/>
        </xdr:cNvCxnSpPr>
      </xdr:nvCxnSpPr>
      <xdr:spPr>
        <a:xfrm>
          <a:off x="8086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238126</xdr:colOff>
      <xdr:row>3</xdr:row>
      <xdr:rowOff>238126</xdr:rowOff>
    </xdr:from>
    <xdr:to>
      <xdr:col>16</xdr:col>
      <xdr:colOff>238125</xdr:colOff>
      <xdr:row>3</xdr:row>
      <xdr:rowOff>250826</xdr:rowOff>
    </xdr:to>
    <xdr:cxnSp macro="">
      <xdr:nvCxnSpPr>
        <xdr:cNvPr id="41569" name="CNtp16c11routec"/>
        <xdr:cNvCxnSpPr>
          <a:stCxn id="41530" idx="6"/>
          <a:endCxn id="41568" idx="2"/>
        </xdr:cNvCxnSpPr>
      </xdr:nvCxnSpPr>
      <xdr:spPr>
        <a:xfrm>
          <a:off x="8086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238126</xdr:colOff>
      <xdr:row>23</xdr:row>
      <xdr:rowOff>238126</xdr:rowOff>
    </xdr:from>
    <xdr:to>
      <xdr:col>15</xdr:col>
      <xdr:colOff>238125</xdr:colOff>
      <xdr:row>23</xdr:row>
      <xdr:rowOff>250826</xdr:rowOff>
    </xdr:to>
    <xdr:cxnSp macro="">
      <xdr:nvCxnSpPr>
        <xdr:cNvPr id="41559" name="CNtp15c13routeb"/>
        <xdr:cNvCxnSpPr>
          <a:stCxn id="41523" idx="6"/>
          <a:endCxn id="41556" idx="2"/>
        </xdr:cNvCxnSpPr>
      </xdr:nvCxnSpPr>
      <xdr:spPr>
        <a:xfrm>
          <a:off x="7610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238126</xdr:colOff>
      <xdr:row>23</xdr:row>
      <xdr:rowOff>238126</xdr:rowOff>
    </xdr:from>
    <xdr:to>
      <xdr:col>15</xdr:col>
      <xdr:colOff>238125</xdr:colOff>
      <xdr:row>23</xdr:row>
      <xdr:rowOff>250826</xdr:rowOff>
    </xdr:to>
    <xdr:cxnSp macro="">
      <xdr:nvCxnSpPr>
        <xdr:cNvPr id="41558" name="CNtp15c13routec"/>
        <xdr:cNvCxnSpPr>
          <a:stCxn id="41523" idx="6"/>
          <a:endCxn id="41556" idx="2"/>
        </xdr:cNvCxnSpPr>
      </xdr:nvCxnSpPr>
      <xdr:spPr>
        <a:xfrm>
          <a:off x="7610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238126</xdr:colOff>
      <xdr:row>23</xdr:row>
      <xdr:rowOff>238126</xdr:rowOff>
    </xdr:from>
    <xdr:to>
      <xdr:col>15</xdr:col>
      <xdr:colOff>238125</xdr:colOff>
      <xdr:row>23</xdr:row>
      <xdr:rowOff>250826</xdr:rowOff>
    </xdr:to>
    <xdr:cxnSp macro="">
      <xdr:nvCxnSpPr>
        <xdr:cNvPr id="41557" name="CNtp15c13routev"/>
        <xdr:cNvCxnSpPr>
          <a:stCxn id="41523" idx="6"/>
          <a:endCxn id="41556" idx="2"/>
        </xdr:cNvCxnSpPr>
      </xdr:nvCxnSpPr>
      <xdr:spPr>
        <a:xfrm>
          <a:off x="7610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238126</xdr:colOff>
      <xdr:row>18</xdr:row>
      <xdr:rowOff>238126</xdr:rowOff>
    </xdr:from>
    <xdr:to>
      <xdr:col>15</xdr:col>
      <xdr:colOff>238125</xdr:colOff>
      <xdr:row>18</xdr:row>
      <xdr:rowOff>250826</xdr:rowOff>
    </xdr:to>
    <xdr:cxnSp macro="">
      <xdr:nvCxnSpPr>
        <xdr:cNvPr id="41552" name="CNtp15c12routev"/>
        <xdr:cNvCxnSpPr>
          <a:stCxn id="41518" idx="6"/>
          <a:endCxn id="41551" idx="2"/>
        </xdr:cNvCxnSpPr>
      </xdr:nvCxnSpPr>
      <xdr:spPr>
        <a:xfrm>
          <a:off x="7610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238126</xdr:colOff>
      <xdr:row>13</xdr:row>
      <xdr:rowOff>238126</xdr:rowOff>
    </xdr:from>
    <xdr:to>
      <xdr:col>15</xdr:col>
      <xdr:colOff>238125</xdr:colOff>
      <xdr:row>13</xdr:row>
      <xdr:rowOff>250826</xdr:rowOff>
    </xdr:to>
    <xdr:cxnSp macro="">
      <xdr:nvCxnSpPr>
        <xdr:cNvPr id="41545" name="CNtp15c12routeb"/>
        <xdr:cNvCxnSpPr>
          <a:stCxn id="41510" idx="6"/>
          <a:endCxn id="41543" idx="2"/>
        </xdr:cNvCxnSpPr>
      </xdr:nvCxnSpPr>
      <xdr:spPr>
        <a:xfrm>
          <a:off x="7610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238126</xdr:colOff>
      <xdr:row>13</xdr:row>
      <xdr:rowOff>238126</xdr:rowOff>
    </xdr:from>
    <xdr:to>
      <xdr:col>15</xdr:col>
      <xdr:colOff>238125</xdr:colOff>
      <xdr:row>13</xdr:row>
      <xdr:rowOff>250826</xdr:rowOff>
    </xdr:to>
    <xdr:cxnSp macro="">
      <xdr:nvCxnSpPr>
        <xdr:cNvPr id="41544" name="CNtp15c12routec"/>
        <xdr:cNvCxnSpPr>
          <a:stCxn id="41510" idx="6"/>
          <a:endCxn id="41543" idx="2"/>
        </xdr:cNvCxnSpPr>
      </xdr:nvCxnSpPr>
      <xdr:spPr>
        <a:xfrm>
          <a:off x="7610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238126</xdr:colOff>
      <xdr:row>4</xdr:row>
      <xdr:rowOff>238126</xdr:rowOff>
    </xdr:from>
    <xdr:to>
      <xdr:col>15</xdr:col>
      <xdr:colOff>238125</xdr:colOff>
      <xdr:row>4</xdr:row>
      <xdr:rowOff>250826</xdr:rowOff>
    </xdr:to>
    <xdr:cxnSp macro="">
      <xdr:nvCxnSpPr>
        <xdr:cNvPr id="41535" name="CNtp15c11routev"/>
        <xdr:cNvCxnSpPr>
          <a:stCxn id="41501" idx="6"/>
          <a:endCxn id="41534" idx="2"/>
        </xdr:cNvCxnSpPr>
      </xdr:nvCxnSpPr>
      <xdr:spPr>
        <a:xfrm>
          <a:off x="7610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238126</xdr:colOff>
      <xdr:row>3</xdr:row>
      <xdr:rowOff>238126</xdr:rowOff>
    </xdr:from>
    <xdr:to>
      <xdr:col>15</xdr:col>
      <xdr:colOff>238125</xdr:colOff>
      <xdr:row>3</xdr:row>
      <xdr:rowOff>250826</xdr:rowOff>
    </xdr:to>
    <xdr:cxnSp macro="">
      <xdr:nvCxnSpPr>
        <xdr:cNvPr id="41532" name="CNtp15c11routeb"/>
        <xdr:cNvCxnSpPr>
          <a:stCxn id="41497" idx="6"/>
          <a:endCxn id="41530" idx="2"/>
        </xdr:cNvCxnSpPr>
      </xdr:nvCxnSpPr>
      <xdr:spPr>
        <a:xfrm>
          <a:off x="7610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238126</xdr:colOff>
      <xdr:row>3</xdr:row>
      <xdr:rowOff>238126</xdr:rowOff>
    </xdr:from>
    <xdr:to>
      <xdr:col>15</xdr:col>
      <xdr:colOff>238125</xdr:colOff>
      <xdr:row>3</xdr:row>
      <xdr:rowOff>250826</xdr:rowOff>
    </xdr:to>
    <xdr:cxnSp macro="">
      <xdr:nvCxnSpPr>
        <xdr:cNvPr id="41531" name="CNtp15c11routec"/>
        <xdr:cNvCxnSpPr>
          <a:stCxn id="41497" idx="6"/>
          <a:endCxn id="41530" idx="2"/>
        </xdr:cNvCxnSpPr>
      </xdr:nvCxnSpPr>
      <xdr:spPr>
        <a:xfrm>
          <a:off x="7610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238126</xdr:colOff>
      <xdr:row>23</xdr:row>
      <xdr:rowOff>238126</xdr:rowOff>
    </xdr:from>
    <xdr:to>
      <xdr:col>14</xdr:col>
      <xdr:colOff>238125</xdr:colOff>
      <xdr:row>23</xdr:row>
      <xdr:rowOff>250826</xdr:rowOff>
    </xdr:to>
    <xdr:cxnSp macro="">
      <xdr:nvCxnSpPr>
        <xdr:cNvPr id="41526" name="CNtp14c13routeb"/>
        <xdr:cNvCxnSpPr>
          <a:stCxn id="41491" idx="6"/>
          <a:endCxn id="41523" idx="2"/>
        </xdr:cNvCxnSpPr>
      </xdr:nvCxnSpPr>
      <xdr:spPr>
        <a:xfrm>
          <a:off x="7134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238126</xdr:colOff>
      <xdr:row>23</xdr:row>
      <xdr:rowOff>238126</xdr:rowOff>
    </xdr:from>
    <xdr:to>
      <xdr:col>14</xdr:col>
      <xdr:colOff>238125</xdr:colOff>
      <xdr:row>23</xdr:row>
      <xdr:rowOff>250826</xdr:rowOff>
    </xdr:to>
    <xdr:cxnSp macro="">
      <xdr:nvCxnSpPr>
        <xdr:cNvPr id="41525" name="CNtp14c13routec"/>
        <xdr:cNvCxnSpPr>
          <a:stCxn id="41491" idx="6"/>
          <a:endCxn id="41523" idx="2"/>
        </xdr:cNvCxnSpPr>
      </xdr:nvCxnSpPr>
      <xdr:spPr>
        <a:xfrm>
          <a:off x="7134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238126</xdr:colOff>
      <xdr:row>23</xdr:row>
      <xdr:rowOff>238126</xdr:rowOff>
    </xdr:from>
    <xdr:to>
      <xdr:col>14</xdr:col>
      <xdr:colOff>238125</xdr:colOff>
      <xdr:row>23</xdr:row>
      <xdr:rowOff>250826</xdr:rowOff>
    </xdr:to>
    <xdr:cxnSp macro="">
      <xdr:nvCxnSpPr>
        <xdr:cNvPr id="41524" name="CNtp14c13routev"/>
        <xdr:cNvCxnSpPr>
          <a:stCxn id="41491" idx="6"/>
          <a:endCxn id="41523" idx="2"/>
        </xdr:cNvCxnSpPr>
      </xdr:nvCxnSpPr>
      <xdr:spPr>
        <a:xfrm>
          <a:off x="7134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238126</xdr:colOff>
      <xdr:row>18</xdr:row>
      <xdr:rowOff>238126</xdr:rowOff>
    </xdr:from>
    <xdr:to>
      <xdr:col>14</xdr:col>
      <xdr:colOff>238125</xdr:colOff>
      <xdr:row>18</xdr:row>
      <xdr:rowOff>250826</xdr:rowOff>
    </xdr:to>
    <xdr:cxnSp macro="">
      <xdr:nvCxnSpPr>
        <xdr:cNvPr id="41519" name="CNtp14c12routev"/>
        <xdr:cNvCxnSpPr>
          <a:stCxn id="41488" idx="6"/>
          <a:endCxn id="41518" idx="2"/>
        </xdr:cNvCxnSpPr>
      </xdr:nvCxnSpPr>
      <xdr:spPr>
        <a:xfrm>
          <a:off x="713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238126</xdr:colOff>
      <xdr:row>13</xdr:row>
      <xdr:rowOff>238126</xdr:rowOff>
    </xdr:from>
    <xdr:to>
      <xdr:col>14</xdr:col>
      <xdr:colOff>238125</xdr:colOff>
      <xdr:row>13</xdr:row>
      <xdr:rowOff>250826</xdr:rowOff>
    </xdr:to>
    <xdr:cxnSp macro="">
      <xdr:nvCxnSpPr>
        <xdr:cNvPr id="41512" name="CNtp14c12routeb"/>
        <xdr:cNvCxnSpPr>
          <a:stCxn id="41484" idx="6"/>
          <a:endCxn id="41510" idx="2"/>
        </xdr:cNvCxnSpPr>
      </xdr:nvCxnSpPr>
      <xdr:spPr>
        <a:xfrm>
          <a:off x="7134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238126</xdr:colOff>
      <xdr:row>13</xdr:row>
      <xdr:rowOff>238126</xdr:rowOff>
    </xdr:from>
    <xdr:to>
      <xdr:col>14</xdr:col>
      <xdr:colOff>238125</xdr:colOff>
      <xdr:row>13</xdr:row>
      <xdr:rowOff>250826</xdr:rowOff>
    </xdr:to>
    <xdr:cxnSp macro="">
      <xdr:nvCxnSpPr>
        <xdr:cNvPr id="41511" name="CNtp14c12routec"/>
        <xdr:cNvCxnSpPr>
          <a:stCxn id="41484" idx="6"/>
          <a:endCxn id="41510" idx="2"/>
        </xdr:cNvCxnSpPr>
      </xdr:nvCxnSpPr>
      <xdr:spPr>
        <a:xfrm>
          <a:off x="7134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238126</xdr:colOff>
      <xdr:row>4</xdr:row>
      <xdr:rowOff>238126</xdr:rowOff>
    </xdr:from>
    <xdr:to>
      <xdr:col>14</xdr:col>
      <xdr:colOff>238125</xdr:colOff>
      <xdr:row>4</xdr:row>
      <xdr:rowOff>250826</xdr:rowOff>
    </xdr:to>
    <xdr:cxnSp macro="">
      <xdr:nvCxnSpPr>
        <xdr:cNvPr id="41502" name="CNtp14c11routev"/>
        <xdr:cNvCxnSpPr>
          <a:stCxn id="41482" idx="6"/>
          <a:endCxn id="41501" idx="2"/>
        </xdr:cNvCxnSpPr>
      </xdr:nvCxnSpPr>
      <xdr:spPr>
        <a:xfrm>
          <a:off x="7134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238126</xdr:colOff>
      <xdr:row>3</xdr:row>
      <xdr:rowOff>238126</xdr:rowOff>
    </xdr:from>
    <xdr:to>
      <xdr:col>14</xdr:col>
      <xdr:colOff>238125</xdr:colOff>
      <xdr:row>3</xdr:row>
      <xdr:rowOff>250826</xdr:rowOff>
    </xdr:to>
    <xdr:cxnSp macro="">
      <xdr:nvCxnSpPr>
        <xdr:cNvPr id="41499" name="CNtp14c11routeb"/>
        <xdr:cNvCxnSpPr>
          <a:stCxn id="41478" idx="6"/>
          <a:endCxn id="41497" idx="2"/>
        </xdr:cNvCxnSpPr>
      </xdr:nvCxnSpPr>
      <xdr:spPr>
        <a:xfrm>
          <a:off x="7134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238126</xdr:colOff>
      <xdr:row>3</xdr:row>
      <xdr:rowOff>238126</xdr:rowOff>
    </xdr:from>
    <xdr:to>
      <xdr:col>14</xdr:col>
      <xdr:colOff>238125</xdr:colOff>
      <xdr:row>3</xdr:row>
      <xdr:rowOff>250826</xdr:rowOff>
    </xdr:to>
    <xdr:cxnSp macro="">
      <xdr:nvCxnSpPr>
        <xdr:cNvPr id="41498" name="CNtp14c11routec"/>
        <xdr:cNvCxnSpPr>
          <a:stCxn id="41478" idx="6"/>
          <a:endCxn id="41497" idx="2"/>
        </xdr:cNvCxnSpPr>
      </xdr:nvCxnSpPr>
      <xdr:spPr>
        <a:xfrm>
          <a:off x="7134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238126</xdr:colOff>
      <xdr:row>23</xdr:row>
      <xdr:rowOff>238126</xdr:rowOff>
    </xdr:from>
    <xdr:to>
      <xdr:col>13</xdr:col>
      <xdr:colOff>238125</xdr:colOff>
      <xdr:row>23</xdr:row>
      <xdr:rowOff>250826</xdr:rowOff>
    </xdr:to>
    <xdr:cxnSp macro="">
      <xdr:nvCxnSpPr>
        <xdr:cNvPr id="41494" name="CNtp13c13routeb"/>
        <xdr:cNvCxnSpPr>
          <a:stCxn id="41473" idx="6"/>
          <a:endCxn id="41491" idx="2"/>
        </xdr:cNvCxnSpPr>
      </xdr:nvCxnSpPr>
      <xdr:spPr>
        <a:xfrm>
          <a:off x="6657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238126</xdr:colOff>
      <xdr:row>23</xdr:row>
      <xdr:rowOff>238126</xdr:rowOff>
    </xdr:from>
    <xdr:to>
      <xdr:col>13</xdr:col>
      <xdr:colOff>238125</xdr:colOff>
      <xdr:row>23</xdr:row>
      <xdr:rowOff>250826</xdr:rowOff>
    </xdr:to>
    <xdr:cxnSp macro="">
      <xdr:nvCxnSpPr>
        <xdr:cNvPr id="41493" name="CNtp13c13routec"/>
        <xdr:cNvCxnSpPr>
          <a:stCxn id="41473" idx="6"/>
          <a:endCxn id="41491" idx="2"/>
        </xdr:cNvCxnSpPr>
      </xdr:nvCxnSpPr>
      <xdr:spPr>
        <a:xfrm>
          <a:off x="6657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238126</xdr:colOff>
      <xdr:row>23</xdr:row>
      <xdr:rowOff>238126</xdr:rowOff>
    </xdr:from>
    <xdr:to>
      <xdr:col>13</xdr:col>
      <xdr:colOff>238125</xdr:colOff>
      <xdr:row>23</xdr:row>
      <xdr:rowOff>250826</xdr:rowOff>
    </xdr:to>
    <xdr:cxnSp macro="">
      <xdr:nvCxnSpPr>
        <xdr:cNvPr id="41492" name="CNtp13c13routev"/>
        <xdr:cNvCxnSpPr>
          <a:stCxn id="41473" idx="6"/>
          <a:endCxn id="41491" idx="2"/>
        </xdr:cNvCxnSpPr>
      </xdr:nvCxnSpPr>
      <xdr:spPr>
        <a:xfrm>
          <a:off x="6657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238126</xdr:colOff>
      <xdr:row>18</xdr:row>
      <xdr:rowOff>238126</xdr:rowOff>
    </xdr:from>
    <xdr:to>
      <xdr:col>13</xdr:col>
      <xdr:colOff>238125</xdr:colOff>
      <xdr:row>18</xdr:row>
      <xdr:rowOff>250826</xdr:rowOff>
    </xdr:to>
    <xdr:cxnSp macro="">
      <xdr:nvCxnSpPr>
        <xdr:cNvPr id="41489" name="CNtp13c12routev"/>
        <xdr:cNvCxnSpPr>
          <a:stCxn id="41470" idx="6"/>
          <a:endCxn id="41488" idx="2"/>
        </xdr:cNvCxnSpPr>
      </xdr:nvCxnSpPr>
      <xdr:spPr>
        <a:xfrm>
          <a:off x="665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238126</xdr:colOff>
      <xdr:row>13</xdr:row>
      <xdr:rowOff>238126</xdr:rowOff>
    </xdr:from>
    <xdr:to>
      <xdr:col>13</xdr:col>
      <xdr:colOff>238125</xdr:colOff>
      <xdr:row>13</xdr:row>
      <xdr:rowOff>250826</xdr:rowOff>
    </xdr:to>
    <xdr:cxnSp macro="">
      <xdr:nvCxnSpPr>
        <xdr:cNvPr id="41486" name="CNtp13c12routeb"/>
        <xdr:cNvCxnSpPr>
          <a:stCxn id="41466" idx="6"/>
          <a:endCxn id="41484" idx="2"/>
        </xdr:cNvCxnSpPr>
      </xdr:nvCxnSpPr>
      <xdr:spPr>
        <a:xfrm>
          <a:off x="66579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238126</xdr:colOff>
      <xdr:row>13</xdr:row>
      <xdr:rowOff>238126</xdr:rowOff>
    </xdr:from>
    <xdr:to>
      <xdr:col>13</xdr:col>
      <xdr:colOff>238125</xdr:colOff>
      <xdr:row>13</xdr:row>
      <xdr:rowOff>250826</xdr:rowOff>
    </xdr:to>
    <xdr:cxnSp macro="">
      <xdr:nvCxnSpPr>
        <xdr:cNvPr id="41485" name="CNtp13c12routec"/>
        <xdr:cNvCxnSpPr>
          <a:stCxn id="41466" idx="6"/>
          <a:endCxn id="41484" idx="2"/>
        </xdr:cNvCxnSpPr>
      </xdr:nvCxnSpPr>
      <xdr:spPr>
        <a:xfrm>
          <a:off x="66579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238126</xdr:colOff>
      <xdr:row>4</xdr:row>
      <xdr:rowOff>238126</xdr:rowOff>
    </xdr:from>
    <xdr:to>
      <xdr:col>13</xdr:col>
      <xdr:colOff>238125</xdr:colOff>
      <xdr:row>4</xdr:row>
      <xdr:rowOff>250826</xdr:rowOff>
    </xdr:to>
    <xdr:cxnSp macro="">
      <xdr:nvCxnSpPr>
        <xdr:cNvPr id="41483" name="CNtp13c11routev"/>
        <xdr:cNvCxnSpPr>
          <a:stCxn id="41464" idx="6"/>
          <a:endCxn id="41482" idx="2"/>
        </xdr:cNvCxnSpPr>
      </xdr:nvCxnSpPr>
      <xdr:spPr>
        <a:xfrm>
          <a:off x="66579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238126</xdr:colOff>
      <xdr:row>3</xdr:row>
      <xdr:rowOff>238126</xdr:rowOff>
    </xdr:from>
    <xdr:to>
      <xdr:col>13</xdr:col>
      <xdr:colOff>238125</xdr:colOff>
      <xdr:row>3</xdr:row>
      <xdr:rowOff>250826</xdr:rowOff>
    </xdr:to>
    <xdr:cxnSp macro="">
      <xdr:nvCxnSpPr>
        <xdr:cNvPr id="41480" name="CNtp13c11routeb"/>
        <xdr:cNvCxnSpPr>
          <a:stCxn id="41460" idx="6"/>
          <a:endCxn id="41478" idx="2"/>
        </xdr:cNvCxnSpPr>
      </xdr:nvCxnSpPr>
      <xdr:spPr>
        <a:xfrm>
          <a:off x="6657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238126</xdr:colOff>
      <xdr:row>3</xdr:row>
      <xdr:rowOff>238126</xdr:rowOff>
    </xdr:from>
    <xdr:to>
      <xdr:col>13</xdr:col>
      <xdr:colOff>238125</xdr:colOff>
      <xdr:row>3</xdr:row>
      <xdr:rowOff>250826</xdr:rowOff>
    </xdr:to>
    <xdr:cxnSp macro="">
      <xdr:nvCxnSpPr>
        <xdr:cNvPr id="41479" name="CNtp13c11routec"/>
        <xdr:cNvCxnSpPr>
          <a:stCxn id="41460" idx="6"/>
          <a:endCxn id="41478" idx="2"/>
        </xdr:cNvCxnSpPr>
      </xdr:nvCxnSpPr>
      <xdr:spPr>
        <a:xfrm>
          <a:off x="6657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23</xdr:row>
      <xdr:rowOff>238126</xdr:rowOff>
    </xdr:from>
    <xdr:to>
      <xdr:col>12</xdr:col>
      <xdr:colOff>238125</xdr:colOff>
      <xdr:row>23</xdr:row>
      <xdr:rowOff>250826</xdr:rowOff>
    </xdr:to>
    <xdr:cxnSp macro="">
      <xdr:nvCxnSpPr>
        <xdr:cNvPr id="41476" name="CNtp12c13routeb"/>
        <xdr:cNvCxnSpPr>
          <a:stCxn id="41454" idx="6"/>
          <a:endCxn id="41473" idx="2"/>
        </xdr:cNvCxnSpPr>
      </xdr:nvCxnSpPr>
      <xdr:spPr>
        <a:xfrm>
          <a:off x="6181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23</xdr:row>
      <xdr:rowOff>238126</xdr:rowOff>
    </xdr:from>
    <xdr:to>
      <xdr:col>12</xdr:col>
      <xdr:colOff>238125</xdr:colOff>
      <xdr:row>23</xdr:row>
      <xdr:rowOff>250826</xdr:rowOff>
    </xdr:to>
    <xdr:cxnSp macro="">
      <xdr:nvCxnSpPr>
        <xdr:cNvPr id="41475" name="CNtp12c13routec"/>
        <xdr:cNvCxnSpPr>
          <a:stCxn id="41454" idx="6"/>
          <a:endCxn id="41473" idx="2"/>
        </xdr:cNvCxnSpPr>
      </xdr:nvCxnSpPr>
      <xdr:spPr>
        <a:xfrm>
          <a:off x="6181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23</xdr:row>
      <xdr:rowOff>238126</xdr:rowOff>
    </xdr:from>
    <xdr:to>
      <xdr:col>12</xdr:col>
      <xdr:colOff>238125</xdr:colOff>
      <xdr:row>23</xdr:row>
      <xdr:rowOff>250826</xdr:rowOff>
    </xdr:to>
    <xdr:cxnSp macro="">
      <xdr:nvCxnSpPr>
        <xdr:cNvPr id="41474" name="CNtp12c13routev"/>
        <xdr:cNvCxnSpPr>
          <a:stCxn id="41454" idx="6"/>
          <a:endCxn id="41473" idx="2"/>
        </xdr:cNvCxnSpPr>
      </xdr:nvCxnSpPr>
      <xdr:spPr>
        <a:xfrm>
          <a:off x="6181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18</xdr:row>
      <xdr:rowOff>238126</xdr:rowOff>
    </xdr:from>
    <xdr:to>
      <xdr:col>12</xdr:col>
      <xdr:colOff>238125</xdr:colOff>
      <xdr:row>18</xdr:row>
      <xdr:rowOff>250826</xdr:rowOff>
    </xdr:to>
    <xdr:cxnSp macro="">
      <xdr:nvCxnSpPr>
        <xdr:cNvPr id="41471" name="CNtp12c12routev"/>
        <xdr:cNvCxnSpPr>
          <a:stCxn id="41451" idx="6"/>
          <a:endCxn id="41470" idx="2"/>
        </xdr:cNvCxnSpPr>
      </xdr:nvCxnSpPr>
      <xdr:spPr>
        <a:xfrm>
          <a:off x="618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13</xdr:row>
      <xdr:rowOff>238126</xdr:rowOff>
    </xdr:from>
    <xdr:to>
      <xdr:col>12</xdr:col>
      <xdr:colOff>238125</xdr:colOff>
      <xdr:row>13</xdr:row>
      <xdr:rowOff>250826</xdr:rowOff>
    </xdr:to>
    <xdr:cxnSp macro="">
      <xdr:nvCxnSpPr>
        <xdr:cNvPr id="41468" name="CNtp12c12routeb"/>
        <xdr:cNvCxnSpPr>
          <a:stCxn id="41447" idx="6"/>
          <a:endCxn id="41466" idx="2"/>
        </xdr:cNvCxnSpPr>
      </xdr:nvCxnSpPr>
      <xdr:spPr>
        <a:xfrm>
          <a:off x="61817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13</xdr:row>
      <xdr:rowOff>238126</xdr:rowOff>
    </xdr:from>
    <xdr:to>
      <xdr:col>12</xdr:col>
      <xdr:colOff>238125</xdr:colOff>
      <xdr:row>13</xdr:row>
      <xdr:rowOff>250826</xdr:rowOff>
    </xdr:to>
    <xdr:cxnSp macro="">
      <xdr:nvCxnSpPr>
        <xdr:cNvPr id="41467" name="CNtp12c12routec"/>
        <xdr:cNvCxnSpPr>
          <a:stCxn id="41447" idx="6"/>
          <a:endCxn id="41466" idx="2"/>
        </xdr:cNvCxnSpPr>
      </xdr:nvCxnSpPr>
      <xdr:spPr>
        <a:xfrm>
          <a:off x="61817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4</xdr:row>
      <xdr:rowOff>238126</xdr:rowOff>
    </xdr:from>
    <xdr:to>
      <xdr:col>12</xdr:col>
      <xdr:colOff>238125</xdr:colOff>
      <xdr:row>4</xdr:row>
      <xdr:rowOff>250826</xdr:rowOff>
    </xdr:to>
    <xdr:cxnSp macro="">
      <xdr:nvCxnSpPr>
        <xdr:cNvPr id="41465" name="CNtp12c11routev"/>
        <xdr:cNvCxnSpPr>
          <a:stCxn id="41444" idx="6"/>
          <a:endCxn id="41464" idx="2"/>
        </xdr:cNvCxnSpPr>
      </xdr:nvCxnSpPr>
      <xdr:spPr>
        <a:xfrm>
          <a:off x="61817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3</xdr:row>
      <xdr:rowOff>238126</xdr:rowOff>
    </xdr:from>
    <xdr:to>
      <xdr:col>12</xdr:col>
      <xdr:colOff>238125</xdr:colOff>
      <xdr:row>3</xdr:row>
      <xdr:rowOff>250826</xdr:rowOff>
    </xdr:to>
    <xdr:cxnSp macro="">
      <xdr:nvCxnSpPr>
        <xdr:cNvPr id="41462" name="CNtp12c11routeb"/>
        <xdr:cNvCxnSpPr>
          <a:stCxn id="41440" idx="6"/>
          <a:endCxn id="41460" idx="2"/>
        </xdr:cNvCxnSpPr>
      </xdr:nvCxnSpPr>
      <xdr:spPr>
        <a:xfrm>
          <a:off x="6181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3</xdr:row>
      <xdr:rowOff>238126</xdr:rowOff>
    </xdr:from>
    <xdr:to>
      <xdr:col>12</xdr:col>
      <xdr:colOff>238125</xdr:colOff>
      <xdr:row>3</xdr:row>
      <xdr:rowOff>250826</xdr:rowOff>
    </xdr:to>
    <xdr:cxnSp macro="">
      <xdr:nvCxnSpPr>
        <xdr:cNvPr id="41461" name="CNtp12c11routec"/>
        <xdr:cNvCxnSpPr>
          <a:stCxn id="41440" idx="6"/>
          <a:endCxn id="41460" idx="2"/>
        </xdr:cNvCxnSpPr>
      </xdr:nvCxnSpPr>
      <xdr:spPr>
        <a:xfrm>
          <a:off x="6181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238126</xdr:colOff>
      <xdr:row>23</xdr:row>
      <xdr:rowOff>238126</xdr:rowOff>
    </xdr:from>
    <xdr:to>
      <xdr:col>11</xdr:col>
      <xdr:colOff>238125</xdr:colOff>
      <xdr:row>28</xdr:row>
      <xdr:rowOff>238126</xdr:rowOff>
    </xdr:to>
    <xdr:cxnSp macro="">
      <xdr:nvCxnSpPr>
        <xdr:cNvPr id="41457" name="CNtp11c13routeb"/>
        <xdr:cNvCxnSpPr>
          <a:stCxn id="41437" idx="6"/>
          <a:endCxn id="41454" idx="2"/>
        </xdr:cNvCxnSpPr>
      </xdr:nvCxnSpPr>
      <xdr:spPr>
        <a:xfrm flipV="1">
          <a:off x="570547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238126</xdr:colOff>
      <xdr:row>23</xdr:row>
      <xdr:rowOff>238126</xdr:rowOff>
    </xdr:from>
    <xdr:to>
      <xdr:col>11</xdr:col>
      <xdr:colOff>238125</xdr:colOff>
      <xdr:row>24</xdr:row>
      <xdr:rowOff>238126</xdr:rowOff>
    </xdr:to>
    <xdr:cxnSp macro="">
      <xdr:nvCxnSpPr>
        <xdr:cNvPr id="41456" name="CNtp11c13routec"/>
        <xdr:cNvCxnSpPr>
          <a:stCxn id="41433" idx="6"/>
          <a:endCxn id="41454" idx="2"/>
        </xdr:cNvCxnSpPr>
      </xdr:nvCxnSpPr>
      <xdr:spPr>
        <a:xfrm flipV="1">
          <a:off x="570547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238126</xdr:colOff>
      <xdr:row>23</xdr:row>
      <xdr:rowOff>238126</xdr:rowOff>
    </xdr:from>
    <xdr:to>
      <xdr:col>11</xdr:col>
      <xdr:colOff>238125</xdr:colOff>
      <xdr:row>24</xdr:row>
      <xdr:rowOff>238126</xdr:rowOff>
    </xdr:to>
    <xdr:cxnSp macro="">
      <xdr:nvCxnSpPr>
        <xdr:cNvPr id="41455" name="CNtp11c13routev"/>
        <xdr:cNvCxnSpPr>
          <a:stCxn id="41433" idx="6"/>
          <a:endCxn id="41454" idx="2"/>
        </xdr:cNvCxnSpPr>
      </xdr:nvCxnSpPr>
      <xdr:spPr>
        <a:xfrm flipV="1">
          <a:off x="570547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238126</xdr:colOff>
      <xdr:row>18</xdr:row>
      <xdr:rowOff>238126</xdr:rowOff>
    </xdr:from>
    <xdr:to>
      <xdr:col>11</xdr:col>
      <xdr:colOff>238125</xdr:colOff>
      <xdr:row>18</xdr:row>
      <xdr:rowOff>250826</xdr:rowOff>
    </xdr:to>
    <xdr:cxnSp macro="">
      <xdr:nvCxnSpPr>
        <xdr:cNvPr id="41452" name="CNtp11c12routev"/>
        <xdr:cNvCxnSpPr>
          <a:stCxn id="41428" idx="6"/>
          <a:endCxn id="41451" idx="2"/>
        </xdr:cNvCxnSpPr>
      </xdr:nvCxnSpPr>
      <xdr:spPr>
        <a:xfrm>
          <a:off x="570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238126</xdr:colOff>
      <xdr:row>13</xdr:row>
      <xdr:rowOff>238126</xdr:rowOff>
    </xdr:from>
    <xdr:to>
      <xdr:col>11</xdr:col>
      <xdr:colOff>238125</xdr:colOff>
      <xdr:row>13</xdr:row>
      <xdr:rowOff>250826</xdr:rowOff>
    </xdr:to>
    <xdr:cxnSp macro="">
      <xdr:nvCxnSpPr>
        <xdr:cNvPr id="41449" name="CNtp11c12routeb"/>
        <xdr:cNvCxnSpPr>
          <a:stCxn id="41425" idx="6"/>
          <a:endCxn id="41447" idx="2"/>
        </xdr:cNvCxnSpPr>
      </xdr:nvCxnSpPr>
      <xdr:spPr>
        <a:xfrm>
          <a:off x="5705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238126</xdr:colOff>
      <xdr:row>13</xdr:row>
      <xdr:rowOff>238126</xdr:rowOff>
    </xdr:from>
    <xdr:to>
      <xdr:col>11</xdr:col>
      <xdr:colOff>238125</xdr:colOff>
      <xdr:row>18</xdr:row>
      <xdr:rowOff>238126</xdr:rowOff>
    </xdr:to>
    <xdr:cxnSp macro="">
      <xdr:nvCxnSpPr>
        <xdr:cNvPr id="41448" name="CNtp11c12routec"/>
        <xdr:cNvCxnSpPr>
          <a:stCxn id="41428" idx="6"/>
          <a:endCxn id="41447" idx="2"/>
        </xdr:cNvCxnSpPr>
      </xdr:nvCxnSpPr>
      <xdr:spPr>
        <a:xfrm flipV="1">
          <a:off x="5705476" y="75723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238126</xdr:colOff>
      <xdr:row>4</xdr:row>
      <xdr:rowOff>238126</xdr:rowOff>
    </xdr:from>
    <xdr:to>
      <xdr:col>11</xdr:col>
      <xdr:colOff>238125</xdr:colOff>
      <xdr:row>4</xdr:row>
      <xdr:rowOff>250826</xdr:rowOff>
    </xdr:to>
    <xdr:cxnSp macro="">
      <xdr:nvCxnSpPr>
        <xdr:cNvPr id="41445" name="CNtp11c11routev"/>
        <xdr:cNvCxnSpPr>
          <a:stCxn id="41421" idx="6"/>
          <a:endCxn id="41444" idx="2"/>
        </xdr:cNvCxnSpPr>
      </xdr:nvCxnSpPr>
      <xdr:spPr>
        <a:xfrm>
          <a:off x="570547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238126</xdr:colOff>
      <xdr:row>3</xdr:row>
      <xdr:rowOff>238126</xdr:rowOff>
    </xdr:from>
    <xdr:to>
      <xdr:col>11</xdr:col>
      <xdr:colOff>238125</xdr:colOff>
      <xdr:row>3</xdr:row>
      <xdr:rowOff>250826</xdr:rowOff>
    </xdr:to>
    <xdr:cxnSp macro="">
      <xdr:nvCxnSpPr>
        <xdr:cNvPr id="41442" name="CNtp11c11routeb"/>
        <xdr:cNvCxnSpPr>
          <a:stCxn id="41417" idx="6"/>
          <a:endCxn id="41440" idx="2"/>
        </xdr:cNvCxnSpPr>
      </xdr:nvCxnSpPr>
      <xdr:spPr>
        <a:xfrm>
          <a:off x="5705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238126</xdr:colOff>
      <xdr:row>3</xdr:row>
      <xdr:rowOff>238126</xdr:rowOff>
    </xdr:from>
    <xdr:to>
      <xdr:col>11</xdr:col>
      <xdr:colOff>238125</xdr:colOff>
      <xdr:row>3</xdr:row>
      <xdr:rowOff>250826</xdr:rowOff>
    </xdr:to>
    <xdr:cxnSp macro="">
      <xdr:nvCxnSpPr>
        <xdr:cNvPr id="41441" name="CNtp11c11routec"/>
        <xdr:cNvCxnSpPr>
          <a:stCxn id="41417" idx="6"/>
          <a:endCxn id="41440" idx="2"/>
        </xdr:cNvCxnSpPr>
      </xdr:nvCxnSpPr>
      <xdr:spPr>
        <a:xfrm>
          <a:off x="5705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238126</xdr:colOff>
      <xdr:row>23</xdr:row>
      <xdr:rowOff>238126</xdr:rowOff>
    </xdr:from>
    <xdr:to>
      <xdr:col>10</xdr:col>
      <xdr:colOff>238125</xdr:colOff>
      <xdr:row>28</xdr:row>
      <xdr:rowOff>238126</xdr:rowOff>
    </xdr:to>
    <xdr:cxnSp macro="">
      <xdr:nvCxnSpPr>
        <xdr:cNvPr id="41438" name="CNtp10c13routeb"/>
        <xdr:cNvCxnSpPr>
          <a:stCxn id="41405" idx="6"/>
          <a:endCxn id="41437" idx="2"/>
        </xdr:cNvCxnSpPr>
      </xdr:nvCxnSpPr>
      <xdr:spPr>
        <a:xfrm>
          <a:off x="5229226" y="12334876"/>
          <a:ext cx="476249" cy="23812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238126</xdr:colOff>
      <xdr:row>23</xdr:row>
      <xdr:rowOff>238126</xdr:rowOff>
    </xdr:from>
    <xdr:to>
      <xdr:col>10</xdr:col>
      <xdr:colOff>238125</xdr:colOff>
      <xdr:row>24</xdr:row>
      <xdr:rowOff>238126</xdr:rowOff>
    </xdr:to>
    <xdr:cxnSp macro="">
      <xdr:nvCxnSpPr>
        <xdr:cNvPr id="41435" name="CNtp10c13routec"/>
        <xdr:cNvCxnSpPr>
          <a:stCxn id="41405" idx="6"/>
          <a:endCxn id="41433" idx="2"/>
        </xdr:cNvCxnSpPr>
      </xdr:nvCxnSpPr>
      <xdr:spPr>
        <a:xfrm>
          <a:off x="522922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238126</xdr:colOff>
      <xdr:row>23</xdr:row>
      <xdr:rowOff>238126</xdr:rowOff>
    </xdr:from>
    <xdr:to>
      <xdr:col>10</xdr:col>
      <xdr:colOff>238125</xdr:colOff>
      <xdr:row>24</xdr:row>
      <xdr:rowOff>238126</xdr:rowOff>
    </xdr:to>
    <xdr:cxnSp macro="">
      <xdr:nvCxnSpPr>
        <xdr:cNvPr id="41434" name="CNtp10c13routev"/>
        <xdr:cNvCxnSpPr>
          <a:stCxn id="41405" idx="6"/>
          <a:endCxn id="41433" idx="2"/>
        </xdr:cNvCxnSpPr>
      </xdr:nvCxnSpPr>
      <xdr:spPr>
        <a:xfrm>
          <a:off x="522922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238126</xdr:colOff>
      <xdr:row>16</xdr:row>
      <xdr:rowOff>238126</xdr:rowOff>
    </xdr:from>
    <xdr:to>
      <xdr:col>10</xdr:col>
      <xdr:colOff>238125</xdr:colOff>
      <xdr:row>18</xdr:row>
      <xdr:rowOff>238126</xdr:rowOff>
    </xdr:to>
    <xdr:cxnSp macro="">
      <xdr:nvCxnSpPr>
        <xdr:cNvPr id="41430" name="CNtp10c12routec"/>
        <xdr:cNvCxnSpPr>
          <a:stCxn id="41399" idx="6"/>
          <a:endCxn id="41428" idx="2"/>
        </xdr:cNvCxnSpPr>
      </xdr:nvCxnSpPr>
      <xdr:spPr>
        <a:xfrm>
          <a:off x="522922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238126</xdr:colOff>
      <xdr:row>16</xdr:row>
      <xdr:rowOff>238126</xdr:rowOff>
    </xdr:from>
    <xdr:to>
      <xdr:col>10</xdr:col>
      <xdr:colOff>238125</xdr:colOff>
      <xdr:row>18</xdr:row>
      <xdr:rowOff>238126</xdr:rowOff>
    </xdr:to>
    <xdr:cxnSp macro="">
      <xdr:nvCxnSpPr>
        <xdr:cNvPr id="41429" name="CNtp10c12routev"/>
        <xdr:cNvCxnSpPr>
          <a:stCxn id="41399" idx="6"/>
          <a:endCxn id="41428" idx="2"/>
        </xdr:cNvCxnSpPr>
      </xdr:nvCxnSpPr>
      <xdr:spPr>
        <a:xfrm>
          <a:off x="5229226" y="90011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238126</xdr:colOff>
      <xdr:row>13</xdr:row>
      <xdr:rowOff>238126</xdr:rowOff>
    </xdr:from>
    <xdr:to>
      <xdr:col>10</xdr:col>
      <xdr:colOff>238125</xdr:colOff>
      <xdr:row>16</xdr:row>
      <xdr:rowOff>238126</xdr:rowOff>
    </xdr:to>
    <xdr:cxnSp macro="">
      <xdr:nvCxnSpPr>
        <xdr:cNvPr id="41426" name="CNtp10c12routeb"/>
        <xdr:cNvCxnSpPr>
          <a:stCxn id="41399" idx="6"/>
          <a:endCxn id="41425" idx="2"/>
        </xdr:cNvCxnSpPr>
      </xdr:nvCxnSpPr>
      <xdr:spPr>
        <a:xfrm flipV="1">
          <a:off x="5229226" y="7572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238126</xdr:colOff>
      <xdr:row>4</xdr:row>
      <xdr:rowOff>238126</xdr:rowOff>
    </xdr:from>
    <xdr:to>
      <xdr:col>10</xdr:col>
      <xdr:colOff>238125</xdr:colOff>
      <xdr:row>4</xdr:row>
      <xdr:rowOff>250826</xdr:rowOff>
    </xdr:to>
    <xdr:cxnSp macro="">
      <xdr:nvCxnSpPr>
        <xdr:cNvPr id="41422" name="CNtp10c11routev"/>
        <xdr:cNvCxnSpPr>
          <a:stCxn id="41388" idx="6"/>
          <a:endCxn id="41421" idx="2"/>
        </xdr:cNvCxnSpPr>
      </xdr:nvCxnSpPr>
      <xdr:spPr>
        <a:xfrm>
          <a:off x="5229226" y="32861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238126</xdr:colOff>
      <xdr:row>3</xdr:row>
      <xdr:rowOff>238126</xdr:rowOff>
    </xdr:from>
    <xdr:to>
      <xdr:col>10</xdr:col>
      <xdr:colOff>238125</xdr:colOff>
      <xdr:row>3</xdr:row>
      <xdr:rowOff>250826</xdr:rowOff>
    </xdr:to>
    <xdr:cxnSp macro="">
      <xdr:nvCxnSpPr>
        <xdr:cNvPr id="41419" name="CNtp10c11routeb"/>
        <xdr:cNvCxnSpPr>
          <a:stCxn id="41384" idx="6"/>
          <a:endCxn id="41417" idx="2"/>
        </xdr:cNvCxnSpPr>
      </xdr:nvCxnSpPr>
      <xdr:spPr>
        <a:xfrm>
          <a:off x="5229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238126</xdr:colOff>
      <xdr:row>3</xdr:row>
      <xdr:rowOff>238126</xdr:rowOff>
    </xdr:from>
    <xdr:to>
      <xdr:col>10</xdr:col>
      <xdr:colOff>238125</xdr:colOff>
      <xdr:row>3</xdr:row>
      <xdr:rowOff>250826</xdr:rowOff>
    </xdr:to>
    <xdr:cxnSp macro="">
      <xdr:nvCxnSpPr>
        <xdr:cNvPr id="41418" name="CNtp10c11routec"/>
        <xdr:cNvCxnSpPr>
          <a:stCxn id="41384" idx="6"/>
          <a:endCxn id="41417" idx="2"/>
        </xdr:cNvCxnSpPr>
      </xdr:nvCxnSpPr>
      <xdr:spPr>
        <a:xfrm>
          <a:off x="5229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238126</xdr:colOff>
      <xdr:row>23</xdr:row>
      <xdr:rowOff>238126</xdr:rowOff>
    </xdr:from>
    <xdr:to>
      <xdr:col>9</xdr:col>
      <xdr:colOff>238125</xdr:colOff>
      <xdr:row>23</xdr:row>
      <xdr:rowOff>250826</xdr:rowOff>
    </xdr:to>
    <xdr:cxnSp macro="">
      <xdr:nvCxnSpPr>
        <xdr:cNvPr id="41408" name="CNtp9c13routeb"/>
        <xdr:cNvCxnSpPr>
          <a:stCxn id="41378" idx="6"/>
          <a:endCxn id="41405" idx="2"/>
        </xdr:cNvCxnSpPr>
      </xdr:nvCxnSpPr>
      <xdr:spPr>
        <a:xfrm>
          <a:off x="4752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238126</xdr:colOff>
      <xdr:row>23</xdr:row>
      <xdr:rowOff>238126</xdr:rowOff>
    </xdr:from>
    <xdr:to>
      <xdr:col>9</xdr:col>
      <xdr:colOff>238125</xdr:colOff>
      <xdr:row>23</xdr:row>
      <xdr:rowOff>250826</xdr:rowOff>
    </xdr:to>
    <xdr:cxnSp macro="">
      <xdr:nvCxnSpPr>
        <xdr:cNvPr id="41407" name="CNtp9c13routec"/>
        <xdr:cNvCxnSpPr>
          <a:stCxn id="41378" idx="6"/>
          <a:endCxn id="41405" idx="2"/>
        </xdr:cNvCxnSpPr>
      </xdr:nvCxnSpPr>
      <xdr:spPr>
        <a:xfrm>
          <a:off x="4752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238126</xdr:colOff>
      <xdr:row>23</xdr:row>
      <xdr:rowOff>238126</xdr:rowOff>
    </xdr:from>
    <xdr:to>
      <xdr:col>9</xdr:col>
      <xdr:colOff>238125</xdr:colOff>
      <xdr:row>23</xdr:row>
      <xdr:rowOff>250826</xdr:rowOff>
    </xdr:to>
    <xdr:cxnSp macro="">
      <xdr:nvCxnSpPr>
        <xdr:cNvPr id="41406" name="CNtp9c13routev"/>
        <xdr:cNvCxnSpPr>
          <a:stCxn id="41378" idx="6"/>
          <a:endCxn id="41405" idx="2"/>
        </xdr:cNvCxnSpPr>
      </xdr:nvCxnSpPr>
      <xdr:spPr>
        <a:xfrm>
          <a:off x="4752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238126</xdr:colOff>
      <xdr:row>13</xdr:row>
      <xdr:rowOff>238126</xdr:rowOff>
    </xdr:from>
    <xdr:to>
      <xdr:col>9</xdr:col>
      <xdr:colOff>238125</xdr:colOff>
      <xdr:row>16</xdr:row>
      <xdr:rowOff>238126</xdr:rowOff>
    </xdr:to>
    <xdr:cxnSp macro="">
      <xdr:nvCxnSpPr>
        <xdr:cNvPr id="41402" name="CNtp9c12routeb"/>
        <xdr:cNvCxnSpPr>
          <a:stCxn id="41371" idx="6"/>
          <a:endCxn id="41399" idx="2"/>
        </xdr:cNvCxnSpPr>
      </xdr:nvCxnSpPr>
      <xdr:spPr>
        <a:xfrm>
          <a:off x="4752976" y="7572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238126</xdr:colOff>
      <xdr:row>13</xdr:row>
      <xdr:rowOff>238126</xdr:rowOff>
    </xdr:from>
    <xdr:to>
      <xdr:col>9</xdr:col>
      <xdr:colOff>238125</xdr:colOff>
      <xdr:row>16</xdr:row>
      <xdr:rowOff>238126</xdr:rowOff>
    </xdr:to>
    <xdr:cxnSp macro="">
      <xdr:nvCxnSpPr>
        <xdr:cNvPr id="41401" name="CNtp9c12routec"/>
        <xdr:cNvCxnSpPr>
          <a:stCxn id="41371" idx="6"/>
          <a:endCxn id="41399" idx="2"/>
        </xdr:cNvCxnSpPr>
      </xdr:nvCxnSpPr>
      <xdr:spPr>
        <a:xfrm>
          <a:off x="4752976" y="7572376"/>
          <a:ext cx="476249" cy="14287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238126</xdr:colOff>
      <xdr:row>14</xdr:row>
      <xdr:rowOff>238126</xdr:rowOff>
    </xdr:from>
    <xdr:to>
      <xdr:col>9</xdr:col>
      <xdr:colOff>238125</xdr:colOff>
      <xdr:row>16</xdr:row>
      <xdr:rowOff>238126</xdr:rowOff>
    </xdr:to>
    <xdr:cxnSp macro="">
      <xdr:nvCxnSpPr>
        <xdr:cNvPr id="41400" name="CNtp9c12routev"/>
        <xdr:cNvCxnSpPr>
          <a:stCxn id="41374" idx="6"/>
          <a:endCxn id="41399" idx="2"/>
        </xdr:cNvCxnSpPr>
      </xdr:nvCxnSpPr>
      <xdr:spPr>
        <a:xfrm>
          <a:off x="4752976" y="8048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238126</xdr:colOff>
      <xdr:row>3</xdr:row>
      <xdr:rowOff>238126</xdr:rowOff>
    </xdr:from>
    <xdr:to>
      <xdr:col>9</xdr:col>
      <xdr:colOff>238125</xdr:colOff>
      <xdr:row>4</xdr:row>
      <xdr:rowOff>238126</xdr:rowOff>
    </xdr:to>
    <xdr:cxnSp macro="">
      <xdr:nvCxnSpPr>
        <xdr:cNvPr id="41389" name="CNtp9c11routev"/>
        <xdr:cNvCxnSpPr>
          <a:stCxn id="41366" idx="6"/>
          <a:endCxn id="41388" idx="2"/>
        </xdr:cNvCxnSpPr>
      </xdr:nvCxnSpPr>
      <xdr:spPr>
        <a:xfrm>
          <a:off x="475297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238126</xdr:colOff>
      <xdr:row>3</xdr:row>
      <xdr:rowOff>238126</xdr:rowOff>
    </xdr:from>
    <xdr:to>
      <xdr:col>9</xdr:col>
      <xdr:colOff>238125</xdr:colOff>
      <xdr:row>3</xdr:row>
      <xdr:rowOff>250826</xdr:rowOff>
    </xdr:to>
    <xdr:cxnSp macro="">
      <xdr:nvCxnSpPr>
        <xdr:cNvPr id="41386" name="CNtp9c11routeb"/>
        <xdr:cNvCxnSpPr>
          <a:stCxn id="41366" idx="6"/>
          <a:endCxn id="41384" idx="2"/>
        </xdr:cNvCxnSpPr>
      </xdr:nvCxnSpPr>
      <xdr:spPr>
        <a:xfrm>
          <a:off x="4752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238126</xdr:colOff>
      <xdr:row>3</xdr:row>
      <xdr:rowOff>238126</xdr:rowOff>
    </xdr:from>
    <xdr:to>
      <xdr:col>9</xdr:col>
      <xdr:colOff>238125</xdr:colOff>
      <xdr:row>3</xdr:row>
      <xdr:rowOff>250826</xdr:rowOff>
    </xdr:to>
    <xdr:cxnSp macro="">
      <xdr:nvCxnSpPr>
        <xdr:cNvPr id="41385" name="CNtp9c11routec"/>
        <xdr:cNvCxnSpPr>
          <a:stCxn id="41366" idx="6"/>
          <a:endCxn id="41384" idx="2"/>
        </xdr:cNvCxnSpPr>
      </xdr:nvCxnSpPr>
      <xdr:spPr>
        <a:xfrm>
          <a:off x="4752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238126</xdr:colOff>
      <xdr:row>23</xdr:row>
      <xdr:rowOff>238126</xdr:rowOff>
    </xdr:from>
    <xdr:to>
      <xdr:col>8</xdr:col>
      <xdr:colOff>238125</xdr:colOff>
      <xdr:row>23</xdr:row>
      <xdr:rowOff>250826</xdr:rowOff>
    </xdr:to>
    <xdr:cxnSp macro="">
      <xdr:nvCxnSpPr>
        <xdr:cNvPr id="41381" name="CNtp8c13routeb"/>
        <xdr:cNvCxnSpPr>
          <a:stCxn id="41359" idx="6"/>
          <a:endCxn id="41378" idx="2"/>
        </xdr:cNvCxnSpPr>
      </xdr:nvCxnSpPr>
      <xdr:spPr>
        <a:xfrm>
          <a:off x="4276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238126</xdr:colOff>
      <xdr:row>23</xdr:row>
      <xdr:rowOff>238126</xdr:rowOff>
    </xdr:from>
    <xdr:to>
      <xdr:col>8</xdr:col>
      <xdr:colOff>238125</xdr:colOff>
      <xdr:row>24</xdr:row>
      <xdr:rowOff>238126</xdr:rowOff>
    </xdr:to>
    <xdr:cxnSp macro="">
      <xdr:nvCxnSpPr>
        <xdr:cNvPr id="41380" name="CNtp8c13routec"/>
        <xdr:cNvCxnSpPr>
          <a:stCxn id="41362" idx="6"/>
          <a:endCxn id="41378" idx="2"/>
        </xdr:cNvCxnSpPr>
      </xdr:nvCxnSpPr>
      <xdr:spPr>
        <a:xfrm flipV="1">
          <a:off x="427672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238126</xdr:colOff>
      <xdr:row>23</xdr:row>
      <xdr:rowOff>238126</xdr:rowOff>
    </xdr:from>
    <xdr:to>
      <xdr:col>8</xdr:col>
      <xdr:colOff>238125</xdr:colOff>
      <xdr:row>24</xdr:row>
      <xdr:rowOff>238126</xdr:rowOff>
    </xdr:to>
    <xdr:cxnSp macro="">
      <xdr:nvCxnSpPr>
        <xdr:cNvPr id="41379" name="CNtp8c13routev"/>
        <xdr:cNvCxnSpPr>
          <a:stCxn id="41362" idx="6"/>
          <a:endCxn id="41378" idx="2"/>
        </xdr:cNvCxnSpPr>
      </xdr:nvCxnSpPr>
      <xdr:spPr>
        <a:xfrm flipV="1">
          <a:off x="427672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238126</xdr:colOff>
      <xdr:row>14</xdr:row>
      <xdr:rowOff>238126</xdr:rowOff>
    </xdr:from>
    <xdr:to>
      <xdr:col>8</xdr:col>
      <xdr:colOff>238125</xdr:colOff>
      <xdr:row>14</xdr:row>
      <xdr:rowOff>250826</xdr:rowOff>
    </xdr:to>
    <xdr:cxnSp macro="">
      <xdr:nvCxnSpPr>
        <xdr:cNvPr id="41375" name="CNtp8c12routev"/>
        <xdr:cNvCxnSpPr>
          <a:stCxn id="41355" idx="6"/>
          <a:endCxn id="41374" idx="2"/>
        </xdr:cNvCxnSpPr>
      </xdr:nvCxnSpPr>
      <xdr:spPr>
        <a:xfrm>
          <a:off x="4276726" y="8048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238126</xdr:colOff>
      <xdr:row>13</xdr:row>
      <xdr:rowOff>238126</xdr:rowOff>
    </xdr:from>
    <xdr:to>
      <xdr:col>8</xdr:col>
      <xdr:colOff>238125</xdr:colOff>
      <xdr:row>13</xdr:row>
      <xdr:rowOff>250826</xdr:rowOff>
    </xdr:to>
    <xdr:cxnSp macro="">
      <xdr:nvCxnSpPr>
        <xdr:cNvPr id="41373" name="CNtp8c12routeb"/>
        <xdr:cNvCxnSpPr>
          <a:stCxn id="41352" idx="6"/>
          <a:endCxn id="41371" idx="2"/>
        </xdr:cNvCxnSpPr>
      </xdr:nvCxnSpPr>
      <xdr:spPr>
        <a:xfrm>
          <a:off x="42767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238126</xdr:colOff>
      <xdr:row>13</xdr:row>
      <xdr:rowOff>238126</xdr:rowOff>
    </xdr:from>
    <xdr:to>
      <xdr:col>8</xdr:col>
      <xdr:colOff>238125</xdr:colOff>
      <xdr:row>14</xdr:row>
      <xdr:rowOff>238126</xdr:rowOff>
    </xdr:to>
    <xdr:cxnSp macro="">
      <xdr:nvCxnSpPr>
        <xdr:cNvPr id="41372" name="CNtp8c12routec"/>
        <xdr:cNvCxnSpPr>
          <a:stCxn id="41355" idx="6"/>
          <a:endCxn id="41371" idx="2"/>
        </xdr:cNvCxnSpPr>
      </xdr:nvCxnSpPr>
      <xdr:spPr>
        <a:xfrm flipV="1">
          <a:off x="4276726" y="75723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238126</xdr:colOff>
      <xdr:row>3</xdr:row>
      <xdr:rowOff>238126</xdr:rowOff>
    </xdr:from>
    <xdr:to>
      <xdr:col>8</xdr:col>
      <xdr:colOff>238125</xdr:colOff>
      <xdr:row>3</xdr:row>
      <xdr:rowOff>250826</xdr:rowOff>
    </xdr:to>
    <xdr:cxnSp macro="">
      <xdr:nvCxnSpPr>
        <xdr:cNvPr id="41369" name="CNtp8c11routeb"/>
        <xdr:cNvCxnSpPr>
          <a:stCxn id="41345" idx="6"/>
          <a:endCxn id="41366" idx="2"/>
        </xdr:cNvCxnSpPr>
      </xdr:nvCxnSpPr>
      <xdr:spPr>
        <a:xfrm>
          <a:off x="4276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238126</xdr:colOff>
      <xdr:row>3</xdr:row>
      <xdr:rowOff>238126</xdr:rowOff>
    </xdr:from>
    <xdr:to>
      <xdr:col>8</xdr:col>
      <xdr:colOff>238125</xdr:colOff>
      <xdr:row>4</xdr:row>
      <xdr:rowOff>238126</xdr:rowOff>
    </xdr:to>
    <xdr:cxnSp macro="">
      <xdr:nvCxnSpPr>
        <xdr:cNvPr id="41368" name="CNtp8c11routec"/>
        <xdr:cNvCxnSpPr>
          <a:stCxn id="41348" idx="6"/>
          <a:endCxn id="41366" idx="2"/>
        </xdr:cNvCxnSpPr>
      </xdr:nvCxnSpPr>
      <xdr:spPr>
        <a:xfrm flipV="1">
          <a:off x="427672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238126</xdr:colOff>
      <xdr:row>3</xdr:row>
      <xdr:rowOff>238126</xdr:rowOff>
    </xdr:from>
    <xdr:to>
      <xdr:col>8</xdr:col>
      <xdr:colOff>238125</xdr:colOff>
      <xdr:row>4</xdr:row>
      <xdr:rowOff>238126</xdr:rowOff>
    </xdr:to>
    <xdr:cxnSp macro="">
      <xdr:nvCxnSpPr>
        <xdr:cNvPr id="41367" name="CNtp8c11routev"/>
        <xdr:cNvCxnSpPr>
          <a:stCxn id="41348" idx="6"/>
          <a:endCxn id="41366" idx="2"/>
        </xdr:cNvCxnSpPr>
      </xdr:nvCxnSpPr>
      <xdr:spPr>
        <a:xfrm flipV="1">
          <a:off x="427672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238126</xdr:colOff>
      <xdr:row>23</xdr:row>
      <xdr:rowOff>238126</xdr:rowOff>
    </xdr:from>
    <xdr:to>
      <xdr:col>7</xdr:col>
      <xdr:colOff>238125</xdr:colOff>
      <xdr:row>24</xdr:row>
      <xdr:rowOff>238126</xdr:rowOff>
    </xdr:to>
    <xdr:cxnSp macro="">
      <xdr:nvCxnSpPr>
        <xdr:cNvPr id="41364" name="CNtp7c13routec"/>
        <xdr:cNvCxnSpPr>
          <a:stCxn id="41340" idx="6"/>
          <a:endCxn id="41362" idx="2"/>
        </xdr:cNvCxnSpPr>
      </xdr:nvCxnSpPr>
      <xdr:spPr>
        <a:xfrm>
          <a:off x="380047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238126</xdr:colOff>
      <xdr:row>23</xdr:row>
      <xdr:rowOff>238126</xdr:rowOff>
    </xdr:from>
    <xdr:to>
      <xdr:col>7</xdr:col>
      <xdr:colOff>238125</xdr:colOff>
      <xdr:row>24</xdr:row>
      <xdr:rowOff>238126</xdr:rowOff>
    </xdr:to>
    <xdr:cxnSp macro="">
      <xdr:nvCxnSpPr>
        <xdr:cNvPr id="41363" name="CNtp7c13routev"/>
        <xdr:cNvCxnSpPr>
          <a:stCxn id="41340" idx="6"/>
          <a:endCxn id="41362" idx="2"/>
        </xdr:cNvCxnSpPr>
      </xdr:nvCxnSpPr>
      <xdr:spPr>
        <a:xfrm>
          <a:off x="3800476" y="12334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238126</xdr:colOff>
      <xdr:row>23</xdr:row>
      <xdr:rowOff>238126</xdr:rowOff>
    </xdr:from>
    <xdr:to>
      <xdr:col>7</xdr:col>
      <xdr:colOff>238125</xdr:colOff>
      <xdr:row>23</xdr:row>
      <xdr:rowOff>250826</xdr:rowOff>
    </xdr:to>
    <xdr:cxnSp macro="">
      <xdr:nvCxnSpPr>
        <xdr:cNvPr id="41360" name="CNtp7c13routeb"/>
        <xdr:cNvCxnSpPr>
          <a:stCxn id="41340" idx="6"/>
          <a:endCxn id="41359" idx="2"/>
        </xdr:cNvCxnSpPr>
      </xdr:nvCxnSpPr>
      <xdr:spPr>
        <a:xfrm>
          <a:off x="3800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238126</xdr:colOff>
      <xdr:row>13</xdr:row>
      <xdr:rowOff>238126</xdr:rowOff>
    </xdr:from>
    <xdr:to>
      <xdr:col>7</xdr:col>
      <xdr:colOff>238125</xdr:colOff>
      <xdr:row>14</xdr:row>
      <xdr:rowOff>238126</xdr:rowOff>
    </xdr:to>
    <xdr:cxnSp macro="">
      <xdr:nvCxnSpPr>
        <xdr:cNvPr id="41357" name="CNtp7c12routec"/>
        <xdr:cNvCxnSpPr>
          <a:stCxn id="41333" idx="6"/>
          <a:endCxn id="41355" idx="2"/>
        </xdr:cNvCxnSpPr>
      </xdr:nvCxnSpPr>
      <xdr:spPr>
        <a:xfrm>
          <a:off x="3800476" y="75723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238126</xdr:colOff>
      <xdr:row>14</xdr:row>
      <xdr:rowOff>238126</xdr:rowOff>
    </xdr:from>
    <xdr:to>
      <xdr:col>7</xdr:col>
      <xdr:colOff>238125</xdr:colOff>
      <xdr:row>18</xdr:row>
      <xdr:rowOff>238126</xdr:rowOff>
    </xdr:to>
    <xdr:cxnSp macro="">
      <xdr:nvCxnSpPr>
        <xdr:cNvPr id="41356" name="CNtp7c12routev"/>
        <xdr:cNvCxnSpPr>
          <a:stCxn id="41337" idx="6"/>
          <a:endCxn id="41355" idx="2"/>
        </xdr:cNvCxnSpPr>
      </xdr:nvCxnSpPr>
      <xdr:spPr>
        <a:xfrm flipV="1">
          <a:off x="3800476" y="8048626"/>
          <a:ext cx="476249" cy="19050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238126</xdr:colOff>
      <xdr:row>13</xdr:row>
      <xdr:rowOff>238126</xdr:rowOff>
    </xdr:from>
    <xdr:to>
      <xdr:col>7</xdr:col>
      <xdr:colOff>238125</xdr:colOff>
      <xdr:row>13</xdr:row>
      <xdr:rowOff>250826</xdr:rowOff>
    </xdr:to>
    <xdr:cxnSp macro="">
      <xdr:nvCxnSpPr>
        <xdr:cNvPr id="41353" name="CNtp7c12routeb"/>
        <xdr:cNvCxnSpPr>
          <a:stCxn id="41333" idx="6"/>
          <a:endCxn id="41352" idx="2"/>
        </xdr:cNvCxnSpPr>
      </xdr:nvCxnSpPr>
      <xdr:spPr>
        <a:xfrm>
          <a:off x="3800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238126</xdr:colOff>
      <xdr:row>3</xdr:row>
      <xdr:rowOff>238126</xdr:rowOff>
    </xdr:from>
    <xdr:to>
      <xdr:col>7</xdr:col>
      <xdr:colOff>238125</xdr:colOff>
      <xdr:row>4</xdr:row>
      <xdr:rowOff>238126</xdr:rowOff>
    </xdr:to>
    <xdr:cxnSp macro="">
      <xdr:nvCxnSpPr>
        <xdr:cNvPr id="41350" name="CNtp7c11routec"/>
        <xdr:cNvCxnSpPr>
          <a:stCxn id="41328" idx="6"/>
          <a:endCxn id="41348" idx="2"/>
        </xdr:cNvCxnSpPr>
      </xdr:nvCxnSpPr>
      <xdr:spPr>
        <a:xfrm>
          <a:off x="380047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238126</xdr:colOff>
      <xdr:row>3</xdr:row>
      <xdr:rowOff>238126</xdr:rowOff>
    </xdr:from>
    <xdr:to>
      <xdr:col>7</xdr:col>
      <xdr:colOff>238125</xdr:colOff>
      <xdr:row>4</xdr:row>
      <xdr:rowOff>238126</xdr:rowOff>
    </xdr:to>
    <xdr:cxnSp macro="">
      <xdr:nvCxnSpPr>
        <xdr:cNvPr id="41349" name="CNtp7c11routev"/>
        <xdr:cNvCxnSpPr>
          <a:stCxn id="41328" idx="6"/>
          <a:endCxn id="41348" idx="2"/>
        </xdr:cNvCxnSpPr>
      </xdr:nvCxnSpPr>
      <xdr:spPr>
        <a:xfrm>
          <a:off x="3800476" y="2809876"/>
          <a:ext cx="476249" cy="4762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238126</xdr:colOff>
      <xdr:row>3</xdr:row>
      <xdr:rowOff>238126</xdr:rowOff>
    </xdr:from>
    <xdr:to>
      <xdr:col>7</xdr:col>
      <xdr:colOff>238125</xdr:colOff>
      <xdr:row>3</xdr:row>
      <xdr:rowOff>250826</xdr:rowOff>
    </xdr:to>
    <xdr:cxnSp macro="">
      <xdr:nvCxnSpPr>
        <xdr:cNvPr id="41346" name="CNtp7c11routeb"/>
        <xdr:cNvCxnSpPr>
          <a:stCxn id="41328" idx="6"/>
          <a:endCxn id="41345" idx="2"/>
        </xdr:cNvCxnSpPr>
      </xdr:nvCxnSpPr>
      <xdr:spPr>
        <a:xfrm>
          <a:off x="3800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23</xdr:row>
      <xdr:rowOff>238126</xdr:rowOff>
    </xdr:from>
    <xdr:to>
      <xdr:col>6</xdr:col>
      <xdr:colOff>238125</xdr:colOff>
      <xdr:row>23</xdr:row>
      <xdr:rowOff>250826</xdr:rowOff>
    </xdr:to>
    <xdr:cxnSp macro="">
      <xdr:nvCxnSpPr>
        <xdr:cNvPr id="41343" name="CNtp6c13routeb"/>
        <xdr:cNvCxnSpPr>
          <a:stCxn id="41323" idx="6"/>
          <a:endCxn id="41340" idx="2"/>
        </xdr:cNvCxnSpPr>
      </xdr:nvCxnSpPr>
      <xdr:spPr>
        <a:xfrm>
          <a:off x="3324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23</xdr:row>
      <xdr:rowOff>238126</xdr:rowOff>
    </xdr:from>
    <xdr:to>
      <xdr:col>6</xdr:col>
      <xdr:colOff>238125</xdr:colOff>
      <xdr:row>23</xdr:row>
      <xdr:rowOff>250826</xdr:rowOff>
    </xdr:to>
    <xdr:cxnSp macro="">
      <xdr:nvCxnSpPr>
        <xdr:cNvPr id="41342" name="CNtp6c13routec"/>
        <xdr:cNvCxnSpPr>
          <a:stCxn id="41323" idx="6"/>
          <a:endCxn id="41340" idx="2"/>
        </xdr:cNvCxnSpPr>
      </xdr:nvCxnSpPr>
      <xdr:spPr>
        <a:xfrm>
          <a:off x="3324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23</xdr:row>
      <xdr:rowOff>238126</xdr:rowOff>
    </xdr:from>
    <xdr:to>
      <xdr:col>6</xdr:col>
      <xdr:colOff>238125</xdr:colOff>
      <xdr:row>23</xdr:row>
      <xdr:rowOff>250826</xdr:rowOff>
    </xdr:to>
    <xdr:cxnSp macro="">
      <xdr:nvCxnSpPr>
        <xdr:cNvPr id="41341" name="CNtp6c13routev"/>
        <xdr:cNvCxnSpPr>
          <a:stCxn id="41323" idx="6"/>
          <a:endCxn id="41340" idx="2"/>
        </xdr:cNvCxnSpPr>
      </xdr:nvCxnSpPr>
      <xdr:spPr>
        <a:xfrm>
          <a:off x="3324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18</xdr:row>
      <xdr:rowOff>238126</xdr:rowOff>
    </xdr:from>
    <xdr:to>
      <xdr:col>6</xdr:col>
      <xdr:colOff>238125</xdr:colOff>
      <xdr:row>18</xdr:row>
      <xdr:rowOff>250826</xdr:rowOff>
    </xdr:to>
    <xdr:cxnSp macro="">
      <xdr:nvCxnSpPr>
        <xdr:cNvPr id="41338" name="CNtp6c12routev"/>
        <xdr:cNvCxnSpPr>
          <a:stCxn id="41320" idx="6"/>
          <a:endCxn id="41337" idx="2"/>
        </xdr:cNvCxnSpPr>
      </xdr:nvCxnSpPr>
      <xdr:spPr>
        <a:xfrm>
          <a:off x="33242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13</xdr:row>
      <xdr:rowOff>238126</xdr:rowOff>
    </xdr:from>
    <xdr:to>
      <xdr:col>6</xdr:col>
      <xdr:colOff>238125</xdr:colOff>
      <xdr:row>13</xdr:row>
      <xdr:rowOff>250826</xdr:rowOff>
    </xdr:to>
    <xdr:cxnSp macro="">
      <xdr:nvCxnSpPr>
        <xdr:cNvPr id="41335" name="CNtp6c12routeb"/>
        <xdr:cNvCxnSpPr>
          <a:stCxn id="41317" idx="6"/>
          <a:endCxn id="41333" idx="2"/>
        </xdr:cNvCxnSpPr>
      </xdr:nvCxnSpPr>
      <xdr:spPr>
        <a:xfrm>
          <a:off x="3324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13</xdr:row>
      <xdr:rowOff>238126</xdr:rowOff>
    </xdr:from>
    <xdr:to>
      <xdr:col>6</xdr:col>
      <xdr:colOff>238125</xdr:colOff>
      <xdr:row>13</xdr:row>
      <xdr:rowOff>250826</xdr:rowOff>
    </xdr:to>
    <xdr:cxnSp macro="">
      <xdr:nvCxnSpPr>
        <xdr:cNvPr id="41334" name="CNtp6c12routec"/>
        <xdr:cNvCxnSpPr>
          <a:stCxn id="41317" idx="6"/>
          <a:endCxn id="41333" idx="2"/>
        </xdr:cNvCxnSpPr>
      </xdr:nvCxnSpPr>
      <xdr:spPr>
        <a:xfrm>
          <a:off x="3324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3</xdr:row>
      <xdr:rowOff>238126</xdr:rowOff>
    </xdr:from>
    <xdr:to>
      <xdr:col>6</xdr:col>
      <xdr:colOff>238125</xdr:colOff>
      <xdr:row>3</xdr:row>
      <xdr:rowOff>250826</xdr:rowOff>
    </xdr:to>
    <xdr:cxnSp macro="">
      <xdr:nvCxnSpPr>
        <xdr:cNvPr id="41331" name="CNtp6c11routeb"/>
        <xdr:cNvCxnSpPr>
          <a:stCxn id="41310" idx="6"/>
          <a:endCxn id="41328" idx="2"/>
        </xdr:cNvCxnSpPr>
      </xdr:nvCxnSpPr>
      <xdr:spPr>
        <a:xfrm>
          <a:off x="3324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3</xdr:row>
      <xdr:rowOff>238126</xdr:rowOff>
    </xdr:from>
    <xdr:to>
      <xdr:col>6</xdr:col>
      <xdr:colOff>238125</xdr:colOff>
      <xdr:row>3</xdr:row>
      <xdr:rowOff>250826</xdr:rowOff>
    </xdr:to>
    <xdr:cxnSp macro="">
      <xdr:nvCxnSpPr>
        <xdr:cNvPr id="41330" name="CNtp6c11routec"/>
        <xdr:cNvCxnSpPr>
          <a:stCxn id="41310" idx="6"/>
          <a:endCxn id="41328" idx="2"/>
        </xdr:cNvCxnSpPr>
      </xdr:nvCxnSpPr>
      <xdr:spPr>
        <a:xfrm>
          <a:off x="3324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3</xdr:row>
      <xdr:rowOff>238126</xdr:rowOff>
    </xdr:from>
    <xdr:to>
      <xdr:col>6</xdr:col>
      <xdr:colOff>238125</xdr:colOff>
      <xdr:row>3</xdr:row>
      <xdr:rowOff>250826</xdr:rowOff>
    </xdr:to>
    <xdr:cxnSp macro="">
      <xdr:nvCxnSpPr>
        <xdr:cNvPr id="41329" name="CNtp6c11routev"/>
        <xdr:cNvCxnSpPr>
          <a:stCxn id="41310" idx="6"/>
          <a:endCxn id="41328" idx="2"/>
        </xdr:cNvCxnSpPr>
      </xdr:nvCxnSpPr>
      <xdr:spPr>
        <a:xfrm>
          <a:off x="3324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238126</xdr:colOff>
      <xdr:row>23</xdr:row>
      <xdr:rowOff>238126</xdr:rowOff>
    </xdr:from>
    <xdr:to>
      <xdr:col>5</xdr:col>
      <xdr:colOff>238125</xdr:colOff>
      <xdr:row>23</xdr:row>
      <xdr:rowOff>250826</xdr:rowOff>
    </xdr:to>
    <xdr:cxnSp macro="">
      <xdr:nvCxnSpPr>
        <xdr:cNvPr id="41326" name="CNtp5c13routeb"/>
        <xdr:cNvCxnSpPr>
          <a:stCxn id="41303" idx="6"/>
          <a:endCxn id="41323" idx="2"/>
        </xdr:cNvCxnSpPr>
      </xdr:nvCxnSpPr>
      <xdr:spPr>
        <a:xfrm>
          <a:off x="2847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238126</xdr:colOff>
      <xdr:row>23</xdr:row>
      <xdr:rowOff>238126</xdr:rowOff>
    </xdr:from>
    <xdr:to>
      <xdr:col>5</xdr:col>
      <xdr:colOff>238125</xdr:colOff>
      <xdr:row>23</xdr:row>
      <xdr:rowOff>250826</xdr:rowOff>
    </xdr:to>
    <xdr:cxnSp macro="">
      <xdr:nvCxnSpPr>
        <xdr:cNvPr id="41325" name="CNtp5c13routec"/>
        <xdr:cNvCxnSpPr>
          <a:stCxn id="41303" idx="6"/>
          <a:endCxn id="41323" idx="2"/>
        </xdr:cNvCxnSpPr>
      </xdr:nvCxnSpPr>
      <xdr:spPr>
        <a:xfrm>
          <a:off x="2847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238126</xdr:colOff>
      <xdr:row>23</xdr:row>
      <xdr:rowOff>238126</xdr:rowOff>
    </xdr:from>
    <xdr:to>
      <xdr:col>5</xdr:col>
      <xdr:colOff>238125</xdr:colOff>
      <xdr:row>23</xdr:row>
      <xdr:rowOff>250826</xdr:rowOff>
    </xdr:to>
    <xdr:cxnSp macro="">
      <xdr:nvCxnSpPr>
        <xdr:cNvPr id="41324" name="CNtp5c13routev"/>
        <xdr:cNvCxnSpPr>
          <a:stCxn id="41303" idx="6"/>
          <a:endCxn id="41323" idx="2"/>
        </xdr:cNvCxnSpPr>
      </xdr:nvCxnSpPr>
      <xdr:spPr>
        <a:xfrm>
          <a:off x="28479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238126</xdr:colOff>
      <xdr:row>18</xdr:row>
      <xdr:rowOff>238126</xdr:rowOff>
    </xdr:from>
    <xdr:to>
      <xdr:col>5</xdr:col>
      <xdr:colOff>238125</xdr:colOff>
      <xdr:row>18</xdr:row>
      <xdr:rowOff>250826</xdr:rowOff>
    </xdr:to>
    <xdr:cxnSp macro="">
      <xdr:nvCxnSpPr>
        <xdr:cNvPr id="41321" name="CNtp5c12routev"/>
        <xdr:cNvCxnSpPr>
          <a:stCxn id="41300" idx="6"/>
          <a:endCxn id="41320" idx="2"/>
        </xdr:cNvCxnSpPr>
      </xdr:nvCxnSpPr>
      <xdr:spPr>
        <a:xfrm>
          <a:off x="28479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238126</xdr:colOff>
      <xdr:row>13</xdr:row>
      <xdr:rowOff>238126</xdr:rowOff>
    </xdr:from>
    <xdr:to>
      <xdr:col>5</xdr:col>
      <xdr:colOff>238125</xdr:colOff>
      <xdr:row>13</xdr:row>
      <xdr:rowOff>250826</xdr:rowOff>
    </xdr:to>
    <xdr:cxnSp macro="">
      <xdr:nvCxnSpPr>
        <xdr:cNvPr id="41319" name="CNtp5c12routeb"/>
        <xdr:cNvCxnSpPr>
          <a:stCxn id="41296" idx="6"/>
          <a:endCxn id="41317" idx="2"/>
        </xdr:cNvCxnSpPr>
      </xdr:nvCxnSpPr>
      <xdr:spPr>
        <a:xfrm>
          <a:off x="28479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238126</xdr:colOff>
      <xdr:row>13</xdr:row>
      <xdr:rowOff>238126</xdr:rowOff>
    </xdr:from>
    <xdr:to>
      <xdr:col>5</xdr:col>
      <xdr:colOff>238125</xdr:colOff>
      <xdr:row>13</xdr:row>
      <xdr:rowOff>250826</xdr:rowOff>
    </xdr:to>
    <xdr:cxnSp macro="">
      <xdr:nvCxnSpPr>
        <xdr:cNvPr id="41318" name="CNtp5c12routec"/>
        <xdr:cNvCxnSpPr>
          <a:stCxn id="41296" idx="6"/>
          <a:endCxn id="41317" idx="2"/>
        </xdr:cNvCxnSpPr>
      </xdr:nvCxnSpPr>
      <xdr:spPr>
        <a:xfrm>
          <a:off x="28479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238126</xdr:colOff>
      <xdr:row>3</xdr:row>
      <xdr:rowOff>238126</xdr:rowOff>
    </xdr:from>
    <xdr:to>
      <xdr:col>5</xdr:col>
      <xdr:colOff>238125</xdr:colOff>
      <xdr:row>3</xdr:row>
      <xdr:rowOff>250826</xdr:rowOff>
    </xdr:to>
    <xdr:cxnSp macro="">
      <xdr:nvCxnSpPr>
        <xdr:cNvPr id="41313" name="CNtp5c11routeb"/>
        <xdr:cNvCxnSpPr>
          <a:stCxn id="41289" idx="6"/>
          <a:endCxn id="41310" idx="2"/>
        </xdr:cNvCxnSpPr>
      </xdr:nvCxnSpPr>
      <xdr:spPr>
        <a:xfrm>
          <a:off x="2847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238126</xdr:colOff>
      <xdr:row>3</xdr:row>
      <xdr:rowOff>238126</xdr:rowOff>
    </xdr:from>
    <xdr:to>
      <xdr:col>5</xdr:col>
      <xdr:colOff>238125</xdr:colOff>
      <xdr:row>3</xdr:row>
      <xdr:rowOff>250826</xdr:rowOff>
    </xdr:to>
    <xdr:cxnSp macro="">
      <xdr:nvCxnSpPr>
        <xdr:cNvPr id="41312" name="CNtp5c11routec"/>
        <xdr:cNvCxnSpPr>
          <a:stCxn id="41289" idx="6"/>
          <a:endCxn id="41310" idx="2"/>
        </xdr:cNvCxnSpPr>
      </xdr:nvCxnSpPr>
      <xdr:spPr>
        <a:xfrm>
          <a:off x="2847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238126</xdr:colOff>
      <xdr:row>3</xdr:row>
      <xdr:rowOff>238126</xdr:rowOff>
    </xdr:from>
    <xdr:to>
      <xdr:col>5</xdr:col>
      <xdr:colOff>238125</xdr:colOff>
      <xdr:row>3</xdr:row>
      <xdr:rowOff>250826</xdr:rowOff>
    </xdr:to>
    <xdr:cxnSp macro="">
      <xdr:nvCxnSpPr>
        <xdr:cNvPr id="41311" name="CNtp5c11routev"/>
        <xdr:cNvCxnSpPr>
          <a:stCxn id="41289" idx="6"/>
          <a:endCxn id="41310" idx="2"/>
        </xdr:cNvCxnSpPr>
      </xdr:nvCxnSpPr>
      <xdr:spPr>
        <a:xfrm>
          <a:off x="28479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238126</xdr:colOff>
      <xdr:row>23</xdr:row>
      <xdr:rowOff>238126</xdr:rowOff>
    </xdr:from>
    <xdr:to>
      <xdr:col>4</xdr:col>
      <xdr:colOff>238125</xdr:colOff>
      <xdr:row>23</xdr:row>
      <xdr:rowOff>250826</xdr:rowOff>
    </xdr:to>
    <xdr:cxnSp macro="">
      <xdr:nvCxnSpPr>
        <xdr:cNvPr id="41306" name="CNtp4c13routeb"/>
        <xdr:cNvCxnSpPr>
          <a:stCxn id="41284" idx="6"/>
          <a:endCxn id="41303" idx="2"/>
        </xdr:cNvCxnSpPr>
      </xdr:nvCxnSpPr>
      <xdr:spPr>
        <a:xfrm>
          <a:off x="2371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238126</xdr:colOff>
      <xdr:row>23</xdr:row>
      <xdr:rowOff>238126</xdr:rowOff>
    </xdr:from>
    <xdr:to>
      <xdr:col>4</xdr:col>
      <xdr:colOff>238125</xdr:colOff>
      <xdr:row>23</xdr:row>
      <xdr:rowOff>250826</xdr:rowOff>
    </xdr:to>
    <xdr:cxnSp macro="">
      <xdr:nvCxnSpPr>
        <xdr:cNvPr id="41305" name="CNtp4c13routec"/>
        <xdr:cNvCxnSpPr>
          <a:stCxn id="41284" idx="6"/>
          <a:endCxn id="41303" idx="2"/>
        </xdr:cNvCxnSpPr>
      </xdr:nvCxnSpPr>
      <xdr:spPr>
        <a:xfrm>
          <a:off x="2371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238126</xdr:colOff>
      <xdr:row>23</xdr:row>
      <xdr:rowOff>238126</xdr:rowOff>
    </xdr:from>
    <xdr:to>
      <xdr:col>4</xdr:col>
      <xdr:colOff>238125</xdr:colOff>
      <xdr:row>23</xdr:row>
      <xdr:rowOff>250826</xdr:rowOff>
    </xdr:to>
    <xdr:cxnSp macro="">
      <xdr:nvCxnSpPr>
        <xdr:cNvPr id="41304" name="CNtp4c13routev"/>
        <xdr:cNvCxnSpPr>
          <a:stCxn id="41284" idx="6"/>
          <a:endCxn id="41303" idx="2"/>
        </xdr:cNvCxnSpPr>
      </xdr:nvCxnSpPr>
      <xdr:spPr>
        <a:xfrm>
          <a:off x="23717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238126</xdr:colOff>
      <xdr:row>18</xdr:row>
      <xdr:rowOff>238126</xdr:rowOff>
    </xdr:from>
    <xdr:to>
      <xdr:col>4</xdr:col>
      <xdr:colOff>238125</xdr:colOff>
      <xdr:row>18</xdr:row>
      <xdr:rowOff>250826</xdr:rowOff>
    </xdr:to>
    <xdr:cxnSp macro="">
      <xdr:nvCxnSpPr>
        <xdr:cNvPr id="41301" name="CNtp4c12routev"/>
        <xdr:cNvCxnSpPr>
          <a:stCxn id="41281" idx="6"/>
          <a:endCxn id="41300" idx="2"/>
        </xdr:cNvCxnSpPr>
      </xdr:nvCxnSpPr>
      <xdr:spPr>
        <a:xfrm>
          <a:off x="237172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238126</xdr:colOff>
      <xdr:row>13</xdr:row>
      <xdr:rowOff>238126</xdr:rowOff>
    </xdr:from>
    <xdr:to>
      <xdr:col>4</xdr:col>
      <xdr:colOff>238125</xdr:colOff>
      <xdr:row>13</xdr:row>
      <xdr:rowOff>250826</xdr:rowOff>
    </xdr:to>
    <xdr:cxnSp macro="">
      <xdr:nvCxnSpPr>
        <xdr:cNvPr id="41298" name="CNtp4c12routeb"/>
        <xdr:cNvCxnSpPr>
          <a:stCxn id="41278" idx="6"/>
          <a:endCxn id="41296" idx="2"/>
        </xdr:cNvCxnSpPr>
      </xdr:nvCxnSpPr>
      <xdr:spPr>
        <a:xfrm>
          <a:off x="23717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238126</xdr:colOff>
      <xdr:row>13</xdr:row>
      <xdr:rowOff>238126</xdr:rowOff>
    </xdr:from>
    <xdr:to>
      <xdr:col>4</xdr:col>
      <xdr:colOff>238125</xdr:colOff>
      <xdr:row>13</xdr:row>
      <xdr:rowOff>250826</xdr:rowOff>
    </xdr:to>
    <xdr:cxnSp macro="">
      <xdr:nvCxnSpPr>
        <xdr:cNvPr id="41297" name="CNtp4c12routec"/>
        <xdr:cNvCxnSpPr>
          <a:stCxn id="41278" idx="6"/>
          <a:endCxn id="41296" idx="2"/>
        </xdr:cNvCxnSpPr>
      </xdr:nvCxnSpPr>
      <xdr:spPr>
        <a:xfrm>
          <a:off x="23717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238126</xdr:colOff>
      <xdr:row>3</xdr:row>
      <xdr:rowOff>238126</xdr:rowOff>
    </xdr:from>
    <xdr:to>
      <xdr:col>4</xdr:col>
      <xdr:colOff>238125</xdr:colOff>
      <xdr:row>3</xdr:row>
      <xdr:rowOff>250826</xdr:rowOff>
    </xdr:to>
    <xdr:cxnSp macro="">
      <xdr:nvCxnSpPr>
        <xdr:cNvPr id="41292" name="CNtp4c11routeb"/>
        <xdr:cNvCxnSpPr>
          <a:stCxn id="41274" idx="6"/>
          <a:endCxn id="41289" idx="2"/>
        </xdr:cNvCxnSpPr>
      </xdr:nvCxnSpPr>
      <xdr:spPr>
        <a:xfrm>
          <a:off x="2371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238126</xdr:colOff>
      <xdr:row>3</xdr:row>
      <xdr:rowOff>238126</xdr:rowOff>
    </xdr:from>
    <xdr:to>
      <xdr:col>4</xdr:col>
      <xdr:colOff>238125</xdr:colOff>
      <xdr:row>3</xdr:row>
      <xdr:rowOff>250826</xdr:rowOff>
    </xdr:to>
    <xdr:cxnSp macro="">
      <xdr:nvCxnSpPr>
        <xdr:cNvPr id="41291" name="CNtp4c11routec"/>
        <xdr:cNvCxnSpPr>
          <a:stCxn id="41274" idx="6"/>
          <a:endCxn id="41289" idx="2"/>
        </xdr:cNvCxnSpPr>
      </xdr:nvCxnSpPr>
      <xdr:spPr>
        <a:xfrm>
          <a:off x="2371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238126</xdr:colOff>
      <xdr:row>3</xdr:row>
      <xdr:rowOff>238126</xdr:rowOff>
    </xdr:from>
    <xdr:to>
      <xdr:col>4</xdr:col>
      <xdr:colOff>238125</xdr:colOff>
      <xdr:row>3</xdr:row>
      <xdr:rowOff>250826</xdr:rowOff>
    </xdr:to>
    <xdr:cxnSp macro="">
      <xdr:nvCxnSpPr>
        <xdr:cNvPr id="41290" name="CNtp4c11routev"/>
        <xdr:cNvCxnSpPr>
          <a:stCxn id="41274" idx="6"/>
          <a:endCxn id="41289" idx="2"/>
        </xdr:cNvCxnSpPr>
      </xdr:nvCxnSpPr>
      <xdr:spPr>
        <a:xfrm>
          <a:off x="23717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238126</xdr:colOff>
      <xdr:row>23</xdr:row>
      <xdr:rowOff>238126</xdr:rowOff>
    </xdr:from>
    <xdr:to>
      <xdr:col>3</xdr:col>
      <xdr:colOff>238125</xdr:colOff>
      <xdr:row>23</xdr:row>
      <xdr:rowOff>250826</xdr:rowOff>
    </xdr:to>
    <xdr:cxnSp macro="">
      <xdr:nvCxnSpPr>
        <xdr:cNvPr id="41287" name="CNtp3c13routeb"/>
        <xdr:cNvCxnSpPr>
          <a:stCxn id="41268" idx="6"/>
          <a:endCxn id="41284" idx="2"/>
        </xdr:cNvCxnSpPr>
      </xdr:nvCxnSpPr>
      <xdr:spPr>
        <a:xfrm>
          <a:off x="1895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238126</xdr:colOff>
      <xdr:row>23</xdr:row>
      <xdr:rowOff>238126</xdr:rowOff>
    </xdr:from>
    <xdr:to>
      <xdr:col>3</xdr:col>
      <xdr:colOff>238125</xdr:colOff>
      <xdr:row>23</xdr:row>
      <xdr:rowOff>250826</xdr:rowOff>
    </xdr:to>
    <xdr:cxnSp macro="">
      <xdr:nvCxnSpPr>
        <xdr:cNvPr id="41286" name="CNtp3c13routec"/>
        <xdr:cNvCxnSpPr>
          <a:stCxn id="41268" idx="6"/>
          <a:endCxn id="41284" idx="2"/>
        </xdr:cNvCxnSpPr>
      </xdr:nvCxnSpPr>
      <xdr:spPr>
        <a:xfrm>
          <a:off x="1895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238126</xdr:colOff>
      <xdr:row>23</xdr:row>
      <xdr:rowOff>238126</xdr:rowOff>
    </xdr:from>
    <xdr:to>
      <xdr:col>3</xdr:col>
      <xdr:colOff>238125</xdr:colOff>
      <xdr:row>23</xdr:row>
      <xdr:rowOff>250826</xdr:rowOff>
    </xdr:to>
    <xdr:cxnSp macro="">
      <xdr:nvCxnSpPr>
        <xdr:cNvPr id="41285" name="CNtp3c13routev"/>
        <xdr:cNvCxnSpPr>
          <a:stCxn id="41268" idx="6"/>
          <a:endCxn id="41284" idx="2"/>
        </xdr:cNvCxnSpPr>
      </xdr:nvCxnSpPr>
      <xdr:spPr>
        <a:xfrm>
          <a:off x="189547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238126</xdr:colOff>
      <xdr:row>18</xdr:row>
      <xdr:rowOff>238126</xdr:rowOff>
    </xdr:from>
    <xdr:to>
      <xdr:col>3</xdr:col>
      <xdr:colOff>238125</xdr:colOff>
      <xdr:row>18</xdr:row>
      <xdr:rowOff>250826</xdr:rowOff>
    </xdr:to>
    <xdr:cxnSp macro="">
      <xdr:nvCxnSpPr>
        <xdr:cNvPr id="41282" name="CNtp3c12routev"/>
        <xdr:cNvCxnSpPr>
          <a:stCxn id="41265" idx="6"/>
          <a:endCxn id="41281" idx="2"/>
        </xdr:cNvCxnSpPr>
      </xdr:nvCxnSpPr>
      <xdr:spPr>
        <a:xfrm>
          <a:off x="1895476" y="995362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238126</xdr:colOff>
      <xdr:row>13</xdr:row>
      <xdr:rowOff>238126</xdr:rowOff>
    </xdr:from>
    <xdr:to>
      <xdr:col>3</xdr:col>
      <xdr:colOff>238125</xdr:colOff>
      <xdr:row>13</xdr:row>
      <xdr:rowOff>250826</xdr:rowOff>
    </xdr:to>
    <xdr:cxnSp macro="">
      <xdr:nvCxnSpPr>
        <xdr:cNvPr id="41280" name="CNtp3c12routeb"/>
        <xdr:cNvCxnSpPr>
          <a:stCxn id="41260" idx="6"/>
          <a:endCxn id="41278" idx="2"/>
        </xdr:cNvCxnSpPr>
      </xdr:nvCxnSpPr>
      <xdr:spPr>
        <a:xfrm>
          <a:off x="1895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238126</xdr:colOff>
      <xdr:row>13</xdr:row>
      <xdr:rowOff>238126</xdr:rowOff>
    </xdr:from>
    <xdr:to>
      <xdr:col>3</xdr:col>
      <xdr:colOff>238125</xdr:colOff>
      <xdr:row>13</xdr:row>
      <xdr:rowOff>250826</xdr:rowOff>
    </xdr:to>
    <xdr:cxnSp macro="">
      <xdr:nvCxnSpPr>
        <xdr:cNvPr id="41279" name="CNtp3c12routec"/>
        <xdr:cNvCxnSpPr>
          <a:stCxn id="41260" idx="6"/>
          <a:endCxn id="41278" idx="2"/>
        </xdr:cNvCxnSpPr>
      </xdr:nvCxnSpPr>
      <xdr:spPr>
        <a:xfrm>
          <a:off x="189547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238126</xdr:colOff>
      <xdr:row>3</xdr:row>
      <xdr:rowOff>238126</xdr:rowOff>
    </xdr:from>
    <xdr:to>
      <xdr:col>3</xdr:col>
      <xdr:colOff>238125</xdr:colOff>
      <xdr:row>3</xdr:row>
      <xdr:rowOff>250826</xdr:rowOff>
    </xdr:to>
    <xdr:cxnSp macro="">
      <xdr:nvCxnSpPr>
        <xdr:cNvPr id="41277" name="CNtp3c11routeb"/>
        <xdr:cNvCxnSpPr>
          <a:stCxn id="41253" idx="6"/>
          <a:endCxn id="41274" idx="2"/>
        </xdr:cNvCxnSpPr>
      </xdr:nvCxnSpPr>
      <xdr:spPr>
        <a:xfrm>
          <a:off x="1895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238126</xdr:colOff>
      <xdr:row>3</xdr:row>
      <xdr:rowOff>238126</xdr:rowOff>
    </xdr:from>
    <xdr:to>
      <xdr:col>3</xdr:col>
      <xdr:colOff>238125</xdr:colOff>
      <xdr:row>3</xdr:row>
      <xdr:rowOff>250826</xdr:rowOff>
    </xdr:to>
    <xdr:cxnSp macro="">
      <xdr:nvCxnSpPr>
        <xdr:cNvPr id="41276" name="CNtp3c11routec"/>
        <xdr:cNvCxnSpPr>
          <a:stCxn id="41253" idx="6"/>
          <a:endCxn id="41274" idx="2"/>
        </xdr:cNvCxnSpPr>
      </xdr:nvCxnSpPr>
      <xdr:spPr>
        <a:xfrm>
          <a:off x="1895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238126</xdr:colOff>
      <xdr:row>3</xdr:row>
      <xdr:rowOff>238126</xdr:rowOff>
    </xdr:from>
    <xdr:to>
      <xdr:col>3</xdr:col>
      <xdr:colOff>238125</xdr:colOff>
      <xdr:row>3</xdr:row>
      <xdr:rowOff>250826</xdr:rowOff>
    </xdr:to>
    <xdr:cxnSp macro="">
      <xdr:nvCxnSpPr>
        <xdr:cNvPr id="41275" name="CNtp3c11routev"/>
        <xdr:cNvCxnSpPr>
          <a:stCxn id="41253" idx="6"/>
          <a:endCxn id="41274" idx="2"/>
        </xdr:cNvCxnSpPr>
      </xdr:nvCxnSpPr>
      <xdr:spPr>
        <a:xfrm>
          <a:off x="189547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238126</xdr:colOff>
      <xdr:row>23</xdr:row>
      <xdr:rowOff>238126</xdr:rowOff>
    </xdr:from>
    <xdr:to>
      <xdr:col>2</xdr:col>
      <xdr:colOff>238125</xdr:colOff>
      <xdr:row>30</xdr:row>
      <xdr:rowOff>238126</xdr:rowOff>
    </xdr:to>
    <xdr:cxnSp macro="">
      <xdr:nvCxnSpPr>
        <xdr:cNvPr id="41271" name="CNtp2c13routeb"/>
        <xdr:cNvCxnSpPr>
          <a:stCxn id="41251" idx="6"/>
          <a:endCxn id="41268" idx="2"/>
        </xdr:cNvCxnSpPr>
      </xdr:nvCxnSpPr>
      <xdr:spPr>
        <a:xfrm flipV="1">
          <a:off x="1419226" y="12334876"/>
          <a:ext cx="476249" cy="3333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238126</xdr:colOff>
      <xdr:row>23</xdr:row>
      <xdr:rowOff>238126</xdr:rowOff>
    </xdr:from>
    <xdr:to>
      <xdr:col>2</xdr:col>
      <xdr:colOff>238125</xdr:colOff>
      <xdr:row>23</xdr:row>
      <xdr:rowOff>250826</xdr:rowOff>
    </xdr:to>
    <xdr:cxnSp macro="">
      <xdr:nvCxnSpPr>
        <xdr:cNvPr id="41270" name="CNtp2c13routec"/>
        <xdr:cNvCxnSpPr>
          <a:stCxn id="41250" idx="6"/>
          <a:endCxn id="41268" idx="2"/>
        </xdr:cNvCxnSpPr>
      </xdr:nvCxnSpPr>
      <xdr:spPr>
        <a:xfrm>
          <a:off x="1419226" y="12334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238126</xdr:colOff>
      <xdr:row>23</xdr:row>
      <xdr:rowOff>238126</xdr:rowOff>
    </xdr:from>
    <xdr:to>
      <xdr:col>2</xdr:col>
      <xdr:colOff>238125</xdr:colOff>
      <xdr:row>30</xdr:row>
      <xdr:rowOff>238126</xdr:rowOff>
    </xdr:to>
    <xdr:cxnSp macro="">
      <xdr:nvCxnSpPr>
        <xdr:cNvPr id="41269" name="CNtp2c13routev"/>
        <xdr:cNvCxnSpPr>
          <a:stCxn id="41251" idx="6"/>
          <a:endCxn id="41268" idx="2"/>
        </xdr:cNvCxnSpPr>
      </xdr:nvCxnSpPr>
      <xdr:spPr>
        <a:xfrm flipV="1">
          <a:off x="1419226" y="12334876"/>
          <a:ext cx="476249" cy="333375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238126</xdr:colOff>
      <xdr:row>18</xdr:row>
      <xdr:rowOff>238126</xdr:rowOff>
    </xdr:from>
    <xdr:to>
      <xdr:col>2</xdr:col>
      <xdr:colOff>238125</xdr:colOff>
      <xdr:row>20</xdr:row>
      <xdr:rowOff>238126</xdr:rowOff>
    </xdr:to>
    <xdr:cxnSp macro="">
      <xdr:nvCxnSpPr>
        <xdr:cNvPr id="41266" name="CNtp2c12routev"/>
        <xdr:cNvCxnSpPr>
          <a:stCxn id="41249" idx="6"/>
          <a:endCxn id="41265" idx="2"/>
        </xdr:cNvCxnSpPr>
      </xdr:nvCxnSpPr>
      <xdr:spPr>
        <a:xfrm flipV="1">
          <a:off x="1419226" y="9953626"/>
          <a:ext cx="476249" cy="9525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238126</xdr:colOff>
      <xdr:row>13</xdr:row>
      <xdr:rowOff>238126</xdr:rowOff>
    </xdr:from>
    <xdr:to>
      <xdr:col>2</xdr:col>
      <xdr:colOff>238125</xdr:colOff>
      <xdr:row>20</xdr:row>
      <xdr:rowOff>238126</xdr:rowOff>
    </xdr:to>
    <xdr:cxnSp macro="">
      <xdr:nvCxnSpPr>
        <xdr:cNvPr id="41262" name="CNtp2c12routeb"/>
        <xdr:cNvCxnSpPr>
          <a:stCxn id="41249" idx="6"/>
          <a:endCxn id="41260" idx="2"/>
        </xdr:cNvCxnSpPr>
      </xdr:nvCxnSpPr>
      <xdr:spPr>
        <a:xfrm flipV="1">
          <a:off x="1419226" y="7572376"/>
          <a:ext cx="476249" cy="3333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238126</xdr:colOff>
      <xdr:row>13</xdr:row>
      <xdr:rowOff>238126</xdr:rowOff>
    </xdr:from>
    <xdr:to>
      <xdr:col>2</xdr:col>
      <xdr:colOff>238125</xdr:colOff>
      <xdr:row>13</xdr:row>
      <xdr:rowOff>250826</xdr:rowOff>
    </xdr:to>
    <xdr:cxnSp macro="">
      <xdr:nvCxnSpPr>
        <xdr:cNvPr id="41261" name="CNtp2c12routec"/>
        <xdr:cNvCxnSpPr>
          <a:stCxn id="41246" idx="6"/>
          <a:endCxn id="41260" idx="2"/>
        </xdr:cNvCxnSpPr>
      </xdr:nvCxnSpPr>
      <xdr:spPr>
        <a:xfrm>
          <a:off x="1419226" y="75723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238126</xdr:colOff>
      <xdr:row>3</xdr:row>
      <xdr:rowOff>238126</xdr:rowOff>
    </xdr:from>
    <xdr:to>
      <xdr:col>2</xdr:col>
      <xdr:colOff>238125</xdr:colOff>
      <xdr:row>10</xdr:row>
      <xdr:rowOff>238126</xdr:rowOff>
    </xdr:to>
    <xdr:cxnSp macro="">
      <xdr:nvCxnSpPr>
        <xdr:cNvPr id="41256" name="CNtp2c11routeb"/>
        <xdr:cNvCxnSpPr>
          <a:stCxn id="41245" idx="6"/>
          <a:endCxn id="41253" idx="2"/>
        </xdr:cNvCxnSpPr>
      </xdr:nvCxnSpPr>
      <xdr:spPr>
        <a:xfrm flipV="1">
          <a:off x="1419226" y="2809876"/>
          <a:ext cx="476249" cy="3333750"/>
        </a:xfrm>
        <a:prstGeom prst="bentConnector3">
          <a:avLst>
            <a:gd name="adj1" fmla="val 50000"/>
          </a:avLst>
        </a:prstGeom>
        <a:ln w="3175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238126</xdr:colOff>
      <xdr:row>3</xdr:row>
      <xdr:rowOff>238126</xdr:rowOff>
    </xdr:from>
    <xdr:to>
      <xdr:col>2</xdr:col>
      <xdr:colOff>238125</xdr:colOff>
      <xdr:row>3</xdr:row>
      <xdr:rowOff>250826</xdr:rowOff>
    </xdr:to>
    <xdr:cxnSp macro="">
      <xdr:nvCxnSpPr>
        <xdr:cNvPr id="41255" name="CNtp2c11routec"/>
        <xdr:cNvCxnSpPr>
          <a:stCxn id="41242" idx="6"/>
          <a:endCxn id="41253" idx="2"/>
        </xdr:cNvCxnSpPr>
      </xdr:nvCxnSpPr>
      <xdr:spPr>
        <a:xfrm>
          <a:off x="1419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238126</xdr:colOff>
      <xdr:row>3</xdr:row>
      <xdr:rowOff>238126</xdr:rowOff>
    </xdr:from>
    <xdr:to>
      <xdr:col>2</xdr:col>
      <xdr:colOff>238125</xdr:colOff>
      <xdr:row>3</xdr:row>
      <xdr:rowOff>250826</xdr:rowOff>
    </xdr:to>
    <xdr:cxnSp macro="">
      <xdr:nvCxnSpPr>
        <xdr:cNvPr id="41254" name="CNtp2c11routev"/>
        <xdr:cNvCxnSpPr>
          <a:stCxn id="41242" idx="6"/>
          <a:endCxn id="41253" idx="2"/>
        </xdr:cNvCxnSpPr>
      </xdr:nvCxnSpPr>
      <xdr:spPr>
        <a:xfrm>
          <a:off x="1419226" y="2809876"/>
          <a:ext cx="476249" cy="12700"/>
        </a:xfrm>
        <a:prstGeom prst="bentConnector3">
          <a:avLst>
            <a:gd name="adj1" fmla="val 50000"/>
          </a:avLst>
        </a:prstGeom>
        <a:ln w="317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238125</xdr:colOff>
      <xdr:row>3</xdr:row>
      <xdr:rowOff>238125</xdr:rowOff>
    </xdr:from>
    <xdr:to>
      <xdr:col>1</xdr:col>
      <xdr:colOff>238125</xdr:colOff>
      <xdr:row>3</xdr:row>
      <xdr:rowOff>238125</xdr:rowOff>
    </xdr:to>
    <xdr:sp macro="" textlink="">
      <xdr:nvSpPr>
        <xdr:cNvPr id="41242" name="rteShptp1c11c21size0color0routevc"/>
        <xdr:cNvSpPr/>
      </xdr:nvSpPr>
      <xdr:spPr>
        <a:xfrm>
          <a:off x="14192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174625</xdr:colOff>
      <xdr:row>5</xdr:row>
      <xdr:rowOff>174625</xdr:rowOff>
    </xdr:from>
    <xdr:to>
      <xdr:col>1</xdr:col>
      <xdr:colOff>301625</xdr:colOff>
      <xdr:row>5</xdr:row>
      <xdr:rowOff>301625</xdr:rowOff>
    </xdr:to>
    <xdr:sp macro="" textlink="">
      <xdr:nvSpPr>
        <xdr:cNvPr id="41243" name="tp1c11c23size10color65280route"/>
        <xdr:cNvSpPr/>
      </xdr:nvSpPr>
      <xdr:spPr>
        <a:xfrm>
          <a:off x="1355725" y="36988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73025</xdr:colOff>
      <xdr:row>10</xdr:row>
      <xdr:rowOff>73025</xdr:rowOff>
    </xdr:from>
    <xdr:to>
      <xdr:col>1</xdr:col>
      <xdr:colOff>403225</xdr:colOff>
      <xdr:row>10</xdr:row>
      <xdr:rowOff>403225</xdr:rowOff>
    </xdr:to>
    <xdr:sp macro="" textlink="">
      <xdr:nvSpPr>
        <xdr:cNvPr id="41244" name="tp1c11c28size26color65280routeb">
          <a:hlinkClick xmlns:r="http://schemas.openxmlformats.org/officeDocument/2006/relationships" r:id="" tooltip="paid search? Affinities?"/>
        </xdr:cNvPr>
        <xdr:cNvSpPr/>
      </xdr:nvSpPr>
      <xdr:spPr>
        <a:xfrm>
          <a:off x="1254125" y="5978525"/>
          <a:ext cx="330200" cy="3302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238125</xdr:colOff>
      <xdr:row>10</xdr:row>
      <xdr:rowOff>238125</xdr:rowOff>
    </xdr:from>
    <xdr:to>
      <xdr:col>1</xdr:col>
      <xdr:colOff>238125</xdr:colOff>
      <xdr:row>10</xdr:row>
      <xdr:rowOff>238125</xdr:rowOff>
    </xdr:to>
    <xdr:sp macro="" textlink="">
      <xdr:nvSpPr>
        <xdr:cNvPr id="41245" name="rteShptp1c11c28size26color65280routeb"/>
        <xdr:cNvSpPr/>
      </xdr:nvSpPr>
      <xdr:spPr>
        <a:xfrm>
          <a:off x="1419225" y="614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238125</xdr:colOff>
      <xdr:row>13</xdr:row>
      <xdr:rowOff>238125</xdr:rowOff>
    </xdr:from>
    <xdr:to>
      <xdr:col>1</xdr:col>
      <xdr:colOff>238125</xdr:colOff>
      <xdr:row>13</xdr:row>
      <xdr:rowOff>238125</xdr:rowOff>
    </xdr:to>
    <xdr:sp macro="" textlink="">
      <xdr:nvSpPr>
        <xdr:cNvPr id="41246" name="rteShptp1c12c21size0color0routec"/>
        <xdr:cNvSpPr/>
      </xdr:nvSpPr>
      <xdr:spPr>
        <a:xfrm>
          <a:off x="14192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123825</xdr:colOff>
      <xdr:row>15</xdr:row>
      <xdr:rowOff>123825</xdr:rowOff>
    </xdr:from>
    <xdr:to>
      <xdr:col>1</xdr:col>
      <xdr:colOff>352425</xdr:colOff>
      <xdr:row>15</xdr:row>
      <xdr:rowOff>352425</xdr:rowOff>
    </xdr:to>
    <xdr:sp macro="" textlink="">
      <xdr:nvSpPr>
        <xdr:cNvPr id="41247" name="tp1c12c23size18color65280route"/>
        <xdr:cNvSpPr/>
      </xdr:nvSpPr>
      <xdr:spPr>
        <a:xfrm>
          <a:off x="1304925" y="8410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73025</xdr:colOff>
      <xdr:row>20</xdr:row>
      <xdr:rowOff>73025</xdr:rowOff>
    </xdr:from>
    <xdr:to>
      <xdr:col>1</xdr:col>
      <xdr:colOff>403225</xdr:colOff>
      <xdr:row>20</xdr:row>
      <xdr:rowOff>403225</xdr:rowOff>
    </xdr:to>
    <xdr:sp macro="" textlink="">
      <xdr:nvSpPr>
        <xdr:cNvPr id="41248" name="tp1c12c28size26color65280routevb">
          <a:hlinkClick xmlns:r="http://schemas.openxmlformats.org/officeDocument/2006/relationships" r:id="" tooltip="Chris Shaw:&#10;email (M)&#10;Card Acct placement (S)"/>
        </xdr:cNvPr>
        <xdr:cNvSpPr/>
      </xdr:nvSpPr>
      <xdr:spPr>
        <a:xfrm>
          <a:off x="1254125" y="10741025"/>
          <a:ext cx="330200" cy="3302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238125</xdr:colOff>
      <xdr:row>20</xdr:row>
      <xdr:rowOff>238125</xdr:rowOff>
    </xdr:from>
    <xdr:to>
      <xdr:col>1</xdr:col>
      <xdr:colOff>238125</xdr:colOff>
      <xdr:row>20</xdr:row>
      <xdr:rowOff>238125</xdr:rowOff>
    </xdr:to>
    <xdr:sp macro="" textlink="">
      <xdr:nvSpPr>
        <xdr:cNvPr id="41249" name="rteShptp1c12c28size26color65280routevb"/>
        <xdr:cNvSpPr/>
      </xdr:nvSpPr>
      <xdr:spPr>
        <a:xfrm>
          <a:off x="1419225" y="1090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238125</xdr:colOff>
      <xdr:row>23</xdr:row>
      <xdr:rowOff>238125</xdr:rowOff>
    </xdr:from>
    <xdr:to>
      <xdr:col>1</xdr:col>
      <xdr:colOff>238125</xdr:colOff>
      <xdr:row>23</xdr:row>
      <xdr:rowOff>238125</xdr:rowOff>
    </xdr:to>
    <xdr:sp macro="" textlink="">
      <xdr:nvSpPr>
        <xdr:cNvPr id="41250" name="rteShptp1c13c21size0color0routec"/>
        <xdr:cNvSpPr/>
      </xdr:nvSpPr>
      <xdr:spPr>
        <a:xfrm>
          <a:off x="14192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238125</xdr:colOff>
      <xdr:row>30</xdr:row>
      <xdr:rowOff>238125</xdr:rowOff>
    </xdr:from>
    <xdr:to>
      <xdr:col>1</xdr:col>
      <xdr:colOff>238125</xdr:colOff>
      <xdr:row>30</xdr:row>
      <xdr:rowOff>238125</xdr:rowOff>
    </xdr:to>
    <xdr:sp macro="" textlink="">
      <xdr:nvSpPr>
        <xdr:cNvPr id="41251" name="rteShptp1c13c28size0color0routevb"/>
        <xdr:cNvSpPr/>
      </xdr:nvSpPr>
      <xdr:spPr>
        <a:xfrm>
          <a:off x="1419225" y="1566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123825</xdr:colOff>
      <xdr:row>3</xdr:row>
      <xdr:rowOff>123825</xdr:rowOff>
    </xdr:from>
    <xdr:to>
      <xdr:col>2</xdr:col>
      <xdr:colOff>352425</xdr:colOff>
      <xdr:row>3</xdr:row>
      <xdr:rowOff>352425</xdr:rowOff>
    </xdr:to>
    <xdr:sp macro="" textlink="">
      <xdr:nvSpPr>
        <xdr:cNvPr id="41252" name="tp2c11c21size18color65280routevcb"/>
        <xdr:cNvSpPr/>
      </xdr:nvSpPr>
      <xdr:spPr>
        <a:xfrm>
          <a:off x="1781175" y="2695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238125</xdr:colOff>
      <xdr:row>3</xdr:row>
      <xdr:rowOff>238125</xdr:rowOff>
    </xdr:from>
    <xdr:to>
      <xdr:col>2</xdr:col>
      <xdr:colOff>238125</xdr:colOff>
      <xdr:row>3</xdr:row>
      <xdr:rowOff>238125</xdr:rowOff>
    </xdr:to>
    <xdr:sp macro="" textlink="">
      <xdr:nvSpPr>
        <xdr:cNvPr id="41253" name="rteShptp2c11c21size18color65280routevcb"/>
        <xdr:cNvSpPr/>
      </xdr:nvSpPr>
      <xdr:spPr>
        <a:xfrm>
          <a:off x="18954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123825</xdr:colOff>
      <xdr:row>4</xdr:row>
      <xdr:rowOff>123825</xdr:rowOff>
    </xdr:from>
    <xdr:to>
      <xdr:col>2</xdr:col>
      <xdr:colOff>352425</xdr:colOff>
      <xdr:row>4</xdr:row>
      <xdr:rowOff>352425</xdr:rowOff>
    </xdr:to>
    <xdr:sp macro="" textlink="">
      <xdr:nvSpPr>
        <xdr:cNvPr id="41257" name="tp2c11c22size18color65280route"/>
        <xdr:cNvSpPr/>
      </xdr:nvSpPr>
      <xdr:spPr>
        <a:xfrm>
          <a:off x="1781175" y="3171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174625</xdr:colOff>
      <xdr:row>6</xdr:row>
      <xdr:rowOff>174625</xdr:rowOff>
    </xdr:from>
    <xdr:to>
      <xdr:col>2</xdr:col>
      <xdr:colOff>301625</xdr:colOff>
      <xdr:row>6</xdr:row>
      <xdr:rowOff>301625</xdr:rowOff>
    </xdr:to>
    <xdr:sp macro="" textlink="">
      <xdr:nvSpPr>
        <xdr:cNvPr id="41258" name="tp2c11c24size10color65280route"/>
        <xdr:cNvSpPr/>
      </xdr:nvSpPr>
      <xdr:spPr>
        <a:xfrm>
          <a:off x="1831975" y="4175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174625</xdr:colOff>
      <xdr:row>7</xdr:row>
      <xdr:rowOff>174625</xdr:rowOff>
    </xdr:from>
    <xdr:to>
      <xdr:col>2</xdr:col>
      <xdr:colOff>301625</xdr:colOff>
      <xdr:row>7</xdr:row>
      <xdr:rowOff>301625</xdr:rowOff>
    </xdr:to>
    <xdr:sp macro="" textlink="">
      <xdr:nvSpPr>
        <xdr:cNvPr id="41259" name="tp2c11c25size10color65280route"/>
        <xdr:cNvSpPr/>
      </xdr:nvSpPr>
      <xdr:spPr>
        <a:xfrm>
          <a:off x="1831975" y="46513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238125</xdr:colOff>
      <xdr:row>13</xdr:row>
      <xdr:rowOff>238125</xdr:rowOff>
    </xdr:from>
    <xdr:to>
      <xdr:col>2</xdr:col>
      <xdr:colOff>238125</xdr:colOff>
      <xdr:row>13</xdr:row>
      <xdr:rowOff>238125</xdr:rowOff>
    </xdr:to>
    <xdr:sp macro="" textlink="">
      <xdr:nvSpPr>
        <xdr:cNvPr id="41260" name="rteShptp2c12c21size0color0routecb"/>
        <xdr:cNvSpPr/>
      </xdr:nvSpPr>
      <xdr:spPr>
        <a:xfrm>
          <a:off x="18954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123825</xdr:colOff>
      <xdr:row>14</xdr:row>
      <xdr:rowOff>123825</xdr:rowOff>
    </xdr:from>
    <xdr:to>
      <xdr:col>2</xdr:col>
      <xdr:colOff>352425</xdr:colOff>
      <xdr:row>14</xdr:row>
      <xdr:rowOff>352425</xdr:rowOff>
    </xdr:to>
    <xdr:sp macro="" textlink="">
      <xdr:nvSpPr>
        <xdr:cNvPr id="41263" name="tp2c12c22size18color255route"/>
        <xdr:cNvSpPr/>
      </xdr:nvSpPr>
      <xdr:spPr>
        <a:xfrm>
          <a:off x="1781175" y="7934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</xdr:colOff>
      <xdr:row>18</xdr:row>
      <xdr:rowOff>73025</xdr:rowOff>
    </xdr:from>
    <xdr:to>
      <xdr:col>2</xdr:col>
      <xdr:colOff>403225</xdr:colOff>
      <xdr:row>18</xdr:row>
      <xdr:rowOff>403225</xdr:rowOff>
    </xdr:to>
    <xdr:sp macro="" textlink="">
      <xdr:nvSpPr>
        <xdr:cNvPr id="41264" name="tp2c12c26size26color65535routev"/>
        <xdr:cNvSpPr/>
      </xdr:nvSpPr>
      <xdr:spPr>
        <a:xfrm>
          <a:off x="173037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238125</xdr:colOff>
      <xdr:row>18</xdr:row>
      <xdr:rowOff>238125</xdr:rowOff>
    </xdr:from>
    <xdr:to>
      <xdr:col>2</xdr:col>
      <xdr:colOff>238125</xdr:colOff>
      <xdr:row>18</xdr:row>
      <xdr:rowOff>238125</xdr:rowOff>
    </xdr:to>
    <xdr:sp macro="" textlink="">
      <xdr:nvSpPr>
        <xdr:cNvPr id="41265" name="rteShptp2c12c26size26color65535routev"/>
        <xdr:cNvSpPr/>
      </xdr:nvSpPr>
      <xdr:spPr>
        <a:xfrm>
          <a:off x="1895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</xdr:colOff>
      <xdr:row>23</xdr:row>
      <xdr:rowOff>73025</xdr:rowOff>
    </xdr:from>
    <xdr:to>
      <xdr:col>2</xdr:col>
      <xdr:colOff>403225</xdr:colOff>
      <xdr:row>23</xdr:row>
      <xdr:rowOff>403225</xdr:rowOff>
    </xdr:to>
    <xdr:sp macro="" textlink="">
      <xdr:nvSpPr>
        <xdr:cNvPr id="41267" name="tp2c13c21size26color65280routevcb">
          <a:hlinkClick xmlns:r="http://schemas.openxmlformats.org/officeDocument/2006/relationships" r:id="" tooltip="Chris Shaw:&#10;routes flow through browser assumes mobile web/big browser same channel"/>
        </xdr:cNvPr>
        <xdr:cNvSpPr/>
      </xdr:nvSpPr>
      <xdr:spPr>
        <a:xfrm>
          <a:off x="1730375" y="12169775"/>
          <a:ext cx="330200" cy="3302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238125</xdr:colOff>
      <xdr:row>23</xdr:row>
      <xdr:rowOff>238125</xdr:rowOff>
    </xdr:from>
    <xdr:to>
      <xdr:col>2</xdr:col>
      <xdr:colOff>238125</xdr:colOff>
      <xdr:row>23</xdr:row>
      <xdr:rowOff>238125</xdr:rowOff>
    </xdr:to>
    <xdr:sp macro="" textlink="">
      <xdr:nvSpPr>
        <xdr:cNvPr id="41268" name="rteShptp2c13c21size26color65280routevcb"/>
        <xdr:cNvSpPr/>
      </xdr:nvSpPr>
      <xdr:spPr>
        <a:xfrm>
          <a:off x="18954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174625</xdr:colOff>
      <xdr:row>26</xdr:row>
      <xdr:rowOff>174625</xdr:rowOff>
    </xdr:from>
    <xdr:to>
      <xdr:col>2</xdr:col>
      <xdr:colOff>301625</xdr:colOff>
      <xdr:row>26</xdr:row>
      <xdr:rowOff>301625</xdr:rowOff>
    </xdr:to>
    <xdr:sp macro="" textlink="">
      <xdr:nvSpPr>
        <xdr:cNvPr id="41272" name="tp2c13c24size10color255route"/>
        <xdr:cNvSpPr/>
      </xdr:nvSpPr>
      <xdr:spPr>
        <a:xfrm>
          <a:off x="1831975" y="13700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73025</xdr:colOff>
      <xdr:row>3</xdr:row>
      <xdr:rowOff>73025</xdr:rowOff>
    </xdr:from>
    <xdr:to>
      <xdr:col>3</xdr:col>
      <xdr:colOff>403225</xdr:colOff>
      <xdr:row>3</xdr:row>
      <xdr:rowOff>403225</xdr:rowOff>
    </xdr:to>
    <xdr:sp macro="" textlink="">
      <xdr:nvSpPr>
        <xdr:cNvPr id="41273" name="tp3c11c21size26color65280routevcb"/>
        <xdr:cNvSpPr/>
      </xdr:nvSpPr>
      <xdr:spPr>
        <a:xfrm>
          <a:off x="2206625" y="26447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238125</xdr:colOff>
      <xdr:row>3</xdr:row>
      <xdr:rowOff>238125</xdr:rowOff>
    </xdr:from>
    <xdr:to>
      <xdr:col>3</xdr:col>
      <xdr:colOff>238125</xdr:colOff>
      <xdr:row>3</xdr:row>
      <xdr:rowOff>238125</xdr:rowOff>
    </xdr:to>
    <xdr:sp macro="" textlink="">
      <xdr:nvSpPr>
        <xdr:cNvPr id="41274" name="rteShptp3c11c21size26color65280routevcb"/>
        <xdr:cNvSpPr/>
      </xdr:nvSpPr>
      <xdr:spPr>
        <a:xfrm>
          <a:off x="23717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238125</xdr:colOff>
      <xdr:row>13</xdr:row>
      <xdr:rowOff>238125</xdr:rowOff>
    </xdr:from>
    <xdr:to>
      <xdr:col>3</xdr:col>
      <xdr:colOff>238125</xdr:colOff>
      <xdr:row>13</xdr:row>
      <xdr:rowOff>238125</xdr:rowOff>
    </xdr:to>
    <xdr:sp macro="" textlink="">
      <xdr:nvSpPr>
        <xdr:cNvPr id="41278" name="rteShptp3c12c21size0color0routecb"/>
        <xdr:cNvSpPr/>
      </xdr:nvSpPr>
      <xdr:spPr>
        <a:xfrm>
          <a:off x="23717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238125</xdr:colOff>
      <xdr:row>18</xdr:row>
      <xdr:rowOff>238125</xdr:rowOff>
    </xdr:from>
    <xdr:to>
      <xdr:col>3</xdr:col>
      <xdr:colOff>238125</xdr:colOff>
      <xdr:row>18</xdr:row>
      <xdr:rowOff>238125</xdr:rowOff>
    </xdr:to>
    <xdr:sp macro="" textlink="">
      <xdr:nvSpPr>
        <xdr:cNvPr id="41281" name="rteShptp3c12c26size0color0routev"/>
        <xdr:cNvSpPr/>
      </xdr:nvSpPr>
      <xdr:spPr>
        <a:xfrm>
          <a:off x="237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123825</xdr:colOff>
      <xdr:row>23</xdr:row>
      <xdr:rowOff>123825</xdr:rowOff>
    </xdr:from>
    <xdr:to>
      <xdr:col>3</xdr:col>
      <xdr:colOff>352425</xdr:colOff>
      <xdr:row>23</xdr:row>
      <xdr:rowOff>352425</xdr:rowOff>
    </xdr:to>
    <xdr:sp macro="" textlink="">
      <xdr:nvSpPr>
        <xdr:cNvPr id="41283" name="tp3c13c21size18color65280routevcb"/>
        <xdr:cNvSpPr/>
      </xdr:nvSpPr>
      <xdr:spPr>
        <a:xfrm>
          <a:off x="2257425" y="12220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238125</xdr:colOff>
      <xdr:row>23</xdr:row>
      <xdr:rowOff>238125</xdr:rowOff>
    </xdr:from>
    <xdr:to>
      <xdr:col>3</xdr:col>
      <xdr:colOff>238125</xdr:colOff>
      <xdr:row>23</xdr:row>
      <xdr:rowOff>238125</xdr:rowOff>
    </xdr:to>
    <xdr:sp macro="" textlink="">
      <xdr:nvSpPr>
        <xdr:cNvPr id="41284" name="rteShptp3c13c21size18color65280routevcb"/>
        <xdr:cNvSpPr/>
      </xdr:nvSpPr>
      <xdr:spPr>
        <a:xfrm>
          <a:off x="23717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123825</xdr:colOff>
      <xdr:row>3</xdr:row>
      <xdr:rowOff>123825</xdr:rowOff>
    </xdr:from>
    <xdr:to>
      <xdr:col>4</xdr:col>
      <xdr:colOff>352425</xdr:colOff>
      <xdr:row>3</xdr:row>
      <xdr:rowOff>352425</xdr:rowOff>
    </xdr:to>
    <xdr:sp macro="" textlink="">
      <xdr:nvSpPr>
        <xdr:cNvPr id="41288" name="tp4c11c21size18color65280routevcb"/>
        <xdr:cNvSpPr/>
      </xdr:nvSpPr>
      <xdr:spPr>
        <a:xfrm>
          <a:off x="2733675" y="2695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238125</xdr:colOff>
      <xdr:row>3</xdr:row>
      <xdr:rowOff>238125</xdr:rowOff>
    </xdr:from>
    <xdr:to>
      <xdr:col>4</xdr:col>
      <xdr:colOff>238125</xdr:colOff>
      <xdr:row>3</xdr:row>
      <xdr:rowOff>238125</xdr:rowOff>
    </xdr:to>
    <xdr:sp macro="" textlink="">
      <xdr:nvSpPr>
        <xdr:cNvPr id="41289" name="rteShptp4c11c21size18color65280routevcb"/>
        <xdr:cNvSpPr/>
      </xdr:nvSpPr>
      <xdr:spPr>
        <a:xfrm>
          <a:off x="28479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123825</xdr:colOff>
      <xdr:row>4</xdr:row>
      <xdr:rowOff>123825</xdr:rowOff>
    </xdr:from>
    <xdr:to>
      <xdr:col>4</xdr:col>
      <xdr:colOff>352425</xdr:colOff>
      <xdr:row>4</xdr:row>
      <xdr:rowOff>352425</xdr:rowOff>
    </xdr:to>
    <xdr:sp macro="" textlink="">
      <xdr:nvSpPr>
        <xdr:cNvPr id="41293" name="tp4c11c22size18color65280route"/>
        <xdr:cNvSpPr/>
      </xdr:nvSpPr>
      <xdr:spPr>
        <a:xfrm>
          <a:off x="2733675" y="3171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174625</xdr:colOff>
      <xdr:row>6</xdr:row>
      <xdr:rowOff>174625</xdr:rowOff>
    </xdr:from>
    <xdr:to>
      <xdr:col>4</xdr:col>
      <xdr:colOff>301625</xdr:colOff>
      <xdr:row>6</xdr:row>
      <xdr:rowOff>301625</xdr:rowOff>
    </xdr:to>
    <xdr:sp macro="" textlink="">
      <xdr:nvSpPr>
        <xdr:cNvPr id="41294" name="tp4c11c24size10color65280route"/>
        <xdr:cNvSpPr/>
      </xdr:nvSpPr>
      <xdr:spPr>
        <a:xfrm>
          <a:off x="2784475" y="4175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174625</xdr:colOff>
      <xdr:row>7</xdr:row>
      <xdr:rowOff>174625</xdr:rowOff>
    </xdr:from>
    <xdr:to>
      <xdr:col>4</xdr:col>
      <xdr:colOff>301625</xdr:colOff>
      <xdr:row>7</xdr:row>
      <xdr:rowOff>301625</xdr:rowOff>
    </xdr:to>
    <xdr:sp macro="" textlink="">
      <xdr:nvSpPr>
        <xdr:cNvPr id="41295" name="tp4c11c25size10color65280route"/>
        <xdr:cNvSpPr/>
      </xdr:nvSpPr>
      <xdr:spPr>
        <a:xfrm>
          <a:off x="2784475" y="46513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238125</xdr:colOff>
      <xdr:row>13</xdr:row>
      <xdr:rowOff>238125</xdr:rowOff>
    </xdr:from>
    <xdr:to>
      <xdr:col>4</xdr:col>
      <xdr:colOff>238125</xdr:colOff>
      <xdr:row>13</xdr:row>
      <xdr:rowOff>238125</xdr:rowOff>
    </xdr:to>
    <xdr:sp macro="" textlink="">
      <xdr:nvSpPr>
        <xdr:cNvPr id="41296" name="rteShptp4c12c21size0color0routecb"/>
        <xdr:cNvSpPr/>
      </xdr:nvSpPr>
      <xdr:spPr>
        <a:xfrm>
          <a:off x="28479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123825</xdr:colOff>
      <xdr:row>18</xdr:row>
      <xdr:rowOff>123825</xdr:rowOff>
    </xdr:from>
    <xdr:to>
      <xdr:col>4</xdr:col>
      <xdr:colOff>352425</xdr:colOff>
      <xdr:row>18</xdr:row>
      <xdr:rowOff>352425</xdr:rowOff>
    </xdr:to>
    <xdr:sp macro="" textlink="">
      <xdr:nvSpPr>
        <xdr:cNvPr id="41299" name="tp4c12c26size18color65535routev"/>
        <xdr:cNvSpPr/>
      </xdr:nvSpPr>
      <xdr:spPr>
        <a:xfrm>
          <a:off x="273367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238125</xdr:colOff>
      <xdr:row>18</xdr:row>
      <xdr:rowOff>238125</xdr:rowOff>
    </xdr:from>
    <xdr:to>
      <xdr:col>4</xdr:col>
      <xdr:colOff>238125</xdr:colOff>
      <xdr:row>18</xdr:row>
      <xdr:rowOff>238125</xdr:rowOff>
    </xdr:to>
    <xdr:sp macro="" textlink="">
      <xdr:nvSpPr>
        <xdr:cNvPr id="41300" name="rteShptp4c12c26size18color65535routev"/>
        <xdr:cNvSpPr/>
      </xdr:nvSpPr>
      <xdr:spPr>
        <a:xfrm>
          <a:off x="284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123825</xdr:colOff>
      <xdr:row>23</xdr:row>
      <xdr:rowOff>123825</xdr:rowOff>
    </xdr:from>
    <xdr:to>
      <xdr:col>4</xdr:col>
      <xdr:colOff>352425</xdr:colOff>
      <xdr:row>23</xdr:row>
      <xdr:rowOff>352425</xdr:rowOff>
    </xdr:to>
    <xdr:sp macro="" textlink="">
      <xdr:nvSpPr>
        <xdr:cNvPr id="41302" name="tp4c13c21size18color65280routevcb"/>
        <xdr:cNvSpPr/>
      </xdr:nvSpPr>
      <xdr:spPr>
        <a:xfrm>
          <a:off x="2733675" y="12220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238125</xdr:colOff>
      <xdr:row>23</xdr:row>
      <xdr:rowOff>238125</xdr:rowOff>
    </xdr:from>
    <xdr:to>
      <xdr:col>4</xdr:col>
      <xdr:colOff>238125</xdr:colOff>
      <xdr:row>23</xdr:row>
      <xdr:rowOff>238125</xdr:rowOff>
    </xdr:to>
    <xdr:sp macro="" textlink="">
      <xdr:nvSpPr>
        <xdr:cNvPr id="41303" name="rteShptp4c13c21size18color65280routevcb"/>
        <xdr:cNvSpPr/>
      </xdr:nvSpPr>
      <xdr:spPr>
        <a:xfrm>
          <a:off x="28479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174625</xdr:colOff>
      <xdr:row>26</xdr:row>
      <xdr:rowOff>174625</xdr:rowOff>
    </xdr:from>
    <xdr:to>
      <xdr:col>4</xdr:col>
      <xdr:colOff>301625</xdr:colOff>
      <xdr:row>26</xdr:row>
      <xdr:rowOff>301625</xdr:rowOff>
    </xdr:to>
    <xdr:sp macro="" textlink="">
      <xdr:nvSpPr>
        <xdr:cNvPr id="41307" name="tp4c13c24size10color255route"/>
        <xdr:cNvSpPr/>
      </xdr:nvSpPr>
      <xdr:spPr>
        <a:xfrm>
          <a:off x="2784475" y="13700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174625</xdr:colOff>
      <xdr:row>27</xdr:row>
      <xdr:rowOff>174625</xdr:rowOff>
    </xdr:from>
    <xdr:to>
      <xdr:col>4</xdr:col>
      <xdr:colOff>301625</xdr:colOff>
      <xdr:row>27</xdr:row>
      <xdr:rowOff>301625</xdr:rowOff>
    </xdr:to>
    <xdr:sp macro="" textlink="">
      <xdr:nvSpPr>
        <xdr:cNvPr id="41308" name="tp4c13c25size10color65280route"/>
        <xdr:cNvSpPr/>
      </xdr:nvSpPr>
      <xdr:spPr>
        <a:xfrm>
          <a:off x="2784475" y="141763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73025</xdr:colOff>
      <xdr:row>3</xdr:row>
      <xdr:rowOff>73025</xdr:rowOff>
    </xdr:from>
    <xdr:to>
      <xdr:col>5</xdr:col>
      <xdr:colOff>403225</xdr:colOff>
      <xdr:row>3</xdr:row>
      <xdr:rowOff>403225</xdr:rowOff>
    </xdr:to>
    <xdr:sp macro="" textlink="">
      <xdr:nvSpPr>
        <xdr:cNvPr id="41309" name="tp5c11c21size26color65535routevcb"/>
        <xdr:cNvSpPr/>
      </xdr:nvSpPr>
      <xdr:spPr>
        <a:xfrm>
          <a:off x="3159125" y="26447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3</xdr:row>
      <xdr:rowOff>238125</xdr:rowOff>
    </xdr:from>
    <xdr:to>
      <xdr:col>5</xdr:col>
      <xdr:colOff>238125</xdr:colOff>
      <xdr:row>3</xdr:row>
      <xdr:rowOff>238125</xdr:rowOff>
    </xdr:to>
    <xdr:sp macro="" textlink="">
      <xdr:nvSpPr>
        <xdr:cNvPr id="41310" name="rteShptp5c11c21size26color65535routevcb"/>
        <xdr:cNvSpPr/>
      </xdr:nvSpPr>
      <xdr:spPr>
        <a:xfrm>
          <a:off x="33242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123825</xdr:colOff>
      <xdr:row>4</xdr:row>
      <xdr:rowOff>123825</xdr:rowOff>
    </xdr:from>
    <xdr:to>
      <xdr:col>5</xdr:col>
      <xdr:colOff>352425</xdr:colOff>
      <xdr:row>4</xdr:row>
      <xdr:rowOff>352425</xdr:rowOff>
    </xdr:to>
    <xdr:sp macro="" textlink="">
      <xdr:nvSpPr>
        <xdr:cNvPr id="41314" name="tp5c11c22size18color65280route"/>
        <xdr:cNvSpPr/>
      </xdr:nvSpPr>
      <xdr:spPr>
        <a:xfrm>
          <a:off x="3209925" y="3171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174625</xdr:colOff>
      <xdr:row>6</xdr:row>
      <xdr:rowOff>174625</xdr:rowOff>
    </xdr:from>
    <xdr:to>
      <xdr:col>5</xdr:col>
      <xdr:colOff>301625</xdr:colOff>
      <xdr:row>6</xdr:row>
      <xdr:rowOff>301625</xdr:rowOff>
    </xdr:to>
    <xdr:sp macro="" textlink="">
      <xdr:nvSpPr>
        <xdr:cNvPr id="41315" name="tp5c11c24size10color255route"/>
        <xdr:cNvSpPr/>
      </xdr:nvSpPr>
      <xdr:spPr>
        <a:xfrm>
          <a:off x="3260725" y="417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174625</xdr:colOff>
      <xdr:row>7</xdr:row>
      <xdr:rowOff>174625</xdr:rowOff>
    </xdr:from>
    <xdr:to>
      <xdr:col>5</xdr:col>
      <xdr:colOff>301625</xdr:colOff>
      <xdr:row>7</xdr:row>
      <xdr:rowOff>301625</xdr:rowOff>
    </xdr:to>
    <xdr:sp macro="" textlink="">
      <xdr:nvSpPr>
        <xdr:cNvPr id="41316" name="tp5c11c25size10color65535route"/>
        <xdr:cNvSpPr/>
      </xdr:nvSpPr>
      <xdr:spPr>
        <a:xfrm>
          <a:off x="3260725" y="46513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13</xdr:row>
      <xdr:rowOff>238125</xdr:rowOff>
    </xdr:from>
    <xdr:to>
      <xdr:col>5</xdr:col>
      <xdr:colOff>238125</xdr:colOff>
      <xdr:row>13</xdr:row>
      <xdr:rowOff>238125</xdr:rowOff>
    </xdr:to>
    <xdr:sp macro="" textlink="">
      <xdr:nvSpPr>
        <xdr:cNvPr id="41317" name="rteShptp5c12c21size0color0routecb"/>
        <xdr:cNvSpPr/>
      </xdr:nvSpPr>
      <xdr:spPr>
        <a:xfrm>
          <a:off x="33242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18</xdr:row>
      <xdr:rowOff>238125</xdr:rowOff>
    </xdr:from>
    <xdr:to>
      <xdr:col>5</xdr:col>
      <xdr:colOff>238125</xdr:colOff>
      <xdr:row>18</xdr:row>
      <xdr:rowOff>238125</xdr:rowOff>
    </xdr:to>
    <xdr:sp macro="" textlink="">
      <xdr:nvSpPr>
        <xdr:cNvPr id="41320" name="rteShptp5c12c26size0color0routev"/>
        <xdr:cNvSpPr/>
      </xdr:nvSpPr>
      <xdr:spPr>
        <a:xfrm>
          <a:off x="332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73025</xdr:colOff>
      <xdr:row>23</xdr:row>
      <xdr:rowOff>73025</xdr:rowOff>
    </xdr:from>
    <xdr:to>
      <xdr:col>5</xdr:col>
      <xdr:colOff>403225</xdr:colOff>
      <xdr:row>23</xdr:row>
      <xdr:rowOff>403225</xdr:rowOff>
    </xdr:to>
    <xdr:sp macro="" textlink="">
      <xdr:nvSpPr>
        <xdr:cNvPr id="41322" name="tp5c13c21size26color65535routevcb"/>
        <xdr:cNvSpPr/>
      </xdr:nvSpPr>
      <xdr:spPr>
        <a:xfrm>
          <a:off x="3159125" y="121697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23</xdr:row>
      <xdr:rowOff>238125</xdr:rowOff>
    </xdr:from>
    <xdr:to>
      <xdr:col>5</xdr:col>
      <xdr:colOff>238125</xdr:colOff>
      <xdr:row>23</xdr:row>
      <xdr:rowOff>238125</xdr:rowOff>
    </xdr:to>
    <xdr:sp macro="" textlink="">
      <xdr:nvSpPr>
        <xdr:cNvPr id="41323" name="rteShptp5c13c21size26color65535routevcb"/>
        <xdr:cNvSpPr/>
      </xdr:nvSpPr>
      <xdr:spPr>
        <a:xfrm>
          <a:off x="33242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73025</xdr:colOff>
      <xdr:row>3</xdr:row>
      <xdr:rowOff>73025</xdr:rowOff>
    </xdr:from>
    <xdr:to>
      <xdr:col>6</xdr:col>
      <xdr:colOff>403225</xdr:colOff>
      <xdr:row>3</xdr:row>
      <xdr:rowOff>403225</xdr:rowOff>
    </xdr:to>
    <xdr:sp macro="" textlink="">
      <xdr:nvSpPr>
        <xdr:cNvPr id="41327" name="tp6c11c21size26color65535routevcb"/>
        <xdr:cNvSpPr/>
      </xdr:nvSpPr>
      <xdr:spPr>
        <a:xfrm>
          <a:off x="3635375" y="26447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3</xdr:row>
      <xdr:rowOff>238125</xdr:rowOff>
    </xdr:from>
    <xdr:to>
      <xdr:col>6</xdr:col>
      <xdr:colOff>238125</xdr:colOff>
      <xdr:row>3</xdr:row>
      <xdr:rowOff>238125</xdr:rowOff>
    </xdr:to>
    <xdr:sp macro="" textlink="">
      <xdr:nvSpPr>
        <xdr:cNvPr id="41328" name="rteShptp6c11c21size26color65535routevcb"/>
        <xdr:cNvSpPr/>
      </xdr:nvSpPr>
      <xdr:spPr>
        <a:xfrm>
          <a:off x="38004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174625</xdr:colOff>
      <xdr:row>6</xdr:row>
      <xdr:rowOff>174625</xdr:rowOff>
    </xdr:from>
    <xdr:to>
      <xdr:col>6</xdr:col>
      <xdr:colOff>301625</xdr:colOff>
      <xdr:row>6</xdr:row>
      <xdr:rowOff>301625</xdr:rowOff>
    </xdr:to>
    <xdr:sp macro="" textlink="">
      <xdr:nvSpPr>
        <xdr:cNvPr id="41332" name="tp6c11c24size10color65535route"/>
        <xdr:cNvSpPr/>
      </xdr:nvSpPr>
      <xdr:spPr>
        <a:xfrm>
          <a:off x="3736975" y="4175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13</xdr:row>
      <xdr:rowOff>238125</xdr:rowOff>
    </xdr:from>
    <xdr:to>
      <xdr:col>6</xdr:col>
      <xdr:colOff>238125</xdr:colOff>
      <xdr:row>13</xdr:row>
      <xdr:rowOff>238125</xdr:rowOff>
    </xdr:to>
    <xdr:sp macro="" textlink="">
      <xdr:nvSpPr>
        <xdr:cNvPr id="41333" name="rteShptp6c12c21size0color0routecb"/>
        <xdr:cNvSpPr/>
      </xdr:nvSpPr>
      <xdr:spPr>
        <a:xfrm>
          <a:off x="38004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123825</xdr:colOff>
      <xdr:row>18</xdr:row>
      <xdr:rowOff>123825</xdr:rowOff>
    </xdr:from>
    <xdr:to>
      <xdr:col>6</xdr:col>
      <xdr:colOff>352425</xdr:colOff>
      <xdr:row>18</xdr:row>
      <xdr:rowOff>352425</xdr:rowOff>
    </xdr:to>
    <xdr:sp macro="" textlink="">
      <xdr:nvSpPr>
        <xdr:cNvPr id="41336" name="tp6c12c26size18color255routev"/>
        <xdr:cNvSpPr/>
      </xdr:nvSpPr>
      <xdr:spPr>
        <a:xfrm>
          <a:off x="3686175" y="9839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18</xdr:row>
      <xdr:rowOff>238125</xdr:rowOff>
    </xdr:from>
    <xdr:to>
      <xdr:col>6</xdr:col>
      <xdr:colOff>238125</xdr:colOff>
      <xdr:row>18</xdr:row>
      <xdr:rowOff>238125</xdr:rowOff>
    </xdr:to>
    <xdr:sp macro="" textlink="">
      <xdr:nvSpPr>
        <xdr:cNvPr id="41337" name="rteShptp6c12c26size18color255routev"/>
        <xdr:cNvSpPr/>
      </xdr:nvSpPr>
      <xdr:spPr>
        <a:xfrm>
          <a:off x="380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123825</xdr:colOff>
      <xdr:row>23</xdr:row>
      <xdr:rowOff>123825</xdr:rowOff>
    </xdr:from>
    <xdr:to>
      <xdr:col>6</xdr:col>
      <xdr:colOff>352425</xdr:colOff>
      <xdr:row>23</xdr:row>
      <xdr:rowOff>352425</xdr:rowOff>
    </xdr:to>
    <xdr:sp macro="" textlink="">
      <xdr:nvSpPr>
        <xdr:cNvPr id="41339" name="tp6c13c21size18color65535routevcb"/>
        <xdr:cNvSpPr/>
      </xdr:nvSpPr>
      <xdr:spPr>
        <a:xfrm>
          <a:off x="3686175" y="122205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23</xdr:row>
      <xdr:rowOff>238125</xdr:rowOff>
    </xdr:from>
    <xdr:to>
      <xdr:col>6</xdr:col>
      <xdr:colOff>238125</xdr:colOff>
      <xdr:row>23</xdr:row>
      <xdr:rowOff>238125</xdr:rowOff>
    </xdr:to>
    <xdr:sp macro="" textlink="">
      <xdr:nvSpPr>
        <xdr:cNvPr id="41340" name="rteShptp6c13c21size18color65535routevcb"/>
        <xdr:cNvSpPr/>
      </xdr:nvSpPr>
      <xdr:spPr>
        <a:xfrm>
          <a:off x="38004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174625</xdr:colOff>
      <xdr:row>28</xdr:row>
      <xdr:rowOff>174625</xdr:rowOff>
    </xdr:from>
    <xdr:to>
      <xdr:col>6</xdr:col>
      <xdr:colOff>301625</xdr:colOff>
      <xdr:row>28</xdr:row>
      <xdr:rowOff>301625</xdr:rowOff>
    </xdr:to>
    <xdr:sp macro="" textlink="">
      <xdr:nvSpPr>
        <xdr:cNvPr id="41344" name="tp6c13c26size10color255route"/>
        <xdr:cNvSpPr/>
      </xdr:nvSpPr>
      <xdr:spPr>
        <a:xfrm>
          <a:off x="3736975" y="14652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238125</xdr:colOff>
      <xdr:row>3</xdr:row>
      <xdr:rowOff>238125</xdr:rowOff>
    </xdr:from>
    <xdr:to>
      <xdr:col>7</xdr:col>
      <xdr:colOff>238125</xdr:colOff>
      <xdr:row>3</xdr:row>
      <xdr:rowOff>238125</xdr:rowOff>
    </xdr:to>
    <xdr:sp macro="" textlink="">
      <xdr:nvSpPr>
        <xdr:cNvPr id="41345" name="rteShptp7c11c21size0color0routeb"/>
        <xdr:cNvSpPr/>
      </xdr:nvSpPr>
      <xdr:spPr>
        <a:xfrm>
          <a:off x="42767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73025</xdr:colOff>
      <xdr:row>4</xdr:row>
      <xdr:rowOff>73025</xdr:rowOff>
    </xdr:from>
    <xdr:to>
      <xdr:col>7</xdr:col>
      <xdr:colOff>403225</xdr:colOff>
      <xdr:row>4</xdr:row>
      <xdr:rowOff>403225</xdr:rowOff>
    </xdr:to>
    <xdr:sp macro="" textlink="">
      <xdr:nvSpPr>
        <xdr:cNvPr id="41347" name="tp7c11c22size26color65280routevc"/>
        <xdr:cNvSpPr/>
      </xdr:nvSpPr>
      <xdr:spPr>
        <a:xfrm>
          <a:off x="4111625" y="312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238125</xdr:colOff>
      <xdr:row>4</xdr:row>
      <xdr:rowOff>238125</xdr:rowOff>
    </xdr:from>
    <xdr:to>
      <xdr:col>7</xdr:col>
      <xdr:colOff>238125</xdr:colOff>
      <xdr:row>4</xdr:row>
      <xdr:rowOff>238125</xdr:rowOff>
    </xdr:to>
    <xdr:sp macro="" textlink="">
      <xdr:nvSpPr>
        <xdr:cNvPr id="41348" name="rteShptp7c11c22size26color65280routevc"/>
        <xdr:cNvSpPr/>
      </xdr:nvSpPr>
      <xdr:spPr>
        <a:xfrm>
          <a:off x="4276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174625</xdr:colOff>
      <xdr:row>8</xdr:row>
      <xdr:rowOff>174625</xdr:rowOff>
    </xdr:from>
    <xdr:to>
      <xdr:col>7</xdr:col>
      <xdr:colOff>301625</xdr:colOff>
      <xdr:row>8</xdr:row>
      <xdr:rowOff>301625</xdr:rowOff>
    </xdr:to>
    <xdr:sp macro="" textlink="">
      <xdr:nvSpPr>
        <xdr:cNvPr id="41351" name="tp7c11c26size10color65535route"/>
        <xdr:cNvSpPr/>
      </xdr:nvSpPr>
      <xdr:spPr>
        <a:xfrm>
          <a:off x="4213225" y="512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238125</xdr:colOff>
      <xdr:row>13</xdr:row>
      <xdr:rowOff>238125</xdr:rowOff>
    </xdr:from>
    <xdr:to>
      <xdr:col>7</xdr:col>
      <xdr:colOff>238125</xdr:colOff>
      <xdr:row>13</xdr:row>
      <xdr:rowOff>238125</xdr:rowOff>
    </xdr:to>
    <xdr:sp macro="" textlink="">
      <xdr:nvSpPr>
        <xdr:cNvPr id="41352" name="rteShptp7c12c21size0color0routeb"/>
        <xdr:cNvSpPr/>
      </xdr:nvSpPr>
      <xdr:spPr>
        <a:xfrm>
          <a:off x="42767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123825</xdr:colOff>
      <xdr:row>14</xdr:row>
      <xdr:rowOff>123825</xdr:rowOff>
    </xdr:from>
    <xdr:to>
      <xdr:col>7</xdr:col>
      <xdr:colOff>352425</xdr:colOff>
      <xdr:row>14</xdr:row>
      <xdr:rowOff>352425</xdr:rowOff>
    </xdr:to>
    <xdr:sp macro="" textlink="">
      <xdr:nvSpPr>
        <xdr:cNvPr id="41354" name="tp7c12c22size18color65280routevc"/>
        <xdr:cNvSpPr/>
      </xdr:nvSpPr>
      <xdr:spPr>
        <a:xfrm>
          <a:off x="4162425" y="79343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238125</xdr:colOff>
      <xdr:row>14</xdr:row>
      <xdr:rowOff>238125</xdr:rowOff>
    </xdr:from>
    <xdr:to>
      <xdr:col>7</xdr:col>
      <xdr:colOff>238125</xdr:colOff>
      <xdr:row>14</xdr:row>
      <xdr:rowOff>238125</xdr:rowOff>
    </xdr:to>
    <xdr:sp macro="" textlink="">
      <xdr:nvSpPr>
        <xdr:cNvPr id="41355" name="rteShptp7c12c22size18color65280routevc"/>
        <xdr:cNvSpPr/>
      </xdr:nvSpPr>
      <xdr:spPr>
        <a:xfrm>
          <a:off x="42767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174625</xdr:colOff>
      <xdr:row>18</xdr:row>
      <xdr:rowOff>174625</xdr:rowOff>
    </xdr:from>
    <xdr:to>
      <xdr:col>7</xdr:col>
      <xdr:colOff>301625</xdr:colOff>
      <xdr:row>18</xdr:row>
      <xdr:rowOff>301625</xdr:rowOff>
    </xdr:to>
    <xdr:sp macro="" textlink="">
      <xdr:nvSpPr>
        <xdr:cNvPr id="41358" name="tp7c12c26size10color65535route"/>
        <xdr:cNvSpPr/>
      </xdr:nvSpPr>
      <xdr:spPr>
        <a:xfrm>
          <a:off x="4213225" y="9890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238125</xdr:colOff>
      <xdr:row>23</xdr:row>
      <xdr:rowOff>238125</xdr:rowOff>
    </xdr:from>
    <xdr:to>
      <xdr:col>7</xdr:col>
      <xdr:colOff>238125</xdr:colOff>
      <xdr:row>23</xdr:row>
      <xdr:rowOff>238125</xdr:rowOff>
    </xdr:to>
    <xdr:sp macro="" textlink="">
      <xdr:nvSpPr>
        <xdr:cNvPr id="41359" name="rteShptp7c13c21size0color0routeb"/>
        <xdr:cNvSpPr/>
      </xdr:nvSpPr>
      <xdr:spPr>
        <a:xfrm>
          <a:off x="42767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123825</xdr:colOff>
      <xdr:row>24</xdr:row>
      <xdr:rowOff>123825</xdr:rowOff>
    </xdr:from>
    <xdr:to>
      <xdr:col>7</xdr:col>
      <xdr:colOff>352425</xdr:colOff>
      <xdr:row>24</xdr:row>
      <xdr:rowOff>352425</xdr:rowOff>
    </xdr:to>
    <xdr:sp macro="" textlink="">
      <xdr:nvSpPr>
        <xdr:cNvPr id="41361" name="tp7c13c22size18color65280routevc"/>
        <xdr:cNvSpPr/>
      </xdr:nvSpPr>
      <xdr:spPr>
        <a:xfrm>
          <a:off x="4162425" y="12696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238125</xdr:colOff>
      <xdr:row>24</xdr:row>
      <xdr:rowOff>238125</xdr:rowOff>
    </xdr:from>
    <xdr:to>
      <xdr:col>7</xdr:col>
      <xdr:colOff>238125</xdr:colOff>
      <xdr:row>24</xdr:row>
      <xdr:rowOff>238125</xdr:rowOff>
    </xdr:to>
    <xdr:sp macro="" textlink="">
      <xdr:nvSpPr>
        <xdr:cNvPr id="41362" name="rteShptp7c13c22size18color65280routevc"/>
        <xdr:cNvSpPr/>
      </xdr:nvSpPr>
      <xdr:spPr>
        <a:xfrm>
          <a:off x="4276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123825</xdr:colOff>
      <xdr:row>3</xdr:row>
      <xdr:rowOff>123825</xdr:rowOff>
    </xdr:from>
    <xdr:to>
      <xdr:col>8</xdr:col>
      <xdr:colOff>352425</xdr:colOff>
      <xdr:row>3</xdr:row>
      <xdr:rowOff>352425</xdr:rowOff>
    </xdr:to>
    <xdr:sp macro="" textlink="">
      <xdr:nvSpPr>
        <xdr:cNvPr id="41365" name="tp8c11c21size18color65535routevcb"/>
        <xdr:cNvSpPr/>
      </xdr:nvSpPr>
      <xdr:spPr>
        <a:xfrm>
          <a:off x="4638675" y="26955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238125</xdr:colOff>
      <xdr:row>3</xdr:row>
      <xdr:rowOff>238125</xdr:rowOff>
    </xdr:from>
    <xdr:to>
      <xdr:col>8</xdr:col>
      <xdr:colOff>238125</xdr:colOff>
      <xdr:row>3</xdr:row>
      <xdr:rowOff>238125</xdr:rowOff>
    </xdr:to>
    <xdr:sp macro="" textlink="">
      <xdr:nvSpPr>
        <xdr:cNvPr id="41366" name="rteShptp8c11c21size18color65535routevcb"/>
        <xdr:cNvSpPr/>
      </xdr:nvSpPr>
      <xdr:spPr>
        <a:xfrm>
          <a:off x="47529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123825</xdr:colOff>
      <xdr:row>4</xdr:row>
      <xdr:rowOff>123825</xdr:rowOff>
    </xdr:from>
    <xdr:to>
      <xdr:col>8</xdr:col>
      <xdr:colOff>352425</xdr:colOff>
      <xdr:row>4</xdr:row>
      <xdr:rowOff>352425</xdr:rowOff>
    </xdr:to>
    <xdr:sp macro="" textlink="">
      <xdr:nvSpPr>
        <xdr:cNvPr id="41370" name="tp8c11c22size18color65280route"/>
        <xdr:cNvSpPr/>
      </xdr:nvSpPr>
      <xdr:spPr>
        <a:xfrm>
          <a:off x="4638675" y="3171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238125</xdr:colOff>
      <xdr:row>13</xdr:row>
      <xdr:rowOff>238125</xdr:rowOff>
    </xdr:from>
    <xdr:to>
      <xdr:col>8</xdr:col>
      <xdr:colOff>238125</xdr:colOff>
      <xdr:row>13</xdr:row>
      <xdr:rowOff>238125</xdr:rowOff>
    </xdr:to>
    <xdr:sp macro="" textlink="">
      <xdr:nvSpPr>
        <xdr:cNvPr id="41371" name="rteShptp8c12c21size0color0routecb"/>
        <xdr:cNvSpPr/>
      </xdr:nvSpPr>
      <xdr:spPr>
        <a:xfrm>
          <a:off x="47529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238125</xdr:colOff>
      <xdr:row>14</xdr:row>
      <xdr:rowOff>238125</xdr:rowOff>
    </xdr:from>
    <xdr:to>
      <xdr:col>8</xdr:col>
      <xdr:colOff>238125</xdr:colOff>
      <xdr:row>14</xdr:row>
      <xdr:rowOff>238125</xdr:rowOff>
    </xdr:to>
    <xdr:sp macro="" textlink="">
      <xdr:nvSpPr>
        <xdr:cNvPr id="41374" name="rteShptp8c12c22size0color0routev"/>
        <xdr:cNvSpPr/>
      </xdr:nvSpPr>
      <xdr:spPr>
        <a:xfrm>
          <a:off x="47529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123825</xdr:colOff>
      <xdr:row>18</xdr:row>
      <xdr:rowOff>123825</xdr:rowOff>
    </xdr:from>
    <xdr:to>
      <xdr:col>8</xdr:col>
      <xdr:colOff>352425</xdr:colOff>
      <xdr:row>18</xdr:row>
      <xdr:rowOff>352425</xdr:rowOff>
    </xdr:to>
    <xdr:sp macro="" textlink="">
      <xdr:nvSpPr>
        <xdr:cNvPr id="41376" name="tp8c12c26size18color65535route"/>
        <xdr:cNvSpPr/>
      </xdr:nvSpPr>
      <xdr:spPr>
        <a:xfrm>
          <a:off x="463867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123825</xdr:colOff>
      <xdr:row>23</xdr:row>
      <xdr:rowOff>123825</xdr:rowOff>
    </xdr:from>
    <xdr:to>
      <xdr:col>8</xdr:col>
      <xdr:colOff>352425</xdr:colOff>
      <xdr:row>23</xdr:row>
      <xdr:rowOff>352425</xdr:rowOff>
    </xdr:to>
    <xdr:sp macro="" textlink="">
      <xdr:nvSpPr>
        <xdr:cNvPr id="41377" name="tp8c13c21size18color65535routevcb"/>
        <xdr:cNvSpPr/>
      </xdr:nvSpPr>
      <xdr:spPr>
        <a:xfrm>
          <a:off x="4638675" y="122205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238125</xdr:colOff>
      <xdr:row>23</xdr:row>
      <xdr:rowOff>238125</xdr:rowOff>
    </xdr:from>
    <xdr:to>
      <xdr:col>8</xdr:col>
      <xdr:colOff>238125</xdr:colOff>
      <xdr:row>23</xdr:row>
      <xdr:rowOff>238125</xdr:rowOff>
    </xdr:to>
    <xdr:sp macro="" textlink="">
      <xdr:nvSpPr>
        <xdr:cNvPr id="41378" name="rteShptp8c13c21size18color65535routevcb"/>
        <xdr:cNvSpPr/>
      </xdr:nvSpPr>
      <xdr:spPr>
        <a:xfrm>
          <a:off x="47529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174625</xdr:colOff>
      <xdr:row>28</xdr:row>
      <xdr:rowOff>174625</xdr:rowOff>
    </xdr:from>
    <xdr:to>
      <xdr:col>8</xdr:col>
      <xdr:colOff>301625</xdr:colOff>
      <xdr:row>28</xdr:row>
      <xdr:rowOff>301625</xdr:rowOff>
    </xdr:to>
    <xdr:sp macro="" textlink="">
      <xdr:nvSpPr>
        <xdr:cNvPr id="41382" name="tp8c13c26size10color255route"/>
        <xdr:cNvSpPr/>
      </xdr:nvSpPr>
      <xdr:spPr>
        <a:xfrm>
          <a:off x="4689475" y="14652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3</xdr:row>
      <xdr:rowOff>123825</xdr:rowOff>
    </xdr:from>
    <xdr:to>
      <xdr:col>9</xdr:col>
      <xdr:colOff>352425</xdr:colOff>
      <xdr:row>3</xdr:row>
      <xdr:rowOff>352425</xdr:rowOff>
    </xdr:to>
    <xdr:sp macro="" textlink="">
      <xdr:nvSpPr>
        <xdr:cNvPr id="41383" name="tp9c11c21size18color16777215routecb"/>
        <xdr:cNvSpPr/>
      </xdr:nvSpPr>
      <xdr:spPr>
        <a:xfrm>
          <a:off x="51149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238125</xdr:colOff>
      <xdr:row>3</xdr:row>
      <xdr:rowOff>238125</xdr:rowOff>
    </xdr:from>
    <xdr:to>
      <xdr:col>9</xdr:col>
      <xdr:colOff>238125</xdr:colOff>
      <xdr:row>3</xdr:row>
      <xdr:rowOff>238125</xdr:rowOff>
    </xdr:to>
    <xdr:sp macro="" textlink="">
      <xdr:nvSpPr>
        <xdr:cNvPr id="41384" name="rteShptp9c11c21size18color16777215routecb"/>
        <xdr:cNvSpPr/>
      </xdr:nvSpPr>
      <xdr:spPr>
        <a:xfrm>
          <a:off x="52292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4</xdr:row>
      <xdr:rowOff>123825</xdr:rowOff>
    </xdr:from>
    <xdr:to>
      <xdr:col>9</xdr:col>
      <xdr:colOff>352425</xdr:colOff>
      <xdr:row>4</xdr:row>
      <xdr:rowOff>352425</xdr:rowOff>
    </xdr:to>
    <xdr:sp macro="" textlink="">
      <xdr:nvSpPr>
        <xdr:cNvPr id="41387" name="tp9c11c22size18color16777215routev"/>
        <xdr:cNvSpPr/>
      </xdr:nvSpPr>
      <xdr:spPr>
        <a:xfrm>
          <a:off x="51149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238125</xdr:colOff>
      <xdr:row>4</xdr:row>
      <xdr:rowOff>238125</xdr:rowOff>
    </xdr:from>
    <xdr:to>
      <xdr:col>9</xdr:col>
      <xdr:colOff>238125</xdr:colOff>
      <xdr:row>4</xdr:row>
      <xdr:rowOff>238125</xdr:rowOff>
    </xdr:to>
    <xdr:sp macro="" textlink="">
      <xdr:nvSpPr>
        <xdr:cNvPr id="41388" name="rteShptp9c11c22size18color16777215routev"/>
        <xdr:cNvSpPr/>
      </xdr:nvSpPr>
      <xdr:spPr>
        <a:xfrm>
          <a:off x="5229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5</xdr:row>
      <xdr:rowOff>123825</xdr:rowOff>
    </xdr:from>
    <xdr:to>
      <xdr:col>9</xdr:col>
      <xdr:colOff>352425</xdr:colOff>
      <xdr:row>5</xdr:row>
      <xdr:rowOff>352425</xdr:rowOff>
    </xdr:to>
    <xdr:sp macro="" textlink="">
      <xdr:nvSpPr>
        <xdr:cNvPr id="41390" name="tp9c11c23size18color16777215route"/>
        <xdr:cNvSpPr/>
      </xdr:nvSpPr>
      <xdr:spPr>
        <a:xfrm>
          <a:off x="51149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6</xdr:row>
      <xdr:rowOff>123825</xdr:rowOff>
    </xdr:from>
    <xdr:to>
      <xdr:col>9</xdr:col>
      <xdr:colOff>352425</xdr:colOff>
      <xdr:row>6</xdr:row>
      <xdr:rowOff>352425</xdr:rowOff>
    </xdr:to>
    <xdr:sp macro="" textlink="">
      <xdr:nvSpPr>
        <xdr:cNvPr id="41391" name="tp9c11c24size18color16777215route"/>
        <xdr:cNvSpPr/>
      </xdr:nvSpPr>
      <xdr:spPr>
        <a:xfrm>
          <a:off x="51149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7</xdr:row>
      <xdr:rowOff>123825</xdr:rowOff>
    </xdr:from>
    <xdr:to>
      <xdr:col>9</xdr:col>
      <xdr:colOff>352425</xdr:colOff>
      <xdr:row>7</xdr:row>
      <xdr:rowOff>352425</xdr:rowOff>
    </xdr:to>
    <xdr:sp macro="" textlink="">
      <xdr:nvSpPr>
        <xdr:cNvPr id="41392" name="tp9c11c25size18color16777215route"/>
        <xdr:cNvSpPr/>
      </xdr:nvSpPr>
      <xdr:spPr>
        <a:xfrm>
          <a:off x="51149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8</xdr:row>
      <xdr:rowOff>123825</xdr:rowOff>
    </xdr:from>
    <xdr:to>
      <xdr:col>9</xdr:col>
      <xdr:colOff>352425</xdr:colOff>
      <xdr:row>8</xdr:row>
      <xdr:rowOff>352425</xdr:rowOff>
    </xdr:to>
    <xdr:sp macro="" textlink="">
      <xdr:nvSpPr>
        <xdr:cNvPr id="41393" name="tp9c11c26size18color16777215route"/>
        <xdr:cNvSpPr/>
      </xdr:nvSpPr>
      <xdr:spPr>
        <a:xfrm>
          <a:off x="51149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9</xdr:row>
      <xdr:rowOff>123825</xdr:rowOff>
    </xdr:from>
    <xdr:to>
      <xdr:col>9</xdr:col>
      <xdr:colOff>352425</xdr:colOff>
      <xdr:row>9</xdr:row>
      <xdr:rowOff>352425</xdr:rowOff>
    </xdr:to>
    <xdr:sp macro="" textlink="">
      <xdr:nvSpPr>
        <xdr:cNvPr id="41394" name="tp9c11c27size18color16777215route"/>
        <xdr:cNvSpPr/>
      </xdr:nvSpPr>
      <xdr:spPr>
        <a:xfrm>
          <a:off x="51149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10</xdr:row>
      <xdr:rowOff>123825</xdr:rowOff>
    </xdr:from>
    <xdr:to>
      <xdr:col>9</xdr:col>
      <xdr:colOff>352425</xdr:colOff>
      <xdr:row>10</xdr:row>
      <xdr:rowOff>352425</xdr:rowOff>
    </xdr:to>
    <xdr:sp macro="" textlink="">
      <xdr:nvSpPr>
        <xdr:cNvPr id="41395" name="tp9c11c28size18color16777215route"/>
        <xdr:cNvSpPr/>
      </xdr:nvSpPr>
      <xdr:spPr>
        <a:xfrm>
          <a:off x="51149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174625</xdr:colOff>
      <xdr:row>13</xdr:row>
      <xdr:rowOff>174625</xdr:rowOff>
    </xdr:from>
    <xdr:to>
      <xdr:col>9</xdr:col>
      <xdr:colOff>301625</xdr:colOff>
      <xdr:row>13</xdr:row>
      <xdr:rowOff>301625</xdr:rowOff>
    </xdr:to>
    <xdr:sp macro="" textlink="">
      <xdr:nvSpPr>
        <xdr:cNvPr id="41396" name="tp9c12c21size10color255route"/>
        <xdr:cNvSpPr/>
      </xdr:nvSpPr>
      <xdr:spPr>
        <a:xfrm>
          <a:off x="5165725" y="7508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174625</xdr:colOff>
      <xdr:row>14</xdr:row>
      <xdr:rowOff>174625</xdr:rowOff>
    </xdr:from>
    <xdr:to>
      <xdr:col>9</xdr:col>
      <xdr:colOff>301625</xdr:colOff>
      <xdr:row>14</xdr:row>
      <xdr:rowOff>301625</xdr:rowOff>
    </xdr:to>
    <xdr:sp macro="" textlink="">
      <xdr:nvSpPr>
        <xdr:cNvPr id="41397" name="tp9c12c22size10color255route"/>
        <xdr:cNvSpPr/>
      </xdr:nvSpPr>
      <xdr:spPr>
        <a:xfrm>
          <a:off x="5165725" y="798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16</xdr:row>
      <xdr:rowOff>123825</xdr:rowOff>
    </xdr:from>
    <xdr:to>
      <xdr:col>9</xdr:col>
      <xdr:colOff>352425</xdr:colOff>
      <xdr:row>16</xdr:row>
      <xdr:rowOff>352425</xdr:rowOff>
    </xdr:to>
    <xdr:sp macro="" textlink="">
      <xdr:nvSpPr>
        <xdr:cNvPr id="41398" name="tp9c12c24size18color255routevcb"/>
        <xdr:cNvSpPr/>
      </xdr:nvSpPr>
      <xdr:spPr>
        <a:xfrm>
          <a:off x="5114925" y="88868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238125</xdr:colOff>
      <xdr:row>16</xdr:row>
      <xdr:rowOff>238125</xdr:rowOff>
    </xdr:from>
    <xdr:to>
      <xdr:col>9</xdr:col>
      <xdr:colOff>238125</xdr:colOff>
      <xdr:row>16</xdr:row>
      <xdr:rowOff>238125</xdr:rowOff>
    </xdr:to>
    <xdr:sp macro="" textlink="">
      <xdr:nvSpPr>
        <xdr:cNvPr id="41399" name="rteShptp9c12c24size18color255routevcb"/>
        <xdr:cNvSpPr/>
      </xdr:nvSpPr>
      <xdr:spPr>
        <a:xfrm>
          <a:off x="5229225" y="900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18</xdr:row>
      <xdr:rowOff>123825</xdr:rowOff>
    </xdr:from>
    <xdr:to>
      <xdr:col>9</xdr:col>
      <xdr:colOff>352425</xdr:colOff>
      <xdr:row>18</xdr:row>
      <xdr:rowOff>352425</xdr:rowOff>
    </xdr:to>
    <xdr:sp macro="" textlink="">
      <xdr:nvSpPr>
        <xdr:cNvPr id="41403" name="tp9c12c26size18color255route"/>
        <xdr:cNvSpPr/>
      </xdr:nvSpPr>
      <xdr:spPr>
        <a:xfrm>
          <a:off x="5114925" y="9839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23</xdr:row>
      <xdr:rowOff>123825</xdr:rowOff>
    </xdr:from>
    <xdr:to>
      <xdr:col>9</xdr:col>
      <xdr:colOff>352425</xdr:colOff>
      <xdr:row>23</xdr:row>
      <xdr:rowOff>352425</xdr:rowOff>
    </xdr:to>
    <xdr:sp macro="" textlink="">
      <xdr:nvSpPr>
        <xdr:cNvPr id="41404" name="tp9c13c21size18color16777215routevcb"/>
        <xdr:cNvSpPr/>
      </xdr:nvSpPr>
      <xdr:spPr>
        <a:xfrm>
          <a:off x="511492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238125</xdr:colOff>
      <xdr:row>23</xdr:row>
      <xdr:rowOff>238125</xdr:rowOff>
    </xdr:from>
    <xdr:to>
      <xdr:col>9</xdr:col>
      <xdr:colOff>238125</xdr:colOff>
      <xdr:row>23</xdr:row>
      <xdr:rowOff>238125</xdr:rowOff>
    </xdr:to>
    <xdr:sp macro="" textlink="">
      <xdr:nvSpPr>
        <xdr:cNvPr id="41405" name="rteShptp9c13c21size18color16777215routevcb"/>
        <xdr:cNvSpPr/>
      </xdr:nvSpPr>
      <xdr:spPr>
        <a:xfrm>
          <a:off x="52292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24</xdr:row>
      <xdr:rowOff>123825</xdr:rowOff>
    </xdr:from>
    <xdr:to>
      <xdr:col>9</xdr:col>
      <xdr:colOff>352425</xdr:colOff>
      <xdr:row>24</xdr:row>
      <xdr:rowOff>352425</xdr:rowOff>
    </xdr:to>
    <xdr:sp macro="" textlink="">
      <xdr:nvSpPr>
        <xdr:cNvPr id="41409" name="tp9c13c22size18color16777215route"/>
        <xdr:cNvSpPr/>
      </xdr:nvSpPr>
      <xdr:spPr>
        <a:xfrm>
          <a:off x="511492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25</xdr:row>
      <xdr:rowOff>123825</xdr:rowOff>
    </xdr:from>
    <xdr:to>
      <xdr:col>9</xdr:col>
      <xdr:colOff>352425</xdr:colOff>
      <xdr:row>25</xdr:row>
      <xdr:rowOff>352425</xdr:rowOff>
    </xdr:to>
    <xdr:sp macro="" textlink="">
      <xdr:nvSpPr>
        <xdr:cNvPr id="41410" name="tp9c13c23size18color16777215route"/>
        <xdr:cNvSpPr/>
      </xdr:nvSpPr>
      <xdr:spPr>
        <a:xfrm>
          <a:off x="511492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26</xdr:row>
      <xdr:rowOff>123825</xdr:rowOff>
    </xdr:from>
    <xdr:to>
      <xdr:col>9</xdr:col>
      <xdr:colOff>352425</xdr:colOff>
      <xdr:row>26</xdr:row>
      <xdr:rowOff>352425</xdr:rowOff>
    </xdr:to>
    <xdr:sp macro="" textlink="">
      <xdr:nvSpPr>
        <xdr:cNvPr id="41411" name="tp9c13c24size18color16777215route"/>
        <xdr:cNvSpPr/>
      </xdr:nvSpPr>
      <xdr:spPr>
        <a:xfrm>
          <a:off x="511492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27</xdr:row>
      <xdr:rowOff>123825</xdr:rowOff>
    </xdr:from>
    <xdr:to>
      <xdr:col>9</xdr:col>
      <xdr:colOff>352425</xdr:colOff>
      <xdr:row>27</xdr:row>
      <xdr:rowOff>352425</xdr:rowOff>
    </xdr:to>
    <xdr:sp macro="" textlink="">
      <xdr:nvSpPr>
        <xdr:cNvPr id="41412" name="tp9c13c25size18color16777215route"/>
        <xdr:cNvSpPr/>
      </xdr:nvSpPr>
      <xdr:spPr>
        <a:xfrm>
          <a:off x="511492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28</xdr:row>
      <xdr:rowOff>123825</xdr:rowOff>
    </xdr:from>
    <xdr:to>
      <xdr:col>9</xdr:col>
      <xdr:colOff>352425</xdr:colOff>
      <xdr:row>28</xdr:row>
      <xdr:rowOff>352425</xdr:rowOff>
    </xdr:to>
    <xdr:sp macro="" textlink="">
      <xdr:nvSpPr>
        <xdr:cNvPr id="41413" name="tp9c13c26size18color16777215route"/>
        <xdr:cNvSpPr/>
      </xdr:nvSpPr>
      <xdr:spPr>
        <a:xfrm>
          <a:off x="511492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29</xdr:row>
      <xdr:rowOff>123825</xdr:rowOff>
    </xdr:from>
    <xdr:to>
      <xdr:col>9</xdr:col>
      <xdr:colOff>352425</xdr:colOff>
      <xdr:row>29</xdr:row>
      <xdr:rowOff>352425</xdr:rowOff>
    </xdr:to>
    <xdr:sp macro="" textlink="">
      <xdr:nvSpPr>
        <xdr:cNvPr id="41414" name="tp9c13c27size18color16777215route"/>
        <xdr:cNvSpPr/>
      </xdr:nvSpPr>
      <xdr:spPr>
        <a:xfrm>
          <a:off x="511492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123825</xdr:colOff>
      <xdr:row>30</xdr:row>
      <xdr:rowOff>123825</xdr:rowOff>
    </xdr:from>
    <xdr:to>
      <xdr:col>9</xdr:col>
      <xdr:colOff>352425</xdr:colOff>
      <xdr:row>30</xdr:row>
      <xdr:rowOff>352425</xdr:rowOff>
    </xdr:to>
    <xdr:sp macro="" textlink="">
      <xdr:nvSpPr>
        <xdr:cNvPr id="41415" name="tp9c13c28size18color16777215route"/>
        <xdr:cNvSpPr/>
      </xdr:nvSpPr>
      <xdr:spPr>
        <a:xfrm>
          <a:off x="511492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174625</xdr:colOff>
      <xdr:row>3</xdr:row>
      <xdr:rowOff>174625</xdr:rowOff>
    </xdr:from>
    <xdr:to>
      <xdr:col>10</xdr:col>
      <xdr:colOff>301625</xdr:colOff>
      <xdr:row>3</xdr:row>
      <xdr:rowOff>301625</xdr:rowOff>
    </xdr:to>
    <xdr:sp macro="" textlink="">
      <xdr:nvSpPr>
        <xdr:cNvPr id="41416" name="tp10c11c21size10color255routecb"/>
        <xdr:cNvSpPr/>
      </xdr:nvSpPr>
      <xdr:spPr>
        <a:xfrm>
          <a:off x="5641975" y="2746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238125</xdr:colOff>
      <xdr:row>3</xdr:row>
      <xdr:rowOff>238125</xdr:rowOff>
    </xdr:from>
    <xdr:to>
      <xdr:col>10</xdr:col>
      <xdr:colOff>238125</xdr:colOff>
      <xdr:row>3</xdr:row>
      <xdr:rowOff>238125</xdr:rowOff>
    </xdr:to>
    <xdr:sp macro="" textlink="">
      <xdr:nvSpPr>
        <xdr:cNvPr id="41417" name="rteShptp10c11c21size10color255routecb"/>
        <xdr:cNvSpPr/>
      </xdr:nvSpPr>
      <xdr:spPr>
        <a:xfrm>
          <a:off x="57054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174625</xdr:colOff>
      <xdr:row>4</xdr:row>
      <xdr:rowOff>174625</xdr:rowOff>
    </xdr:from>
    <xdr:to>
      <xdr:col>10</xdr:col>
      <xdr:colOff>301625</xdr:colOff>
      <xdr:row>4</xdr:row>
      <xdr:rowOff>301625</xdr:rowOff>
    </xdr:to>
    <xdr:sp macro="" textlink="">
      <xdr:nvSpPr>
        <xdr:cNvPr id="41420" name="tp10c11c22size10color65535routev"/>
        <xdr:cNvSpPr/>
      </xdr:nvSpPr>
      <xdr:spPr>
        <a:xfrm>
          <a:off x="5641975" y="3222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238125</xdr:colOff>
      <xdr:row>4</xdr:row>
      <xdr:rowOff>238125</xdr:rowOff>
    </xdr:from>
    <xdr:to>
      <xdr:col>10</xdr:col>
      <xdr:colOff>238125</xdr:colOff>
      <xdr:row>4</xdr:row>
      <xdr:rowOff>238125</xdr:rowOff>
    </xdr:to>
    <xdr:sp macro="" textlink="">
      <xdr:nvSpPr>
        <xdr:cNvPr id="41421" name="rteShptp10c11c22size10color65535routev"/>
        <xdr:cNvSpPr/>
      </xdr:nvSpPr>
      <xdr:spPr>
        <a:xfrm>
          <a:off x="5705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174625</xdr:colOff>
      <xdr:row>7</xdr:row>
      <xdr:rowOff>174625</xdr:rowOff>
    </xdr:from>
    <xdr:to>
      <xdr:col>10</xdr:col>
      <xdr:colOff>301625</xdr:colOff>
      <xdr:row>7</xdr:row>
      <xdr:rowOff>301625</xdr:rowOff>
    </xdr:to>
    <xdr:sp macro="" textlink="">
      <xdr:nvSpPr>
        <xdr:cNvPr id="41423" name="tp10c11c25size10color65535route"/>
        <xdr:cNvSpPr/>
      </xdr:nvSpPr>
      <xdr:spPr>
        <a:xfrm>
          <a:off x="5641975" y="46513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174625</xdr:colOff>
      <xdr:row>9</xdr:row>
      <xdr:rowOff>174625</xdr:rowOff>
    </xdr:from>
    <xdr:to>
      <xdr:col>10</xdr:col>
      <xdr:colOff>301625</xdr:colOff>
      <xdr:row>9</xdr:row>
      <xdr:rowOff>301625</xdr:rowOff>
    </xdr:to>
    <xdr:sp macro="" textlink="">
      <xdr:nvSpPr>
        <xdr:cNvPr id="41424" name="tp10c11c27size10color65535route"/>
        <xdr:cNvSpPr/>
      </xdr:nvSpPr>
      <xdr:spPr>
        <a:xfrm>
          <a:off x="5641975" y="56038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238125</xdr:colOff>
      <xdr:row>13</xdr:row>
      <xdr:rowOff>238125</xdr:rowOff>
    </xdr:from>
    <xdr:to>
      <xdr:col>10</xdr:col>
      <xdr:colOff>238125</xdr:colOff>
      <xdr:row>13</xdr:row>
      <xdr:rowOff>238125</xdr:rowOff>
    </xdr:to>
    <xdr:sp macro="" textlink="">
      <xdr:nvSpPr>
        <xdr:cNvPr id="41425" name="rteShptp10c12c21size0color0routeb"/>
        <xdr:cNvSpPr/>
      </xdr:nvSpPr>
      <xdr:spPr>
        <a:xfrm>
          <a:off x="57054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123825</xdr:colOff>
      <xdr:row>18</xdr:row>
      <xdr:rowOff>123825</xdr:rowOff>
    </xdr:from>
    <xdr:to>
      <xdr:col>10</xdr:col>
      <xdr:colOff>352425</xdr:colOff>
      <xdr:row>18</xdr:row>
      <xdr:rowOff>352425</xdr:rowOff>
    </xdr:to>
    <xdr:sp macro="" textlink="">
      <xdr:nvSpPr>
        <xdr:cNvPr id="41427" name="tp10c12c26size18color65535routevc"/>
        <xdr:cNvSpPr/>
      </xdr:nvSpPr>
      <xdr:spPr>
        <a:xfrm>
          <a:off x="559117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238125</xdr:colOff>
      <xdr:row>18</xdr:row>
      <xdr:rowOff>238125</xdr:rowOff>
    </xdr:from>
    <xdr:to>
      <xdr:col>10</xdr:col>
      <xdr:colOff>238125</xdr:colOff>
      <xdr:row>18</xdr:row>
      <xdr:rowOff>238125</xdr:rowOff>
    </xdr:to>
    <xdr:sp macro="" textlink="">
      <xdr:nvSpPr>
        <xdr:cNvPr id="41428" name="rteShptp10c12c26size18color65535routevc"/>
        <xdr:cNvSpPr/>
      </xdr:nvSpPr>
      <xdr:spPr>
        <a:xfrm>
          <a:off x="5705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174625</xdr:colOff>
      <xdr:row>23</xdr:row>
      <xdr:rowOff>174625</xdr:rowOff>
    </xdr:from>
    <xdr:to>
      <xdr:col>10</xdr:col>
      <xdr:colOff>301625</xdr:colOff>
      <xdr:row>23</xdr:row>
      <xdr:rowOff>301625</xdr:rowOff>
    </xdr:to>
    <xdr:sp macro="" textlink="">
      <xdr:nvSpPr>
        <xdr:cNvPr id="41431" name="tp10c13c21size10color255route"/>
        <xdr:cNvSpPr/>
      </xdr:nvSpPr>
      <xdr:spPr>
        <a:xfrm>
          <a:off x="5641975" y="12271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123825</xdr:colOff>
      <xdr:row>24</xdr:row>
      <xdr:rowOff>123825</xdr:rowOff>
    </xdr:from>
    <xdr:to>
      <xdr:col>10</xdr:col>
      <xdr:colOff>352425</xdr:colOff>
      <xdr:row>24</xdr:row>
      <xdr:rowOff>352425</xdr:rowOff>
    </xdr:to>
    <xdr:sp macro="" textlink="">
      <xdr:nvSpPr>
        <xdr:cNvPr id="41432" name="tp10c13c22size18color65535routevc"/>
        <xdr:cNvSpPr/>
      </xdr:nvSpPr>
      <xdr:spPr>
        <a:xfrm>
          <a:off x="5591175" y="1269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238125</xdr:colOff>
      <xdr:row>24</xdr:row>
      <xdr:rowOff>238125</xdr:rowOff>
    </xdr:from>
    <xdr:to>
      <xdr:col>10</xdr:col>
      <xdr:colOff>238125</xdr:colOff>
      <xdr:row>24</xdr:row>
      <xdr:rowOff>238125</xdr:rowOff>
    </xdr:to>
    <xdr:sp macro="" textlink="">
      <xdr:nvSpPr>
        <xdr:cNvPr id="41433" name="rteShptp10c13c22size18color65535routevc"/>
        <xdr:cNvSpPr/>
      </xdr:nvSpPr>
      <xdr:spPr>
        <a:xfrm>
          <a:off x="57054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123825</xdr:colOff>
      <xdr:row>28</xdr:row>
      <xdr:rowOff>123825</xdr:rowOff>
    </xdr:from>
    <xdr:to>
      <xdr:col>10</xdr:col>
      <xdr:colOff>352425</xdr:colOff>
      <xdr:row>28</xdr:row>
      <xdr:rowOff>352425</xdr:rowOff>
    </xdr:to>
    <xdr:sp macro="" textlink="">
      <xdr:nvSpPr>
        <xdr:cNvPr id="41436" name="tp10c13c26size18color65535routeb"/>
        <xdr:cNvSpPr/>
      </xdr:nvSpPr>
      <xdr:spPr>
        <a:xfrm>
          <a:off x="5591175" y="14601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238125</xdr:colOff>
      <xdr:row>28</xdr:row>
      <xdr:rowOff>238125</xdr:rowOff>
    </xdr:from>
    <xdr:to>
      <xdr:col>10</xdr:col>
      <xdr:colOff>238125</xdr:colOff>
      <xdr:row>28</xdr:row>
      <xdr:rowOff>238125</xdr:rowOff>
    </xdr:to>
    <xdr:sp macro="" textlink="">
      <xdr:nvSpPr>
        <xdr:cNvPr id="41437" name="rteShptp10c13c26size18color65535routeb"/>
        <xdr:cNvSpPr/>
      </xdr:nvSpPr>
      <xdr:spPr>
        <a:xfrm>
          <a:off x="5705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123825</xdr:colOff>
      <xdr:row>3</xdr:row>
      <xdr:rowOff>123825</xdr:rowOff>
    </xdr:from>
    <xdr:to>
      <xdr:col>11</xdr:col>
      <xdr:colOff>352425</xdr:colOff>
      <xdr:row>3</xdr:row>
      <xdr:rowOff>352425</xdr:rowOff>
    </xdr:to>
    <xdr:sp macro="" textlink="">
      <xdr:nvSpPr>
        <xdr:cNvPr id="41439" name="tp11c11c21size18color65535routecb"/>
        <xdr:cNvSpPr/>
      </xdr:nvSpPr>
      <xdr:spPr>
        <a:xfrm>
          <a:off x="6067425" y="26955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238125</xdr:colOff>
      <xdr:row>3</xdr:row>
      <xdr:rowOff>238125</xdr:rowOff>
    </xdr:from>
    <xdr:to>
      <xdr:col>11</xdr:col>
      <xdr:colOff>238125</xdr:colOff>
      <xdr:row>3</xdr:row>
      <xdr:rowOff>238125</xdr:rowOff>
    </xdr:to>
    <xdr:sp macro="" textlink="">
      <xdr:nvSpPr>
        <xdr:cNvPr id="41440" name="rteShptp11c11c21size18color65535routecb"/>
        <xdr:cNvSpPr/>
      </xdr:nvSpPr>
      <xdr:spPr>
        <a:xfrm>
          <a:off x="61817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73025</xdr:colOff>
      <xdr:row>4</xdr:row>
      <xdr:rowOff>73025</xdr:rowOff>
    </xdr:from>
    <xdr:to>
      <xdr:col>11</xdr:col>
      <xdr:colOff>403225</xdr:colOff>
      <xdr:row>4</xdr:row>
      <xdr:rowOff>403225</xdr:rowOff>
    </xdr:to>
    <xdr:sp macro="" textlink="">
      <xdr:nvSpPr>
        <xdr:cNvPr id="41443" name="tp11c11c22size26color65535routev"/>
        <xdr:cNvSpPr/>
      </xdr:nvSpPr>
      <xdr:spPr>
        <a:xfrm>
          <a:off x="601662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238125</xdr:colOff>
      <xdr:row>4</xdr:row>
      <xdr:rowOff>238125</xdr:rowOff>
    </xdr:from>
    <xdr:to>
      <xdr:col>11</xdr:col>
      <xdr:colOff>238125</xdr:colOff>
      <xdr:row>4</xdr:row>
      <xdr:rowOff>238125</xdr:rowOff>
    </xdr:to>
    <xdr:sp macro="" textlink="">
      <xdr:nvSpPr>
        <xdr:cNvPr id="41444" name="rteShptp11c11c22size26color65535routev"/>
        <xdr:cNvSpPr/>
      </xdr:nvSpPr>
      <xdr:spPr>
        <a:xfrm>
          <a:off x="6181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174625</xdr:colOff>
      <xdr:row>6</xdr:row>
      <xdr:rowOff>174625</xdr:rowOff>
    </xdr:from>
    <xdr:to>
      <xdr:col>11</xdr:col>
      <xdr:colOff>301625</xdr:colOff>
      <xdr:row>6</xdr:row>
      <xdr:rowOff>301625</xdr:rowOff>
    </xdr:to>
    <xdr:sp macro="" textlink="">
      <xdr:nvSpPr>
        <xdr:cNvPr id="41446" name="tp11c11c24size10color255route"/>
        <xdr:cNvSpPr/>
      </xdr:nvSpPr>
      <xdr:spPr>
        <a:xfrm>
          <a:off x="6118225" y="417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238125</xdr:colOff>
      <xdr:row>13</xdr:row>
      <xdr:rowOff>238125</xdr:rowOff>
    </xdr:from>
    <xdr:to>
      <xdr:col>11</xdr:col>
      <xdr:colOff>238125</xdr:colOff>
      <xdr:row>13</xdr:row>
      <xdr:rowOff>238125</xdr:rowOff>
    </xdr:to>
    <xdr:sp macro="" textlink="">
      <xdr:nvSpPr>
        <xdr:cNvPr id="41447" name="rteShptp11c12c21size0color0routecb"/>
        <xdr:cNvSpPr/>
      </xdr:nvSpPr>
      <xdr:spPr>
        <a:xfrm>
          <a:off x="61817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73025</xdr:colOff>
      <xdr:row>18</xdr:row>
      <xdr:rowOff>73025</xdr:rowOff>
    </xdr:from>
    <xdr:to>
      <xdr:col>11</xdr:col>
      <xdr:colOff>403225</xdr:colOff>
      <xdr:row>18</xdr:row>
      <xdr:rowOff>403225</xdr:rowOff>
    </xdr:to>
    <xdr:sp macro="" textlink="">
      <xdr:nvSpPr>
        <xdr:cNvPr id="41450" name="tp11c12c26size26color65535routev"/>
        <xdr:cNvSpPr/>
      </xdr:nvSpPr>
      <xdr:spPr>
        <a:xfrm>
          <a:off x="601662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238125</xdr:colOff>
      <xdr:row>18</xdr:row>
      <xdr:rowOff>238125</xdr:rowOff>
    </xdr:from>
    <xdr:to>
      <xdr:col>11</xdr:col>
      <xdr:colOff>238125</xdr:colOff>
      <xdr:row>18</xdr:row>
      <xdr:rowOff>238125</xdr:rowOff>
    </xdr:to>
    <xdr:sp macro="" textlink="">
      <xdr:nvSpPr>
        <xdr:cNvPr id="41451" name="rteShptp11c12c26size26color65535routev"/>
        <xdr:cNvSpPr/>
      </xdr:nvSpPr>
      <xdr:spPr>
        <a:xfrm>
          <a:off x="618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73025</xdr:colOff>
      <xdr:row>23</xdr:row>
      <xdr:rowOff>73025</xdr:rowOff>
    </xdr:from>
    <xdr:to>
      <xdr:col>11</xdr:col>
      <xdr:colOff>403225</xdr:colOff>
      <xdr:row>23</xdr:row>
      <xdr:rowOff>403225</xdr:rowOff>
    </xdr:to>
    <xdr:sp macro="" textlink="">
      <xdr:nvSpPr>
        <xdr:cNvPr id="41453" name="tp11c13c21size26color65535routevcb">
          <a:hlinkClick xmlns:r="http://schemas.openxmlformats.org/officeDocument/2006/relationships" r:id="" tooltip="Chris Shaw:&#10;Routes assume that mobile browser/big browser are same channel"/>
        </xdr:cNvPr>
        <xdr:cNvSpPr/>
      </xdr:nvSpPr>
      <xdr:spPr>
        <a:xfrm>
          <a:off x="6016625" y="12169775"/>
          <a:ext cx="330200" cy="330200"/>
        </a:xfrm>
        <a:prstGeom prst="ellipse">
          <a:avLst/>
        </a:prstGeom>
        <a:solidFill>
          <a:srgbClr val="FF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238125</xdr:colOff>
      <xdr:row>23</xdr:row>
      <xdr:rowOff>238125</xdr:rowOff>
    </xdr:from>
    <xdr:to>
      <xdr:col>11</xdr:col>
      <xdr:colOff>238125</xdr:colOff>
      <xdr:row>23</xdr:row>
      <xdr:rowOff>238125</xdr:rowOff>
    </xdr:to>
    <xdr:sp macro="" textlink="">
      <xdr:nvSpPr>
        <xdr:cNvPr id="41454" name="rteShptp11c13c21size26color65535routevcb"/>
        <xdr:cNvSpPr/>
      </xdr:nvSpPr>
      <xdr:spPr>
        <a:xfrm>
          <a:off x="61817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174625</xdr:colOff>
      <xdr:row>24</xdr:row>
      <xdr:rowOff>174625</xdr:rowOff>
    </xdr:from>
    <xdr:to>
      <xdr:col>11</xdr:col>
      <xdr:colOff>301625</xdr:colOff>
      <xdr:row>24</xdr:row>
      <xdr:rowOff>301625</xdr:rowOff>
    </xdr:to>
    <xdr:sp macro="" textlink="">
      <xdr:nvSpPr>
        <xdr:cNvPr id="41458" name="tp11c13c22size10color65535route"/>
        <xdr:cNvSpPr/>
      </xdr:nvSpPr>
      <xdr:spPr>
        <a:xfrm>
          <a:off x="6118225" y="1274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123825</xdr:colOff>
      <xdr:row>3</xdr:row>
      <xdr:rowOff>123825</xdr:rowOff>
    </xdr:from>
    <xdr:to>
      <xdr:col>12</xdr:col>
      <xdr:colOff>352425</xdr:colOff>
      <xdr:row>3</xdr:row>
      <xdr:rowOff>352425</xdr:rowOff>
    </xdr:to>
    <xdr:sp macro="" textlink="">
      <xdr:nvSpPr>
        <xdr:cNvPr id="41459" name="tp12c11c21size18color65535routecb"/>
        <xdr:cNvSpPr/>
      </xdr:nvSpPr>
      <xdr:spPr>
        <a:xfrm>
          <a:off x="6543675" y="26955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238125</xdr:colOff>
      <xdr:row>3</xdr:row>
      <xdr:rowOff>238125</xdr:rowOff>
    </xdr:from>
    <xdr:to>
      <xdr:col>12</xdr:col>
      <xdr:colOff>238125</xdr:colOff>
      <xdr:row>3</xdr:row>
      <xdr:rowOff>238125</xdr:rowOff>
    </xdr:to>
    <xdr:sp macro="" textlink="">
      <xdr:nvSpPr>
        <xdr:cNvPr id="41460" name="rteShptp12c11c21size18color65535routecb"/>
        <xdr:cNvSpPr/>
      </xdr:nvSpPr>
      <xdr:spPr>
        <a:xfrm>
          <a:off x="66579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73025</xdr:colOff>
      <xdr:row>4</xdr:row>
      <xdr:rowOff>73025</xdr:rowOff>
    </xdr:from>
    <xdr:to>
      <xdr:col>12</xdr:col>
      <xdr:colOff>403225</xdr:colOff>
      <xdr:row>4</xdr:row>
      <xdr:rowOff>403225</xdr:rowOff>
    </xdr:to>
    <xdr:sp macro="" textlink="">
      <xdr:nvSpPr>
        <xdr:cNvPr id="41463" name="tp12c11c22size26color65535routev"/>
        <xdr:cNvSpPr/>
      </xdr:nvSpPr>
      <xdr:spPr>
        <a:xfrm>
          <a:off x="649287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238125</xdr:colOff>
      <xdr:row>4</xdr:row>
      <xdr:rowOff>238125</xdr:rowOff>
    </xdr:from>
    <xdr:to>
      <xdr:col>12</xdr:col>
      <xdr:colOff>238125</xdr:colOff>
      <xdr:row>4</xdr:row>
      <xdr:rowOff>238125</xdr:rowOff>
    </xdr:to>
    <xdr:sp macro="" textlink="">
      <xdr:nvSpPr>
        <xdr:cNvPr id="41464" name="rteShptp12c11c22size26color65535routev"/>
        <xdr:cNvSpPr/>
      </xdr:nvSpPr>
      <xdr:spPr>
        <a:xfrm>
          <a:off x="6657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238125</xdr:colOff>
      <xdr:row>13</xdr:row>
      <xdr:rowOff>238125</xdr:rowOff>
    </xdr:from>
    <xdr:to>
      <xdr:col>12</xdr:col>
      <xdr:colOff>238125</xdr:colOff>
      <xdr:row>13</xdr:row>
      <xdr:rowOff>238125</xdr:rowOff>
    </xdr:to>
    <xdr:sp macro="" textlink="">
      <xdr:nvSpPr>
        <xdr:cNvPr id="41466" name="rteShptp12c12c21size0color0routecb"/>
        <xdr:cNvSpPr/>
      </xdr:nvSpPr>
      <xdr:spPr>
        <a:xfrm>
          <a:off x="66579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123825</xdr:colOff>
      <xdr:row>18</xdr:row>
      <xdr:rowOff>123825</xdr:rowOff>
    </xdr:from>
    <xdr:to>
      <xdr:col>12</xdr:col>
      <xdr:colOff>352425</xdr:colOff>
      <xdr:row>18</xdr:row>
      <xdr:rowOff>352425</xdr:rowOff>
    </xdr:to>
    <xdr:sp macro="" textlink="">
      <xdr:nvSpPr>
        <xdr:cNvPr id="41469" name="tp12c12c26size18color65280routev"/>
        <xdr:cNvSpPr/>
      </xdr:nvSpPr>
      <xdr:spPr>
        <a:xfrm>
          <a:off x="6543675" y="98393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238125</xdr:colOff>
      <xdr:row>18</xdr:row>
      <xdr:rowOff>238125</xdr:rowOff>
    </xdr:from>
    <xdr:to>
      <xdr:col>12</xdr:col>
      <xdr:colOff>238125</xdr:colOff>
      <xdr:row>18</xdr:row>
      <xdr:rowOff>238125</xdr:rowOff>
    </xdr:to>
    <xdr:sp macro="" textlink="">
      <xdr:nvSpPr>
        <xdr:cNvPr id="41470" name="rteShptp12c12c26size18color65280routev"/>
        <xdr:cNvSpPr/>
      </xdr:nvSpPr>
      <xdr:spPr>
        <a:xfrm>
          <a:off x="665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123825</xdr:colOff>
      <xdr:row>23</xdr:row>
      <xdr:rowOff>123825</xdr:rowOff>
    </xdr:from>
    <xdr:to>
      <xdr:col>12</xdr:col>
      <xdr:colOff>352425</xdr:colOff>
      <xdr:row>23</xdr:row>
      <xdr:rowOff>352425</xdr:rowOff>
    </xdr:to>
    <xdr:sp macro="" textlink="">
      <xdr:nvSpPr>
        <xdr:cNvPr id="41472" name="tp12c13c21size18color65280routevcb"/>
        <xdr:cNvSpPr/>
      </xdr:nvSpPr>
      <xdr:spPr>
        <a:xfrm>
          <a:off x="6543675" y="12220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238125</xdr:colOff>
      <xdr:row>23</xdr:row>
      <xdr:rowOff>238125</xdr:rowOff>
    </xdr:from>
    <xdr:to>
      <xdr:col>12</xdr:col>
      <xdr:colOff>238125</xdr:colOff>
      <xdr:row>23</xdr:row>
      <xdr:rowOff>238125</xdr:rowOff>
    </xdr:to>
    <xdr:sp macro="" textlink="">
      <xdr:nvSpPr>
        <xdr:cNvPr id="41473" name="rteShptp12c13c21size18color65280routevcb"/>
        <xdr:cNvSpPr/>
      </xdr:nvSpPr>
      <xdr:spPr>
        <a:xfrm>
          <a:off x="66579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123825</xdr:colOff>
      <xdr:row>3</xdr:row>
      <xdr:rowOff>123825</xdr:rowOff>
    </xdr:from>
    <xdr:to>
      <xdr:col>13</xdr:col>
      <xdr:colOff>352425</xdr:colOff>
      <xdr:row>3</xdr:row>
      <xdr:rowOff>352425</xdr:rowOff>
    </xdr:to>
    <xdr:sp macro="" textlink="">
      <xdr:nvSpPr>
        <xdr:cNvPr id="41477" name="tp13c11c21size18color255routecb"/>
        <xdr:cNvSpPr/>
      </xdr:nvSpPr>
      <xdr:spPr>
        <a:xfrm>
          <a:off x="7019925" y="269557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238125</xdr:colOff>
      <xdr:row>3</xdr:row>
      <xdr:rowOff>238125</xdr:rowOff>
    </xdr:from>
    <xdr:to>
      <xdr:col>13</xdr:col>
      <xdr:colOff>238125</xdr:colOff>
      <xdr:row>3</xdr:row>
      <xdr:rowOff>238125</xdr:rowOff>
    </xdr:to>
    <xdr:sp macro="" textlink="">
      <xdr:nvSpPr>
        <xdr:cNvPr id="41478" name="rteShptp13c11c21size18color255routecb"/>
        <xdr:cNvSpPr/>
      </xdr:nvSpPr>
      <xdr:spPr>
        <a:xfrm>
          <a:off x="71342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73025</xdr:colOff>
      <xdr:row>4</xdr:row>
      <xdr:rowOff>73025</xdr:rowOff>
    </xdr:from>
    <xdr:to>
      <xdr:col>13</xdr:col>
      <xdr:colOff>403225</xdr:colOff>
      <xdr:row>4</xdr:row>
      <xdr:rowOff>403225</xdr:rowOff>
    </xdr:to>
    <xdr:sp macro="" textlink="">
      <xdr:nvSpPr>
        <xdr:cNvPr id="41481" name="tp13c11c22size26color255routev"/>
        <xdr:cNvSpPr/>
      </xdr:nvSpPr>
      <xdr:spPr>
        <a:xfrm>
          <a:off x="696912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238125</xdr:colOff>
      <xdr:row>4</xdr:row>
      <xdr:rowOff>238125</xdr:rowOff>
    </xdr:from>
    <xdr:to>
      <xdr:col>13</xdr:col>
      <xdr:colOff>238125</xdr:colOff>
      <xdr:row>4</xdr:row>
      <xdr:rowOff>238125</xdr:rowOff>
    </xdr:to>
    <xdr:sp macro="" textlink="">
      <xdr:nvSpPr>
        <xdr:cNvPr id="41482" name="rteShptp13c11c22size26color255routev"/>
        <xdr:cNvSpPr/>
      </xdr:nvSpPr>
      <xdr:spPr>
        <a:xfrm>
          <a:off x="7134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238125</xdr:colOff>
      <xdr:row>13</xdr:row>
      <xdr:rowOff>238125</xdr:rowOff>
    </xdr:from>
    <xdr:to>
      <xdr:col>13</xdr:col>
      <xdr:colOff>238125</xdr:colOff>
      <xdr:row>13</xdr:row>
      <xdr:rowOff>238125</xdr:rowOff>
    </xdr:to>
    <xdr:sp macro="" textlink="">
      <xdr:nvSpPr>
        <xdr:cNvPr id="41484" name="rteShptp13c12c21size0color0routecb"/>
        <xdr:cNvSpPr/>
      </xdr:nvSpPr>
      <xdr:spPr>
        <a:xfrm>
          <a:off x="71342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123825</xdr:colOff>
      <xdr:row>18</xdr:row>
      <xdr:rowOff>123825</xdr:rowOff>
    </xdr:from>
    <xdr:to>
      <xdr:col>13</xdr:col>
      <xdr:colOff>352425</xdr:colOff>
      <xdr:row>18</xdr:row>
      <xdr:rowOff>352425</xdr:rowOff>
    </xdr:to>
    <xdr:sp macro="" textlink="">
      <xdr:nvSpPr>
        <xdr:cNvPr id="41487" name="tp13c12c26size18color65535routev"/>
        <xdr:cNvSpPr/>
      </xdr:nvSpPr>
      <xdr:spPr>
        <a:xfrm>
          <a:off x="701992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238125</xdr:colOff>
      <xdr:row>18</xdr:row>
      <xdr:rowOff>238125</xdr:rowOff>
    </xdr:from>
    <xdr:to>
      <xdr:col>13</xdr:col>
      <xdr:colOff>238125</xdr:colOff>
      <xdr:row>18</xdr:row>
      <xdr:rowOff>238125</xdr:rowOff>
    </xdr:to>
    <xdr:sp macro="" textlink="">
      <xdr:nvSpPr>
        <xdr:cNvPr id="41488" name="rteShptp13c12c26size18color65535routev"/>
        <xdr:cNvSpPr/>
      </xdr:nvSpPr>
      <xdr:spPr>
        <a:xfrm>
          <a:off x="713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123825</xdr:colOff>
      <xdr:row>23</xdr:row>
      <xdr:rowOff>123825</xdr:rowOff>
    </xdr:from>
    <xdr:to>
      <xdr:col>13</xdr:col>
      <xdr:colOff>352425</xdr:colOff>
      <xdr:row>23</xdr:row>
      <xdr:rowOff>352425</xdr:rowOff>
    </xdr:to>
    <xdr:sp macro="" textlink="">
      <xdr:nvSpPr>
        <xdr:cNvPr id="41490" name="tp13c13c21size18color65535routevcb"/>
        <xdr:cNvSpPr/>
      </xdr:nvSpPr>
      <xdr:spPr>
        <a:xfrm>
          <a:off x="7019925" y="122205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238125</xdr:colOff>
      <xdr:row>23</xdr:row>
      <xdr:rowOff>238125</xdr:rowOff>
    </xdr:from>
    <xdr:to>
      <xdr:col>13</xdr:col>
      <xdr:colOff>238125</xdr:colOff>
      <xdr:row>23</xdr:row>
      <xdr:rowOff>238125</xdr:rowOff>
    </xdr:to>
    <xdr:sp macro="" textlink="">
      <xdr:nvSpPr>
        <xdr:cNvPr id="41491" name="rteShptp13c13c21size18color65535routevcb"/>
        <xdr:cNvSpPr/>
      </xdr:nvSpPr>
      <xdr:spPr>
        <a:xfrm>
          <a:off x="71342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123825</xdr:colOff>
      <xdr:row>24</xdr:row>
      <xdr:rowOff>123825</xdr:rowOff>
    </xdr:from>
    <xdr:to>
      <xdr:col>13</xdr:col>
      <xdr:colOff>352425</xdr:colOff>
      <xdr:row>24</xdr:row>
      <xdr:rowOff>352425</xdr:rowOff>
    </xdr:to>
    <xdr:sp macro="" textlink="">
      <xdr:nvSpPr>
        <xdr:cNvPr id="41495" name="tp13c13c22size18color65535route"/>
        <xdr:cNvSpPr/>
      </xdr:nvSpPr>
      <xdr:spPr>
        <a:xfrm>
          <a:off x="7019925" y="1269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3</xdr:row>
      <xdr:rowOff>123825</xdr:rowOff>
    </xdr:from>
    <xdr:to>
      <xdr:col>14</xdr:col>
      <xdr:colOff>352425</xdr:colOff>
      <xdr:row>3</xdr:row>
      <xdr:rowOff>352425</xdr:rowOff>
    </xdr:to>
    <xdr:sp macro="" textlink="">
      <xdr:nvSpPr>
        <xdr:cNvPr id="41496" name="tp14c11c21size18color16777215routecb"/>
        <xdr:cNvSpPr/>
      </xdr:nvSpPr>
      <xdr:spPr>
        <a:xfrm>
          <a:off x="749617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238125</xdr:colOff>
      <xdr:row>3</xdr:row>
      <xdr:rowOff>238125</xdr:rowOff>
    </xdr:from>
    <xdr:to>
      <xdr:col>14</xdr:col>
      <xdr:colOff>238125</xdr:colOff>
      <xdr:row>3</xdr:row>
      <xdr:rowOff>238125</xdr:rowOff>
    </xdr:to>
    <xdr:sp macro="" textlink="">
      <xdr:nvSpPr>
        <xdr:cNvPr id="41497" name="rteShptp14c11c21size18color16777215routecb"/>
        <xdr:cNvSpPr/>
      </xdr:nvSpPr>
      <xdr:spPr>
        <a:xfrm>
          <a:off x="76104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4</xdr:row>
      <xdr:rowOff>123825</xdr:rowOff>
    </xdr:from>
    <xdr:to>
      <xdr:col>14</xdr:col>
      <xdr:colOff>352425</xdr:colOff>
      <xdr:row>4</xdr:row>
      <xdr:rowOff>352425</xdr:rowOff>
    </xdr:to>
    <xdr:sp macro="" textlink="">
      <xdr:nvSpPr>
        <xdr:cNvPr id="41500" name="tp14c11c22size18color16777215routev"/>
        <xdr:cNvSpPr/>
      </xdr:nvSpPr>
      <xdr:spPr>
        <a:xfrm>
          <a:off x="749617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238125</xdr:colOff>
      <xdr:row>4</xdr:row>
      <xdr:rowOff>238125</xdr:rowOff>
    </xdr:from>
    <xdr:to>
      <xdr:col>14</xdr:col>
      <xdr:colOff>238125</xdr:colOff>
      <xdr:row>4</xdr:row>
      <xdr:rowOff>238125</xdr:rowOff>
    </xdr:to>
    <xdr:sp macro="" textlink="">
      <xdr:nvSpPr>
        <xdr:cNvPr id="41501" name="rteShptp14c11c22size18color16777215routev"/>
        <xdr:cNvSpPr/>
      </xdr:nvSpPr>
      <xdr:spPr>
        <a:xfrm>
          <a:off x="7610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5</xdr:row>
      <xdr:rowOff>123825</xdr:rowOff>
    </xdr:from>
    <xdr:to>
      <xdr:col>14</xdr:col>
      <xdr:colOff>352425</xdr:colOff>
      <xdr:row>5</xdr:row>
      <xdr:rowOff>352425</xdr:rowOff>
    </xdr:to>
    <xdr:sp macro="" textlink="">
      <xdr:nvSpPr>
        <xdr:cNvPr id="41503" name="tp14c11c23size18color16777215route"/>
        <xdr:cNvSpPr/>
      </xdr:nvSpPr>
      <xdr:spPr>
        <a:xfrm>
          <a:off x="749617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6</xdr:row>
      <xdr:rowOff>123825</xdr:rowOff>
    </xdr:from>
    <xdr:to>
      <xdr:col>14</xdr:col>
      <xdr:colOff>352425</xdr:colOff>
      <xdr:row>6</xdr:row>
      <xdr:rowOff>352425</xdr:rowOff>
    </xdr:to>
    <xdr:sp macro="" textlink="">
      <xdr:nvSpPr>
        <xdr:cNvPr id="41504" name="tp14c11c24size18color16777215route"/>
        <xdr:cNvSpPr/>
      </xdr:nvSpPr>
      <xdr:spPr>
        <a:xfrm>
          <a:off x="749617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7</xdr:row>
      <xdr:rowOff>123825</xdr:rowOff>
    </xdr:from>
    <xdr:to>
      <xdr:col>14</xdr:col>
      <xdr:colOff>352425</xdr:colOff>
      <xdr:row>7</xdr:row>
      <xdr:rowOff>352425</xdr:rowOff>
    </xdr:to>
    <xdr:sp macro="" textlink="">
      <xdr:nvSpPr>
        <xdr:cNvPr id="41505" name="tp14c11c25size18color16777215route"/>
        <xdr:cNvSpPr/>
      </xdr:nvSpPr>
      <xdr:spPr>
        <a:xfrm>
          <a:off x="749617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8</xdr:row>
      <xdr:rowOff>123825</xdr:rowOff>
    </xdr:from>
    <xdr:to>
      <xdr:col>14</xdr:col>
      <xdr:colOff>352425</xdr:colOff>
      <xdr:row>8</xdr:row>
      <xdr:rowOff>352425</xdr:rowOff>
    </xdr:to>
    <xdr:sp macro="" textlink="">
      <xdr:nvSpPr>
        <xdr:cNvPr id="41506" name="tp14c11c26size18color16777215route"/>
        <xdr:cNvSpPr/>
      </xdr:nvSpPr>
      <xdr:spPr>
        <a:xfrm>
          <a:off x="749617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9</xdr:row>
      <xdr:rowOff>123825</xdr:rowOff>
    </xdr:from>
    <xdr:to>
      <xdr:col>14</xdr:col>
      <xdr:colOff>352425</xdr:colOff>
      <xdr:row>9</xdr:row>
      <xdr:rowOff>352425</xdr:rowOff>
    </xdr:to>
    <xdr:sp macro="" textlink="">
      <xdr:nvSpPr>
        <xdr:cNvPr id="41507" name="tp14c11c27size18color16777215route"/>
        <xdr:cNvSpPr/>
      </xdr:nvSpPr>
      <xdr:spPr>
        <a:xfrm>
          <a:off x="749617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10</xdr:row>
      <xdr:rowOff>123825</xdr:rowOff>
    </xdr:from>
    <xdr:to>
      <xdr:col>14</xdr:col>
      <xdr:colOff>352425</xdr:colOff>
      <xdr:row>10</xdr:row>
      <xdr:rowOff>352425</xdr:rowOff>
    </xdr:to>
    <xdr:sp macro="" textlink="">
      <xdr:nvSpPr>
        <xdr:cNvPr id="41508" name="tp14c11c28size18color16777215route"/>
        <xdr:cNvSpPr/>
      </xdr:nvSpPr>
      <xdr:spPr>
        <a:xfrm>
          <a:off x="749617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13</xdr:row>
      <xdr:rowOff>123825</xdr:rowOff>
    </xdr:from>
    <xdr:to>
      <xdr:col>14</xdr:col>
      <xdr:colOff>352425</xdr:colOff>
      <xdr:row>13</xdr:row>
      <xdr:rowOff>352425</xdr:rowOff>
    </xdr:to>
    <xdr:sp macro="" textlink="">
      <xdr:nvSpPr>
        <xdr:cNvPr id="41509" name="tp14c12c21size18color16777215routecb"/>
        <xdr:cNvSpPr/>
      </xdr:nvSpPr>
      <xdr:spPr>
        <a:xfrm>
          <a:off x="749617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238125</xdr:colOff>
      <xdr:row>13</xdr:row>
      <xdr:rowOff>238125</xdr:rowOff>
    </xdr:from>
    <xdr:to>
      <xdr:col>14</xdr:col>
      <xdr:colOff>238125</xdr:colOff>
      <xdr:row>13</xdr:row>
      <xdr:rowOff>238125</xdr:rowOff>
    </xdr:to>
    <xdr:sp macro="" textlink="">
      <xdr:nvSpPr>
        <xdr:cNvPr id="41510" name="rteShptp14c12c21size18color16777215routecb"/>
        <xdr:cNvSpPr/>
      </xdr:nvSpPr>
      <xdr:spPr>
        <a:xfrm>
          <a:off x="76104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14</xdr:row>
      <xdr:rowOff>123825</xdr:rowOff>
    </xdr:from>
    <xdr:to>
      <xdr:col>14</xdr:col>
      <xdr:colOff>352425</xdr:colOff>
      <xdr:row>14</xdr:row>
      <xdr:rowOff>352425</xdr:rowOff>
    </xdr:to>
    <xdr:sp macro="" textlink="">
      <xdr:nvSpPr>
        <xdr:cNvPr id="41513" name="tp14c12c22size18color16777215route"/>
        <xdr:cNvSpPr/>
      </xdr:nvSpPr>
      <xdr:spPr>
        <a:xfrm>
          <a:off x="74961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15</xdr:row>
      <xdr:rowOff>123825</xdr:rowOff>
    </xdr:from>
    <xdr:to>
      <xdr:col>14</xdr:col>
      <xdr:colOff>352425</xdr:colOff>
      <xdr:row>15</xdr:row>
      <xdr:rowOff>352425</xdr:rowOff>
    </xdr:to>
    <xdr:sp macro="" textlink="">
      <xdr:nvSpPr>
        <xdr:cNvPr id="41514" name="tp14c12c23size18color16777215route"/>
        <xdr:cNvSpPr/>
      </xdr:nvSpPr>
      <xdr:spPr>
        <a:xfrm>
          <a:off x="749617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16</xdr:row>
      <xdr:rowOff>123825</xdr:rowOff>
    </xdr:from>
    <xdr:to>
      <xdr:col>14</xdr:col>
      <xdr:colOff>352425</xdr:colOff>
      <xdr:row>16</xdr:row>
      <xdr:rowOff>352425</xdr:rowOff>
    </xdr:to>
    <xdr:sp macro="" textlink="">
      <xdr:nvSpPr>
        <xdr:cNvPr id="41515" name="tp14c12c24size18color16777215route"/>
        <xdr:cNvSpPr/>
      </xdr:nvSpPr>
      <xdr:spPr>
        <a:xfrm>
          <a:off x="749617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17</xdr:row>
      <xdr:rowOff>123825</xdr:rowOff>
    </xdr:from>
    <xdr:to>
      <xdr:col>14</xdr:col>
      <xdr:colOff>352425</xdr:colOff>
      <xdr:row>17</xdr:row>
      <xdr:rowOff>352425</xdr:rowOff>
    </xdr:to>
    <xdr:sp macro="" textlink="">
      <xdr:nvSpPr>
        <xdr:cNvPr id="41516" name="tp14c12c25size18color16777215route"/>
        <xdr:cNvSpPr/>
      </xdr:nvSpPr>
      <xdr:spPr>
        <a:xfrm>
          <a:off x="749617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18</xdr:row>
      <xdr:rowOff>123825</xdr:rowOff>
    </xdr:from>
    <xdr:to>
      <xdr:col>14</xdr:col>
      <xdr:colOff>352425</xdr:colOff>
      <xdr:row>18</xdr:row>
      <xdr:rowOff>352425</xdr:rowOff>
    </xdr:to>
    <xdr:sp macro="" textlink="">
      <xdr:nvSpPr>
        <xdr:cNvPr id="41517" name="tp14c12c26size18color16777215routev"/>
        <xdr:cNvSpPr/>
      </xdr:nvSpPr>
      <xdr:spPr>
        <a:xfrm>
          <a:off x="749617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238125</xdr:colOff>
      <xdr:row>18</xdr:row>
      <xdr:rowOff>238125</xdr:rowOff>
    </xdr:from>
    <xdr:to>
      <xdr:col>14</xdr:col>
      <xdr:colOff>238125</xdr:colOff>
      <xdr:row>18</xdr:row>
      <xdr:rowOff>238125</xdr:rowOff>
    </xdr:to>
    <xdr:sp macro="" textlink="">
      <xdr:nvSpPr>
        <xdr:cNvPr id="41518" name="rteShptp14c12c26size18color16777215routev"/>
        <xdr:cNvSpPr/>
      </xdr:nvSpPr>
      <xdr:spPr>
        <a:xfrm>
          <a:off x="761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19</xdr:row>
      <xdr:rowOff>123825</xdr:rowOff>
    </xdr:from>
    <xdr:to>
      <xdr:col>14</xdr:col>
      <xdr:colOff>352425</xdr:colOff>
      <xdr:row>19</xdr:row>
      <xdr:rowOff>352425</xdr:rowOff>
    </xdr:to>
    <xdr:sp macro="" textlink="">
      <xdr:nvSpPr>
        <xdr:cNvPr id="41520" name="tp14c12c27size18color16777215route"/>
        <xdr:cNvSpPr/>
      </xdr:nvSpPr>
      <xdr:spPr>
        <a:xfrm>
          <a:off x="749617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20</xdr:row>
      <xdr:rowOff>123825</xdr:rowOff>
    </xdr:from>
    <xdr:to>
      <xdr:col>14</xdr:col>
      <xdr:colOff>352425</xdr:colOff>
      <xdr:row>20</xdr:row>
      <xdr:rowOff>352425</xdr:rowOff>
    </xdr:to>
    <xdr:sp macro="" textlink="">
      <xdr:nvSpPr>
        <xdr:cNvPr id="41521" name="tp14c12c28size18color16777215route"/>
        <xdr:cNvSpPr/>
      </xdr:nvSpPr>
      <xdr:spPr>
        <a:xfrm>
          <a:off x="749617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123825</xdr:colOff>
      <xdr:row>23</xdr:row>
      <xdr:rowOff>123825</xdr:rowOff>
    </xdr:from>
    <xdr:to>
      <xdr:col>14</xdr:col>
      <xdr:colOff>352425</xdr:colOff>
      <xdr:row>23</xdr:row>
      <xdr:rowOff>352425</xdr:rowOff>
    </xdr:to>
    <xdr:sp macro="" textlink="">
      <xdr:nvSpPr>
        <xdr:cNvPr id="41522" name="tp14c13c21size18color65280routevcb"/>
        <xdr:cNvSpPr/>
      </xdr:nvSpPr>
      <xdr:spPr>
        <a:xfrm>
          <a:off x="7496175" y="12220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238125</xdr:colOff>
      <xdr:row>23</xdr:row>
      <xdr:rowOff>238125</xdr:rowOff>
    </xdr:from>
    <xdr:to>
      <xdr:col>14</xdr:col>
      <xdr:colOff>238125</xdr:colOff>
      <xdr:row>23</xdr:row>
      <xdr:rowOff>238125</xdr:rowOff>
    </xdr:to>
    <xdr:sp macro="" textlink="">
      <xdr:nvSpPr>
        <xdr:cNvPr id="41523" name="rteShptp14c13c21size18color65280routevcb"/>
        <xdr:cNvSpPr/>
      </xdr:nvSpPr>
      <xdr:spPr>
        <a:xfrm>
          <a:off x="76104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174625</xdr:colOff>
      <xdr:row>24</xdr:row>
      <xdr:rowOff>174625</xdr:rowOff>
    </xdr:from>
    <xdr:to>
      <xdr:col>14</xdr:col>
      <xdr:colOff>301625</xdr:colOff>
      <xdr:row>24</xdr:row>
      <xdr:rowOff>301625</xdr:rowOff>
    </xdr:to>
    <xdr:sp macro="" textlink="">
      <xdr:nvSpPr>
        <xdr:cNvPr id="41527" name="tp14c13c22size10color65535route"/>
        <xdr:cNvSpPr/>
      </xdr:nvSpPr>
      <xdr:spPr>
        <a:xfrm>
          <a:off x="7546975" y="1274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174625</xdr:colOff>
      <xdr:row>28</xdr:row>
      <xdr:rowOff>174625</xdr:rowOff>
    </xdr:from>
    <xdr:to>
      <xdr:col>14</xdr:col>
      <xdr:colOff>301625</xdr:colOff>
      <xdr:row>28</xdr:row>
      <xdr:rowOff>301625</xdr:rowOff>
    </xdr:to>
    <xdr:sp macro="" textlink="">
      <xdr:nvSpPr>
        <xdr:cNvPr id="41528" name="tp14c13c26size10color255route"/>
        <xdr:cNvSpPr/>
      </xdr:nvSpPr>
      <xdr:spPr>
        <a:xfrm>
          <a:off x="7546975" y="14652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3</xdr:row>
      <xdr:rowOff>123825</xdr:rowOff>
    </xdr:from>
    <xdr:to>
      <xdr:col>15</xdr:col>
      <xdr:colOff>352425</xdr:colOff>
      <xdr:row>3</xdr:row>
      <xdr:rowOff>352425</xdr:rowOff>
    </xdr:to>
    <xdr:sp macro="" textlink="">
      <xdr:nvSpPr>
        <xdr:cNvPr id="41529" name="tp15c11c21size18color16777215routecb"/>
        <xdr:cNvSpPr/>
      </xdr:nvSpPr>
      <xdr:spPr>
        <a:xfrm>
          <a:off x="79724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238125</xdr:colOff>
      <xdr:row>3</xdr:row>
      <xdr:rowOff>238125</xdr:rowOff>
    </xdr:from>
    <xdr:to>
      <xdr:col>15</xdr:col>
      <xdr:colOff>238125</xdr:colOff>
      <xdr:row>3</xdr:row>
      <xdr:rowOff>238125</xdr:rowOff>
    </xdr:to>
    <xdr:sp macro="" textlink="">
      <xdr:nvSpPr>
        <xdr:cNvPr id="41530" name="rteShptp15c11c21size18color16777215routecb"/>
        <xdr:cNvSpPr/>
      </xdr:nvSpPr>
      <xdr:spPr>
        <a:xfrm>
          <a:off x="80867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4</xdr:row>
      <xdr:rowOff>123825</xdr:rowOff>
    </xdr:from>
    <xdr:to>
      <xdr:col>15</xdr:col>
      <xdr:colOff>352425</xdr:colOff>
      <xdr:row>4</xdr:row>
      <xdr:rowOff>352425</xdr:rowOff>
    </xdr:to>
    <xdr:sp macro="" textlink="">
      <xdr:nvSpPr>
        <xdr:cNvPr id="41533" name="tp15c11c22size18color16777215routev"/>
        <xdr:cNvSpPr/>
      </xdr:nvSpPr>
      <xdr:spPr>
        <a:xfrm>
          <a:off x="79724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238125</xdr:colOff>
      <xdr:row>4</xdr:row>
      <xdr:rowOff>238125</xdr:rowOff>
    </xdr:from>
    <xdr:to>
      <xdr:col>15</xdr:col>
      <xdr:colOff>238125</xdr:colOff>
      <xdr:row>4</xdr:row>
      <xdr:rowOff>238125</xdr:rowOff>
    </xdr:to>
    <xdr:sp macro="" textlink="">
      <xdr:nvSpPr>
        <xdr:cNvPr id="41534" name="rteShptp15c11c22size18color16777215routev"/>
        <xdr:cNvSpPr/>
      </xdr:nvSpPr>
      <xdr:spPr>
        <a:xfrm>
          <a:off x="8086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5</xdr:row>
      <xdr:rowOff>123825</xdr:rowOff>
    </xdr:from>
    <xdr:to>
      <xdr:col>15</xdr:col>
      <xdr:colOff>352425</xdr:colOff>
      <xdr:row>5</xdr:row>
      <xdr:rowOff>352425</xdr:rowOff>
    </xdr:to>
    <xdr:sp macro="" textlink="">
      <xdr:nvSpPr>
        <xdr:cNvPr id="41536" name="tp15c11c23size18color16777215route"/>
        <xdr:cNvSpPr/>
      </xdr:nvSpPr>
      <xdr:spPr>
        <a:xfrm>
          <a:off x="79724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6</xdr:row>
      <xdr:rowOff>123825</xdr:rowOff>
    </xdr:from>
    <xdr:to>
      <xdr:col>15</xdr:col>
      <xdr:colOff>352425</xdr:colOff>
      <xdr:row>6</xdr:row>
      <xdr:rowOff>352425</xdr:rowOff>
    </xdr:to>
    <xdr:sp macro="" textlink="">
      <xdr:nvSpPr>
        <xdr:cNvPr id="41537" name="tp15c11c24size18color16777215route"/>
        <xdr:cNvSpPr/>
      </xdr:nvSpPr>
      <xdr:spPr>
        <a:xfrm>
          <a:off x="79724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7</xdr:row>
      <xdr:rowOff>123825</xdr:rowOff>
    </xdr:from>
    <xdr:to>
      <xdr:col>15</xdr:col>
      <xdr:colOff>352425</xdr:colOff>
      <xdr:row>7</xdr:row>
      <xdr:rowOff>352425</xdr:rowOff>
    </xdr:to>
    <xdr:sp macro="" textlink="">
      <xdr:nvSpPr>
        <xdr:cNvPr id="41538" name="tp15c11c25size18color16777215route"/>
        <xdr:cNvSpPr/>
      </xdr:nvSpPr>
      <xdr:spPr>
        <a:xfrm>
          <a:off x="79724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8</xdr:row>
      <xdr:rowOff>123825</xdr:rowOff>
    </xdr:from>
    <xdr:to>
      <xdr:col>15</xdr:col>
      <xdr:colOff>352425</xdr:colOff>
      <xdr:row>8</xdr:row>
      <xdr:rowOff>352425</xdr:rowOff>
    </xdr:to>
    <xdr:sp macro="" textlink="">
      <xdr:nvSpPr>
        <xdr:cNvPr id="41539" name="tp15c11c26size18color16777215route"/>
        <xdr:cNvSpPr/>
      </xdr:nvSpPr>
      <xdr:spPr>
        <a:xfrm>
          <a:off x="79724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9</xdr:row>
      <xdr:rowOff>123825</xdr:rowOff>
    </xdr:from>
    <xdr:to>
      <xdr:col>15</xdr:col>
      <xdr:colOff>352425</xdr:colOff>
      <xdr:row>9</xdr:row>
      <xdr:rowOff>352425</xdr:rowOff>
    </xdr:to>
    <xdr:sp macro="" textlink="">
      <xdr:nvSpPr>
        <xdr:cNvPr id="41540" name="tp15c11c27size18color16777215route"/>
        <xdr:cNvSpPr/>
      </xdr:nvSpPr>
      <xdr:spPr>
        <a:xfrm>
          <a:off x="79724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10</xdr:row>
      <xdr:rowOff>123825</xdr:rowOff>
    </xdr:from>
    <xdr:to>
      <xdr:col>15</xdr:col>
      <xdr:colOff>352425</xdr:colOff>
      <xdr:row>10</xdr:row>
      <xdr:rowOff>352425</xdr:rowOff>
    </xdr:to>
    <xdr:sp macro="" textlink="">
      <xdr:nvSpPr>
        <xdr:cNvPr id="41541" name="tp15c11c28size18color16777215route"/>
        <xdr:cNvSpPr/>
      </xdr:nvSpPr>
      <xdr:spPr>
        <a:xfrm>
          <a:off x="79724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13</xdr:row>
      <xdr:rowOff>123825</xdr:rowOff>
    </xdr:from>
    <xdr:to>
      <xdr:col>15</xdr:col>
      <xdr:colOff>352425</xdr:colOff>
      <xdr:row>13</xdr:row>
      <xdr:rowOff>352425</xdr:rowOff>
    </xdr:to>
    <xdr:sp macro="" textlink="">
      <xdr:nvSpPr>
        <xdr:cNvPr id="41542" name="tp15c12c21size18color16777215routecb"/>
        <xdr:cNvSpPr/>
      </xdr:nvSpPr>
      <xdr:spPr>
        <a:xfrm>
          <a:off x="797242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238125</xdr:colOff>
      <xdr:row>13</xdr:row>
      <xdr:rowOff>238125</xdr:rowOff>
    </xdr:from>
    <xdr:to>
      <xdr:col>15</xdr:col>
      <xdr:colOff>238125</xdr:colOff>
      <xdr:row>13</xdr:row>
      <xdr:rowOff>238125</xdr:rowOff>
    </xdr:to>
    <xdr:sp macro="" textlink="">
      <xdr:nvSpPr>
        <xdr:cNvPr id="41543" name="rteShptp15c12c21size18color16777215routecb"/>
        <xdr:cNvSpPr/>
      </xdr:nvSpPr>
      <xdr:spPr>
        <a:xfrm>
          <a:off x="80867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14</xdr:row>
      <xdr:rowOff>123825</xdr:rowOff>
    </xdr:from>
    <xdr:to>
      <xdr:col>15</xdr:col>
      <xdr:colOff>352425</xdr:colOff>
      <xdr:row>14</xdr:row>
      <xdr:rowOff>352425</xdr:rowOff>
    </xdr:to>
    <xdr:sp macro="" textlink="">
      <xdr:nvSpPr>
        <xdr:cNvPr id="41546" name="tp15c12c22size18color16777215route"/>
        <xdr:cNvSpPr/>
      </xdr:nvSpPr>
      <xdr:spPr>
        <a:xfrm>
          <a:off x="797242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15</xdr:row>
      <xdr:rowOff>123825</xdr:rowOff>
    </xdr:from>
    <xdr:to>
      <xdr:col>15</xdr:col>
      <xdr:colOff>352425</xdr:colOff>
      <xdr:row>15</xdr:row>
      <xdr:rowOff>352425</xdr:rowOff>
    </xdr:to>
    <xdr:sp macro="" textlink="">
      <xdr:nvSpPr>
        <xdr:cNvPr id="41547" name="tp15c12c23size18color16777215route"/>
        <xdr:cNvSpPr/>
      </xdr:nvSpPr>
      <xdr:spPr>
        <a:xfrm>
          <a:off x="797242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16</xdr:row>
      <xdr:rowOff>123825</xdr:rowOff>
    </xdr:from>
    <xdr:to>
      <xdr:col>15</xdr:col>
      <xdr:colOff>352425</xdr:colOff>
      <xdr:row>16</xdr:row>
      <xdr:rowOff>352425</xdr:rowOff>
    </xdr:to>
    <xdr:sp macro="" textlink="">
      <xdr:nvSpPr>
        <xdr:cNvPr id="41548" name="tp15c12c24size18color16777215route"/>
        <xdr:cNvSpPr/>
      </xdr:nvSpPr>
      <xdr:spPr>
        <a:xfrm>
          <a:off x="797242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17</xdr:row>
      <xdr:rowOff>123825</xdr:rowOff>
    </xdr:from>
    <xdr:to>
      <xdr:col>15</xdr:col>
      <xdr:colOff>352425</xdr:colOff>
      <xdr:row>17</xdr:row>
      <xdr:rowOff>352425</xdr:rowOff>
    </xdr:to>
    <xdr:sp macro="" textlink="">
      <xdr:nvSpPr>
        <xdr:cNvPr id="41549" name="tp15c12c25size18color16777215route"/>
        <xdr:cNvSpPr/>
      </xdr:nvSpPr>
      <xdr:spPr>
        <a:xfrm>
          <a:off x="797242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18</xdr:row>
      <xdr:rowOff>123825</xdr:rowOff>
    </xdr:from>
    <xdr:to>
      <xdr:col>15</xdr:col>
      <xdr:colOff>352425</xdr:colOff>
      <xdr:row>18</xdr:row>
      <xdr:rowOff>352425</xdr:rowOff>
    </xdr:to>
    <xdr:sp macro="" textlink="">
      <xdr:nvSpPr>
        <xdr:cNvPr id="41550" name="tp15c12c26size18color16777215routev"/>
        <xdr:cNvSpPr/>
      </xdr:nvSpPr>
      <xdr:spPr>
        <a:xfrm>
          <a:off x="797242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238125</xdr:colOff>
      <xdr:row>18</xdr:row>
      <xdr:rowOff>238125</xdr:rowOff>
    </xdr:from>
    <xdr:to>
      <xdr:col>15</xdr:col>
      <xdr:colOff>238125</xdr:colOff>
      <xdr:row>18</xdr:row>
      <xdr:rowOff>238125</xdr:rowOff>
    </xdr:to>
    <xdr:sp macro="" textlink="">
      <xdr:nvSpPr>
        <xdr:cNvPr id="41551" name="rteShptp15c12c26size18color16777215routev"/>
        <xdr:cNvSpPr/>
      </xdr:nvSpPr>
      <xdr:spPr>
        <a:xfrm>
          <a:off x="8086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19</xdr:row>
      <xdr:rowOff>123825</xdr:rowOff>
    </xdr:from>
    <xdr:to>
      <xdr:col>15</xdr:col>
      <xdr:colOff>352425</xdr:colOff>
      <xdr:row>19</xdr:row>
      <xdr:rowOff>352425</xdr:rowOff>
    </xdr:to>
    <xdr:sp macro="" textlink="">
      <xdr:nvSpPr>
        <xdr:cNvPr id="41553" name="tp15c12c27size18color16777215route"/>
        <xdr:cNvSpPr/>
      </xdr:nvSpPr>
      <xdr:spPr>
        <a:xfrm>
          <a:off x="797242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20</xdr:row>
      <xdr:rowOff>123825</xdr:rowOff>
    </xdr:from>
    <xdr:to>
      <xdr:col>15</xdr:col>
      <xdr:colOff>352425</xdr:colOff>
      <xdr:row>20</xdr:row>
      <xdr:rowOff>352425</xdr:rowOff>
    </xdr:to>
    <xdr:sp macro="" textlink="">
      <xdr:nvSpPr>
        <xdr:cNvPr id="41554" name="tp15c12c28size18color16777215route"/>
        <xdr:cNvSpPr/>
      </xdr:nvSpPr>
      <xdr:spPr>
        <a:xfrm>
          <a:off x="797242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23</xdr:row>
      <xdr:rowOff>123825</xdr:rowOff>
    </xdr:from>
    <xdr:to>
      <xdr:col>15</xdr:col>
      <xdr:colOff>352425</xdr:colOff>
      <xdr:row>23</xdr:row>
      <xdr:rowOff>352425</xdr:rowOff>
    </xdr:to>
    <xdr:sp macro="" textlink="">
      <xdr:nvSpPr>
        <xdr:cNvPr id="41555" name="tp15c13c21size18color16777215routevcb"/>
        <xdr:cNvSpPr/>
      </xdr:nvSpPr>
      <xdr:spPr>
        <a:xfrm>
          <a:off x="797242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238125</xdr:colOff>
      <xdr:row>23</xdr:row>
      <xdr:rowOff>238125</xdr:rowOff>
    </xdr:from>
    <xdr:to>
      <xdr:col>15</xdr:col>
      <xdr:colOff>238125</xdr:colOff>
      <xdr:row>23</xdr:row>
      <xdr:rowOff>238125</xdr:rowOff>
    </xdr:to>
    <xdr:sp macro="" textlink="">
      <xdr:nvSpPr>
        <xdr:cNvPr id="41556" name="rteShptp15c13c21size18color16777215routevcb"/>
        <xdr:cNvSpPr/>
      </xdr:nvSpPr>
      <xdr:spPr>
        <a:xfrm>
          <a:off x="80867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24</xdr:row>
      <xdr:rowOff>123825</xdr:rowOff>
    </xdr:from>
    <xdr:to>
      <xdr:col>15</xdr:col>
      <xdr:colOff>352425</xdr:colOff>
      <xdr:row>24</xdr:row>
      <xdr:rowOff>352425</xdr:rowOff>
    </xdr:to>
    <xdr:sp macro="" textlink="">
      <xdr:nvSpPr>
        <xdr:cNvPr id="41560" name="tp15c13c22size18color16777215route"/>
        <xdr:cNvSpPr/>
      </xdr:nvSpPr>
      <xdr:spPr>
        <a:xfrm>
          <a:off x="797242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25</xdr:row>
      <xdr:rowOff>123825</xdr:rowOff>
    </xdr:from>
    <xdr:to>
      <xdr:col>15</xdr:col>
      <xdr:colOff>352425</xdr:colOff>
      <xdr:row>25</xdr:row>
      <xdr:rowOff>352425</xdr:rowOff>
    </xdr:to>
    <xdr:sp macro="" textlink="">
      <xdr:nvSpPr>
        <xdr:cNvPr id="41561" name="tp15c13c23size18color16777215route"/>
        <xdr:cNvSpPr/>
      </xdr:nvSpPr>
      <xdr:spPr>
        <a:xfrm>
          <a:off x="797242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26</xdr:row>
      <xdr:rowOff>123825</xdr:rowOff>
    </xdr:from>
    <xdr:to>
      <xdr:col>15</xdr:col>
      <xdr:colOff>352425</xdr:colOff>
      <xdr:row>26</xdr:row>
      <xdr:rowOff>352425</xdr:rowOff>
    </xdr:to>
    <xdr:sp macro="" textlink="">
      <xdr:nvSpPr>
        <xdr:cNvPr id="41562" name="tp15c13c24size18color16777215route"/>
        <xdr:cNvSpPr/>
      </xdr:nvSpPr>
      <xdr:spPr>
        <a:xfrm>
          <a:off x="797242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27</xdr:row>
      <xdr:rowOff>123825</xdr:rowOff>
    </xdr:from>
    <xdr:to>
      <xdr:col>15</xdr:col>
      <xdr:colOff>352425</xdr:colOff>
      <xdr:row>27</xdr:row>
      <xdr:rowOff>352425</xdr:rowOff>
    </xdr:to>
    <xdr:sp macro="" textlink="">
      <xdr:nvSpPr>
        <xdr:cNvPr id="41563" name="tp15c13c25size18color16777215route"/>
        <xdr:cNvSpPr/>
      </xdr:nvSpPr>
      <xdr:spPr>
        <a:xfrm>
          <a:off x="797242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28</xdr:row>
      <xdr:rowOff>123825</xdr:rowOff>
    </xdr:from>
    <xdr:to>
      <xdr:col>15</xdr:col>
      <xdr:colOff>352425</xdr:colOff>
      <xdr:row>28</xdr:row>
      <xdr:rowOff>352425</xdr:rowOff>
    </xdr:to>
    <xdr:sp macro="" textlink="">
      <xdr:nvSpPr>
        <xdr:cNvPr id="41564" name="tp15c13c26size18color16777215route"/>
        <xdr:cNvSpPr/>
      </xdr:nvSpPr>
      <xdr:spPr>
        <a:xfrm>
          <a:off x="797242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29</xdr:row>
      <xdr:rowOff>123825</xdr:rowOff>
    </xdr:from>
    <xdr:to>
      <xdr:col>15</xdr:col>
      <xdr:colOff>352425</xdr:colOff>
      <xdr:row>29</xdr:row>
      <xdr:rowOff>352425</xdr:rowOff>
    </xdr:to>
    <xdr:sp macro="" textlink="">
      <xdr:nvSpPr>
        <xdr:cNvPr id="41565" name="tp15c13c27size18color16777215route"/>
        <xdr:cNvSpPr/>
      </xdr:nvSpPr>
      <xdr:spPr>
        <a:xfrm>
          <a:off x="797242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123825</xdr:colOff>
      <xdr:row>30</xdr:row>
      <xdr:rowOff>123825</xdr:rowOff>
    </xdr:from>
    <xdr:to>
      <xdr:col>15</xdr:col>
      <xdr:colOff>352425</xdr:colOff>
      <xdr:row>30</xdr:row>
      <xdr:rowOff>352425</xdr:rowOff>
    </xdr:to>
    <xdr:sp macro="" textlink="">
      <xdr:nvSpPr>
        <xdr:cNvPr id="41566" name="tp15c13c28size18color16777215route"/>
        <xdr:cNvSpPr/>
      </xdr:nvSpPr>
      <xdr:spPr>
        <a:xfrm>
          <a:off x="797242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174625</xdr:colOff>
      <xdr:row>3</xdr:row>
      <xdr:rowOff>174625</xdr:rowOff>
    </xdr:from>
    <xdr:to>
      <xdr:col>16</xdr:col>
      <xdr:colOff>301625</xdr:colOff>
      <xdr:row>3</xdr:row>
      <xdr:rowOff>301625</xdr:rowOff>
    </xdr:to>
    <xdr:sp macro="" textlink="">
      <xdr:nvSpPr>
        <xdr:cNvPr id="41567" name="tp16c11c21size10color255routecb"/>
        <xdr:cNvSpPr/>
      </xdr:nvSpPr>
      <xdr:spPr>
        <a:xfrm>
          <a:off x="8499475" y="2746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238125</xdr:colOff>
      <xdr:row>3</xdr:row>
      <xdr:rowOff>238125</xdr:rowOff>
    </xdr:from>
    <xdr:to>
      <xdr:col>16</xdr:col>
      <xdr:colOff>238125</xdr:colOff>
      <xdr:row>3</xdr:row>
      <xdr:rowOff>238125</xdr:rowOff>
    </xdr:to>
    <xdr:sp macro="" textlink="">
      <xdr:nvSpPr>
        <xdr:cNvPr id="41568" name="rteShptp16c11c21size10color255routecb"/>
        <xdr:cNvSpPr/>
      </xdr:nvSpPr>
      <xdr:spPr>
        <a:xfrm>
          <a:off x="85629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4</xdr:row>
      <xdr:rowOff>123825</xdr:rowOff>
    </xdr:from>
    <xdr:to>
      <xdr:col>16</xdr:col>
      <xdr:colOff>352425</xdr:colOff>
      <xdr:row>4</xdr:row>
      <xdr:rowOff>352425</xdr:rowOff>
    </xdr:to>
    <xdr:sp macro="" textlink="">
      <xdr:nvSpPr>
        <xdr:cNvPr id="41571" name="tp16c11c22size18color255routev"/>
        <xdr:cNvSpPr/>
      </xdr:nvSpPr>
      <xdr:spPr>
        <a:xfrm>
          <a:off x="8448675" y="31718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238125</xdr:colOff>
      <xdr:row>4</xdr:row>
      <xdr:rowOff>238125</xdr:rowOff>
    </xdr:from>
    <xdr:to>
      <xdr:col>16</xdr:col>
      <xdr:colOff>238125</xdr:colOff>
      <xdr:row>4</xdr:row>
      <xdr:rowOff>238125</xdr:rowOff>
    </xdr:to>
    <xdr:sp macro="" textlink="">
      <xdr:nvSpPr>
        <xdr:cNvPr id="41572" name="rteShptp16c11c22size18color255routev"/>
        <xdr:cNvSpPr/>
      </xdr:nvSpPr>
      <xdr:spPr>
        <a:xfrm>
          <a:off x="856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13</xdr:row>
      <xdr:rowOff>123825</xdr:rowOff>
    </xdr:from>
    <xdr:to>
      <xdr:col>16</xdr:col>
      <xdr:colOff>352425</xdr:colOff>
      <xdr:row>13</xdr:row>
      <xdr:rowOff>352425</xdr:rowOff>
    </xdr:to>
    <xdr:sp macro="" textlink="">
      <xdr:nvSpPr>
        <xdr:cNvPr id="41574" name="tp16c12c21size18color16777215routecb"/>
        <xdr:cNvSpPr/>
      </xdr:nvSpPr>
      <xdr:spPr>
        <a:xfrm>
          <a:off x="844867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238125</xdr:colOff>
      <xdr:row>13</xdr:row>
      <xdr:rowOff>238125</xdr:rowOff>
    </xdr:from>
    <xdr:to>
      <xdr:col>16</xdr:col>
      <xdr:colOff>238125</xdr:colOff>
      <xdr:row>13</xdr:row>
      <xdr:rowOff>238125</xdr:rowOff>
    </xdr:to>
    <xdr:sp macro="" textlink="">
      <xdr:nvSpPr>
        <xdr:cNvPr id="41575" name="rteShptp16c12c21size18color16777215routecb"/>
        <xdr:cNvSpPr/>
      </xdr:nvSpPr>
      <xdr:spPr>
        <a:xfrm>
          <a:off x="85629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14</xdr:row>
      <xdr:rowOff>123825</xdr:rowOff>
    </xdr:from>
    <xdr:to>
      <xdr:col>16</xdr:col>
      <xdr:colOff>352425</xdr:colOff>
      <xdr:row>14</xdr:row>
      <xdr:rowOff>352425</xdr:rowOff>
    </xdr:to>
    <xdr:sp macro="" textlink="">
      <xdr:nvSpPr>
        <xdr:cNvPr id="41578" name="tp16c12c22size18color16777215route"/>
        <xdr:cNvSpPr/>
      </xdr:nvSpPr>
      <xdr:spPr>
        <a:xfrm>
          <a:off x="84486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15</xdr:row>
      <xdr:rowOff>123825</xdr:rowOff>
    </xdr:from>
    <xdr:to>
      <xdr:col>16</xdr:col>
      <xdr:colOff>352425</xdr:colOff>
      <xdr:row>15</xdr:row>
      <xdr:rowOff>352425</xdr:rowOff>
    </xdr:to>
    <xdr:sp macro="" textlink="">
      <xdr:nvSpPr>
        <xdr:cNvPr id="41579" name="tp16c12c23size18color16777215route"/>
        <xdr:cNvSpPr/>
      </xdr:nvSpPr>
      <xdr:spPr>
        <a:xfrm>
          <a:off x="844867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16</xdr:row>
      <xdr:rowOff>123825</xdr:rowOff>
    </xdr:from>
    <xdr:to>
      <xdr:col>16</xdr:col>
      <xdr:colOff>352425</xdr:colOff>
      <xdr:row>16</xdr:row>
      <xdr:rowOff>352425</xdr:rowOff>
    </xdr:to>
    <xdr:sp macro="" textlink="">
      <xdr:nvSpPr>
        <xdr:cNvPr id="41580" name="tp16c12c24size18color16777215route"/>
        <xdr:cNvSpPr/>
      </xdr:nvSpPr>
      <xdr:spPr>
        <a:xfrm>
          <a:off x="844867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17</xdr:row>
      <xdr:rowOff>123825</xdr:rowOff>
    </xdr:from>
    <xdr:to>
      <xdr:col>16</xdr:col>
      <xdr:colOff>352425</xdr:colOff>
      <xdr:row>17</xdr:row>
      <xdr:rowOff>352425</xdr:rowOff>
    </xdr:to>
    <xdr:sp macro="" textlink="">
      <xdr:nvSpPr>
        <xdr:cNvPr id="41581" name="tp16c12c25size18color16777215route"/>
        <xdr:cNvSpPr/>
      </xdr:nvSpPr>
      <xdr:spPr>
        <a:xfrm>
          <a:off x="844867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18</xdr:row>
      <xdr:rowOff>123825</xdr:rowOff>
    </xdr:from>
    <xdr:to>
      <xdr:col>16</xdr:col>
      <xdr:colOff>352425</xdr:colOff>
      <xdr:row>18</xdr:row>
      <xdr:rowOff>352425</xdr:rowOff>
    </xdr:to>
    <xdr:sp macro="" textlink="">
      <xdr:nvSpPr>
        <xdr:cNvPr id="41582" name="tp16c12c26size18color16777215routev"/>
        <xdr:cNvSpPr/>
      </xdr:nvSpPr>
      <xdr:spPr>
        <a:xfrm>
          <a:off x="844867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238125</xdr:colOff>
      <xdr:row>18</xdr:row>
      <xdr:rowOff>238125</xdr:rowOff>
    </xdr:from>
    <xdr:to>
      <xdr:col>16</xdr:col>
      <xdr:colOff>238125</xdr:colOff>
      <xdr:row>18</xdr:row>
      <xdr:rowOff>238125</xdr:rowOff>
    </xdr:to>
    <xdr:sp macro="" textlink="">
      <xdr:nvSpPr>
        <xdr:cNvPr id="41583" name="rteShptp16c12c26size18color16777215routev"/>
        <xdr:cNvSpPr/>
      </xdr:nvSpPr>
      <xdr:spPr>
        <a:xfrm>
          <a:off x="8562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19</xdr:row>
      <xdr:rowOff>123825</xdr:rowOff>
    </xdr:from>
    <xdr:to>
      <xdr:col>16</xdr:col>
      <xdr:colOff>352425</xdr:colOff>
      <xdr:row>19</xdr:row>
      <xdr:rowOff>352425</xdr:rowOff>
    </xdr:to>
    <xdr:sp macro="" textlink="">
      <xdr:nvSpPr>
        <xdr:cNvPr id="41585" name="tp16c12c27size18color16777215route"/>
        <xdr:cNvSpPr/>
      </xdr:nvSpPr>
      <xdr:spPr>
        <a:xfrm>
          <a:off x="844867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20</xdr:row>
      <xdr:rowOff>123825</xdr:rowOff>
    </xdr:from>
    <xdr:to>
      <xdr:col>16</xdr:col>
      <xdr:colOff>352425</xdr:colOff>
      <xdr:row>20</xdr:row>
      <xdr:rowOff>352425</xdr:rowOff>
    </xdr:to>
    <xdr:sp macro="" textlink="">
      <xdr:nvSpPr>
        <xdr:cNvPr id="41586" name="tp16c12c28size18color16777215route"/>
        <xdr:cNvSpPr/>
      </xdr:nvSpPr>
      <xdr:spPr>
        <a:xfrm>
          <a:off x="844867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23</xdr:row>
      <xdr:rowOff>123825</xdr:rowOff>
    </xdr:from>
    <xdr:to>
      <xdr:col>16</xdr:col>
      <xdr:colOff>352425</xdr:colOff>
      <xdr:row>23</xdr:row>
      <xdr:rowOff>352425</xdr:rowOff>
    </xdr:to>
    <xdr:sp macro="" textlink="">
      <xdr:nvSpPr>
        <xdr:cNvPr id="41587" name="tp16c13c21size18color16777215routevcb"/>
        <xdr:cNvSpPr/>
      </xdr:nvSpPr>
      <xdr:spPr>
        <a:xfrm>
          <a:off x="84486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238125</xdr:colOff>
      <xdr:row>23</xdr:row>
      <xdr:rowOff>238125</xdr:rowOff>
    </xdr:from>
    <xdr:to>
      <xdr:col>16</xdr:col>
      <xdr:colOff>238125</xdr:colOff>
      <xdr:row>23</xdr:row>
      <xdr:rowOff>238125</xdr:rowOff>
    </xdr:to>
    <xdr:sp macro="" textlink="">
      <xdr:nvSpPr>
        <xdr:cNvPr id="41588" name="rteShptp16c13c21size18color16777215routevcb"/>
        <xdr:cNvSpPr/>
      </xdr:nvSpPr>
      <xdr:spPr>
        <a:xfrm>
          <a:off x="85629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24</xdr:row>
      <xdr:rowOff>123825</xdr:rowOff>
    </xdr:from>
    <xdr:to>
      <xdr:col>16</xdr:col>
      <xdr:colOff>352425</xdr:colOff>
      <xdr:row>24</xdr:row>
      <xdr:rowOff>352425</xdr:rowOff>
    </xdr:to>
    <xdr:sp macro="" textlink="">
      <xdr:nvSpPr>
        <xdr:cNvPr id="41592" name="tp16c13c22size18color16777215route"/>
        <xdr:cNvSpPr/>
      </xdr:nvSpPr>
      <xdr:spPr>
        <a:xfrm>
          <a:off x="844867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25</xdr:row>
      <xdr:rowOff>123825</xdr:rowOff>
    </xdr:from>
    <xdr:to>
      <xdr:col>16</xdr:col>
      <xdr:colOff>352425</xdr:colOff>
      <xdr:row>25</xdr:row>
      <xdr:rowOff>352425</xdr:rowOff>
    </xdr:to>
    <xdr:sp macro="" textlink="">
      <xdr:nvSpPr>
        <xdr:cNvPr id="41593" name="tp16c13c23size18color16777215route"/>
        <xdr:cNvSpPr/>
      </xdr:nvSpPr>
      <xdr:spPr>
        <a:xfrm>
          <a:off x="844867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26</xdr:row>
      <xdr:rowOff>123825</xdr:rowOff>
    </xdr:from>
    <xdr:to>
      <xdr:col>16</xdr:col>
      <xdr:colOff>352425</xdr:colOff>
      <xdr:row>26</xdr:row>
      <xdr:rowOff>352425</xdr:rowOff>
    </xdr:to>
    <xdr:sp macro="" textlink="">
      <xdr:nvSpPr>
        <xdr:cNvPr id="41594" name="tp16c13c24size18color16777215route"/>
        <xdr:cNvSpPr/>
      </xdr:nvSpPr>
      <xdr:spPr>
        <a:xfrm>
          <a:off x="844867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27</xdr:row>
      <xdr:rowOff>123825</xdr:rowOff>
    </xdr:from>
    <xdr:to>
      <xdr:col>16</xdr:col>
      <xdr:colOff>352425</xdr:colOff>
      <xdr:row>27</xdr:row>
      <xdr:rowOff>352425</xdr:rowOff>
    </xdr:to>
    <xdr:sp macro="" textlink="">
      <xdr:nvSpPr>
        <xdr:cNvPr id="41595" name="tp16c13c25size18color16777215route"/>
        <xdr:cNvSpPr/>
      </xdr:nvSpPr>
      <xdr:spPr>
        <a:xfrm>
          <a:off x="844867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28</xdr:row>
      <xdr:rowOff>123825</xdr:rowOff>
    </xdr:from>
    <xdr:to>
      <xdr:col>16</xdr:col>
      <xdr:colOff>352425</xdr:colOff>
      <xdr:row>28</xdr:row>
      <xdr:rowOff>352425</xdr:rowOff>
    </xdr:to>
    <xdr:sp macro="" textlink="">
      <xdr:nvSpPr>
        <xdr:cNvPr id="41596" name="tp16c13c26size18color16777215route"/>
        <xdr:cNvSpPr/>
      </xdr:nvSpPr>
      <xdr:spPr>
        <a:xfrm>
          <a:off x="84486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29</xdr:row>
      <xdr:rowOff>123825</xdr:rowOff>
    </xdr:from>
    <xdr:to>
      <xdr:col>16</xdr:col>
      <xdr:colOff>352425</xdr:colOff>
      <xdr:row>29</xdr:row>
      <xdr:rowOff>352425</xdr:rowOff>
    </xdr:to>
    <xdr:sp macro="" textlink="">
      <xdr:nvSpPr>
        <xdr:cNvPr id="41597" name="tp16c13c27size18color16777215route"/>
        <xdr:cNvSpPr/>
      </xdr:nvSpPr>
      <xdr:spPr>
        <a:xfrm>
          <a:off x="844867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123825</xdr:colOff>
      <xdr:row>30</xdr:row>
      <xdr:rowOff>123825</xdr:rowOff>
    </xdr:from>
    <xdr:to>
      <xdr:col>16</xdr:col>
      <xdr:colOff>352425</xdr:colOff>
      <xdr:row>30</xdr:row>
      <xdr:rowOff>352425</xdr:rowOff>
    </xdr:to>
    <xdr:sp macro="" textlink="">
      <xdr:nvSpPr>
        <xdr:cNvPr id="41598" name="tp16c13c28size18color16777215route"/>
        <xdr:cNvSpPr/>
      </xdr:nvSpPr>
      <xdr:spPr>
        <a:xfrm>
          <a:off x="844867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123825</xdr:colOff>
      <xdr:row>3</xdr:row>
      <xdr:rowOff>123825</xdr:rowOff>
    </xdr:from>
    <xdr:to>
      <xdr:col>17</xdr:col>
      <xdr:colOff>352425</xdr:colOff>
      <xdr:row>3</xdr:row>
      <xdr:rowOff>352425</xdr:rowOff>
    </xdr:to>
    <xdr:sp macro="" textlink="">
      <xdr:nvSpPr>
        <xdr:cNvPr id="41599" name="tp17c11c21size18color65535routevcb"/>
        <xdr:cNvSpPr/>
      </xdr:nvSpPr>
      <xdr:spPr>
        <a:xfrm>
          <a:off x="8924925" y="26955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238125</xdr:colOff>
      <xdr:row>3</xdr:row>
      <xdr:rowOff>238125</xdr:rowOff>
    </xdr:from>
    <xdr:to>
      <xdr:col>17</xdr:col>
      <xdr:colOff>238125</xdr:colOff>
      <xdr:row>3</xdr:row>
      <xdr:rowOff>238125</xdr:rowOff>
    </xdr:to>
    <xdr:sp macro="" textlink="">
      <xdr:nvSpPr>
        <xdr:cNvPr id="41600" name="rteShptp17c11c21size18color65535routevcb"/>
        <xdr:cNvSpPr/>
      </xdr:nvSpPr>
      <xdr:spPr>
        <a:xfrm>
          <a:off x="90392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174625</xdr:colOff>
      <xdr:row>6</xdr:row>
      <xdr:rowOff>174625</xdr:rowOff>
    </xdr:from>
    <xdr:to>
      <xdr:col>17</xdr:col>
      <xdr:colOff>301625</xdr:colOff>
      <xdr:row>6</xdr:row>
      <xdr:rowOff>301625</xdr:rowOff>
    </xdr:to>
    <xdr:sp macro="" textlink="">
      <xdr:nvSpPr>
        <xdr:cNvPr id="41604" name="tp17c11c24size10color255route"/>
        <xdr:cNvSpPr/>
      </xdr:nvSpPr>
      <xdr:spPr>
        <a:xfrm>
          <a:off x="8975725" y="417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238125</xdr:colOff>
      <xdr:row>13</xdr:row>
      <xdr:rowOff>238125</xdr:rowOff>
    </xdr:from>
    <xdr:to>
      <xdr:col>17</xdr:col>
      <xdr:colOff>238125</xdr:colOff>
      <xdr:row>13</xdr:row>
      <xdr:rowOff>238125</xdr:rowOff>
    </xdr:to>
    <xdr:sp macro="" textlink="">
      <xdr:nvSpPr>
        <xdr:cNvPr id="41605" name="rteShptp17c12c21size0color0routecb"/>
        <xdr:cNvSpPr/>
      </xdr:nvSpPr>
      <xdr:spPr>
        <a:xfrm>
          <a:off x="90392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73025</xdr:colOff>
      <xdr:row>18</xdr:row>
      <xdr:rowOff>73025</xdr:rowOff>
    </xdr:from>
    <xdr:to>
      <xdr:col>17</xdr:col>
      <xdr:colOff>403225</xdr:colOff>
      <xdr:row>18</xdr:row>
      <xdr:rowOff>403225</xdr:rowOff>
    </xdr:to>
    <xdr:sp macro="" textlink="">
      <xdr:nvSpPr>
        <xdr:cNvPr id="41608" name="tp17c12c26size26color65280routev"/>
        <xdr:cNvSpPr/>
      </xdr:nvSpPr>
      <xdr:spPr>
        <a:xfrm>
          <a:off x="887412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238125</xdr:colOff>
      <xdr:row>18</xdr:row>
      <xdr:rowOff>238125</xdr:rowOff>
    </xdr:from>
    <xdr:to>
      <xdr:col>17</xdr:col>
      <xdr:colOff>238125</xdr:colOff>
      <xdr:row>18</xdr:row>
      <xdr:rowOff>238125</xdr:rowOff>
    </xdr:to>
    <xdr:sp macro="" textlink="">
      <xdr:nvSpPr>
        <xdr:cNvPr id="41609" name="rteShptp17c12c26size26color65280routev"/>
        <xdr:cNvSpPr/>
      </xdr:nvSpPr>
      <xdr:spPr>
        <a:xfrm>
          <a:off x="9039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123825</xdr:colOff>
      <xdr:row>23</xdr:row>
      <xdr:rowOff>123825</xdr:rowOff>
    </xdr:from>
    <xdr:to>
      <xdr:col>17</xdr:col>
      <xdr:colOff>352425</xdr:colOff>
      <xdr:row>23</xdr:row>
      <xdr:rowOff>352425</xdr:rowOff>
    </xdr:to>
    <xdr:sp macro="" textlink="">
      <xdr:nvSpPr>
        <xdr:cNvPr id="41611" name="tp17c13c21size18color65535routevcb"/>
        <xdr:cNvSpPr/>
      </xdr:nvSpPr>
      <xdr:spPr>
        <a:xfrm>
          <a:off x="8924925" y="122205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238125</xdr:colOff>
      <xdr:row>23</xdr:row>
      <xdr:rowOff>238125</xdr:rowOff>
    </xdr:from>
    <xdr:to>
      <xdr:col>17</xdr:col>
      <xdr:colOff>238125</xdr:colOff>
      <xdr:row>23</xdr:row>
      <xdr:rowOff>238125</xdr:rowOff>
    </xdr:to>
    <xdr:sp macro="" textlink="">
      <xdr:nvSpPr>
        <xdr:cNvPr id="41612" name="rteShptp17c13c21size18color65535routevcb"/>
        <xdr:cNvSpPr/>
      </xdr:nvSpPr>
      <xdr:spPr>
        <a:xfrm>
          <a:off x="90392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174625</xdr:colOff>
      <xdr:row>26</xdr:row>
      <xdr:rowOff>174625</xdr:rowOff>
    </xdr:from>
    <xdr:to>
      <xdr:col>17</xdr:col>
      <xdr:colOff>301625</xdr:colOff>
      <xdr:row>26</xdr:row>
      <xdr:rowOff>301625</xdr:rowOff>
    </xdr:to>
    <xdr:sp macro="" textlink="">
      <xdr:nvSpPr>
        <xdr:cNvPr id="41616" name="tp17c13c24size10color255route"/>
        <xdr:cNvSpPr/>
      </xdr:nvSpPr>
      <xdr:spPr>
        <a:xfrm>
          <a:off x="8975725" y="13700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238125</xdr:colOff>
      <xdr:row>3</xdr:row>
      <xdr:rowOff>238125</xdr:rowOff>
    </xdr:from>
    <xdr:to>
      <xdr:col>18</xdr:col>
      <xdr:colOff>238125</xdr:colOff>
      <xdr:row>3</xdr:row>
      <xdr:rowOff>238125</xdr:rowOff>
    </xdr:to>
    <xdr:sp macro="" textlink="">
      <xdr:nvSpPr>
        <xdr:cNvPr id="41617" name="rteShptp18c11c21size0color0routecb"/>
        <xdr:cNvSpPr/>
      </xdr:nvSpPr>
      <xdr:spPr>
        <a:xfrm>
          <a:off x="95154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5</xdr:row>
      <xdr:rowOff>123825</xdr:rowOff>
    </xdr:from>
    <xdr:to>
      <xdr:col>18</xdr:col>
      <xdr:colOff>352425</xdr:colOff>
      <xdr:row>5</xdr:row>
      <xdr:rowOff>352425</xdr:rowOff>
    </xdr:to>
    <xdr:sp macro="" textlink="">
      <xdr:nvSpPr>
        <xdr:cNvPr id="41620" name="tp18c11c23size18color255routev"/>
        <xdr:cNvSpPr/>
      </xdr:nvSpPr>
      <xdr:spPr>
        <a:xfrm>
          <a:off x="9401175" y="364807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238125</xdr:colOff>
      <xdr:row>5</xdr:row>
      <xdr:rowOff>238125</xdr:rowOff>
    </xdr:from>
    <xdr:to>
      <xdr:col>18</xdr:col>
      <xdr:colOff>238125</xdr:colOff>
      <xdr:row>5</xdr:row>
      <xdr:rowOff>238125</xdr:rowOff>
    </xdr:to>
    <xdr:sp macro="" textlink="">
      <xdr:nvSpPr>
        <xdr:cNvPr id="41621" name="rteShptp18c11c23size18color255routev"/>
        <xdr:cNvSpPr/>
      </xdr:nvSpPr>
      <xdr:spPr>
        <a:xfrm>
          <a:off x="95154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238125</xdr:colOff>
      <xdr:row>13</xdr:row>
      <xdr:rowOff>238125</xdr:rowOff>
    </xdr:from>
    <xdr:to>
      <xdr:col>18</xdr:col>
      <xdr:colOff>238125</xdr:colOff>
      <xdr:row>13</xdr:row>
      <xdr:rowOff>238125</xdr:rowOff>
    </xdr:to>
    <xdr:sp macro="" textlink="">
      <xdr:nvSpPr>
        <xdr:cNvPr id="41623" name="rteShptp18c12c21size0color0routecb"/>
        <xdr:cNvSpPr/>
      </xdr:nvSpPr>
      <xdr:spPr>
        <a:xfrm>
          <a:off x="95154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73025</xdr:colOff>
      <xdr:row>18</xdr:row>
      <xdr:rowOff>73025</xdr:rowOff>
    </xdr:from>
    <xdr:to>
      <xdr:col>18</xdr:col>
      <xdr:colOff>403225</xdr:colOff>
      <xdr:row>18</xdr:row>
      <xdr:rowOff>403225</xdr:rowOff>
    </xdr:to>
    <xdr:sp macro="" textlink="">
      <xdr:nvSpPr>
        <xdr:cNvPr id="41626" name="tp18c12c26size26color65535routev"/>
        <xdr:cNvSpPr/>
      </xdr:nvSpPr>
      <xdr:spPr>
        <a:xfrm>
          <a:off x="935037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238125</xdr:colOff>
      <xdr:row>18</xdr:row>
      <xdr:rowOff>238125</xdr:rowOff>
    </xdr:from>
    <xdr:to>
      <xdr:col>18</xdr:col>
      <xdr:colOff>238125</xdr:colOff>
      <xdr:row>18</xdr:row>
      <xdr:rowOff>238125</xdr:rowOff>
    </xdr:to>
    <xdr:sp macro="" textlink="">
      <xdr:nvSpPr>
        <xdr:cNvPr id="41627" name="rteShptp18c12c26size26color65535routev"/>
        <xdr:cNvSpPr/>
      </xdr:nvSpPr>
      <xdr:spPr>
        <a:xfrm>
          <a:off x="9515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238125</xdr:colOff>
      <xdr:row>23</xdr:row>
      <xdr:rowOff>238125</xdr:rowOff>
    </xdr:from>
    <xdr:to>
      <xdr:col>18</xdr:col>
      <xdr:colOff>238125</xdr:colOff>
      <xdr:row>23</xdr:row>
      <xdr:rowOff>238125</xdr:rowOff>
    </xdr:to>
    <xdr:sp macro="" textlink="">
      <xdr:nvSpPr>
        <xdr:cNvPr id="41629" name="rteShptp18c13c21size0color0routecb"/>
        <xdr:cNvSpPr/>
      </xdr:nvSpPr>
      <xdr:spPr>
        <a:xfrm>
          <a:off x="95154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25</xdr:row>
      <xdr:rowOff>123825</xdr:rowOff>
    </xdr:from>
    <xdr:to>
      <xdr:col>18</xdr:col>
      <xdr:colOff>352425</xdr:colOff>
      <xdr:row>25</xdr:row>
      <xdr:rowOff>352425</xdr:rowOff>
    </xdr:to>
    <xdr:sp macro="" textlink="">
      <xdr:nvSpPr>
        <xdr:cNvPr id="41632" name="tp18c13c23size18color65535routev"/>
        <xdr:cNvSpPr/>
      </xdr:nvSpPr>
      <xdr:spPr>
        <a:xfrm>
          <a:off x="9401175" y="131730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238125</xdr:colOff>
      <xdr:row>25</xdr:row>
      <xdr:rowOff>238125</xdr:rowOff>
    </xdr:from>
    <xdr:to>
      <xdr:col>18</xdr:col>
      <xdr:colOff>238125</xdr:colOff>
      <xdr:row>25</xdr:row>
      <xdr:rowOff>238125</xdr:rowOff>
    </xdr:to>
    <xdr:sp macro="" textlink="">
      <xdr:nvSpPr>
        <xdr:cNvPr id="41633" name="rteShptp18c13c23size18color65535routev"/>
        <xdr:cNvSpPr/>
      </xdr:nvSpPr>
      <xdr:spPr>
        <a:xfrm>
          <a:off x="9515475" y="1328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123825</xdr:colOff>
      <xdr:row>3</xdr:row>
      <xdr:rowOff>123825</xdr:rowOff>
    </xdr:from>
    <xdr:to>
      <xdr:col>19</xdr:col>
      <xdr:colOff>352425</xdr:colOff>
      <xdr:row>3</xdr:row>
      <xdr:rowOff>352425</xdr:rowOff>
    </xdr:to>
    <xdr:sp macro="" textlink="">
      <xdr:nvSpPr>
        <xdr:cNvPr id="41635" name="tp19c11c21size18color255routecb"/>
        <xdr:cNvSpPr/>
      </xdr:nvSpPr>
      <xdr:spPr>
        <a:xfrm>
          <a:off x="9877425" y="269557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238125</xdr:colOff>
      <xdr:row>3</xdr:row>
      <xdr:rowOff>238125</xdr:rowOff>
    </xdr:from>
    <xdr:to>
      <xdr:col>19</xdr:col>
      <xdr:colOff>238125</xdr:colOff>
      <xdr:row>3</xdr:row>
      <xdr:rowOff>238125</xdr:rowOff>
    </xdr:to>
    <xdr:sp macro="" textlink="">
      <xdr:nvSpPr>
        <xdr:cNvPr id="41636" name="rteShptp19c11c21size18color255routecb"/>
        <xdr:cNvSpPr/>
      </xdr:nvSpPr>
      <xdr:spPr>
        <a:xfrm>
          <a:off x="99917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73025</xdr:colOff>
      <xdr:row>4</xdr:row>
      <xdr:rowOff>73025</xdr:rowOff>
    </xdr:from>
    <xdr:to>
      <xdr:col>19</xdr:col>
      <xdr:colOff>403225</xdr:colOff>
      <xdr:row>4</xdr:row>
      <xdr:rowOff>403225</xdr:rowOff>
    </xdr:to>
    <xdr:sp macro="" textlink="">
      <xdr:nvSpPr>
        <xdr:cNvPr id="41639" name="tp19c11c22size26color255routev"/>
        <xdr:cNvSpPr/>
      </xdr:nvSpPr>
      <xdr:spPr>
        <a:xfrm>
          <a:off x="982662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238125</xdr:colOff>
      <xdr:row>4</xdr:row>
      <xdr:rowOff>238125</xdr:rowOff>
    </xdr:from>
    <xdr:to>
      <xdr:col>19</xdr:col>
      <xdr:colOff>238125</xdr:colOff>
      <xdr:row>4</xdr:row>
      <xdr:rowOff>238125</xdr:rowOff>
    </xdr:to>
    <xdr:sp macro="" textlink="">
      <xdr:nvSpPr>
        <xdr:cNvPr id="41640" name="rteShptp19c11c22size26color255routev"/>
        <xdr:cNvSpPr/>
      </xdr:nvSpPr>
      <xdr:spPr>
        <a:xfrm>
          <a:off x="9991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238125</xdr:colOff>
      <xdr:row>13</xdr:row>
      <xdr:rowOff>238125</xdr:rowOff>
    </xdr:from>
    <xdr:to>
      <xdr:col>19</xdr:col>
      <xdr:colOff>238125</xdr:colOff>
      <xdr:row>13</xdr:row>
      <xdr:rowOff>238125</xdr:rowOff>
    </xdr:to>
    <xdr:sp macro="" textlink="">
      <xdr:nvSpPr>
        <xdr:cNvPr id="41642" name="rteShptp19c12c21size0color0routecb"/>
        <xdr:cNvSpPr/>
      </xdr:nvSpPr>
      <xdr:spPr>
        <a:xfrm>
          <a:off x="99917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73025</xdr:colOff>
      <xdr:row>18</xdr:row>
      <xdr:rowOff>73025</xdr:rowOff>
    </xdr:from>
    <xdr:to>
      <xdr:col>19</xdr:col>
      <xdr:colOff>403225</xdr:colOff>
      <xdr:row>18</xdr:row>
      <xdr:rowOff>403225</xdr:rowOff>
    </xdr:to>
    <xdr:sp macro="" textlink="">
      <xdr:nvSpPr>
        <xdr:cNvPr id="41645" name="tp19c12c26size26color65535routev"/>
        <xdr:cNvSpPr/>
      </xdr:nvSpPr>
      <xdr:spPr>
        <a:xfrm>
          <a:off x="982662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238125</xdr:colOff>
      <xdr:row>18</xdr:row>
      <xdr:rowOff>238125</xdr:rowOff>
    </xdr:from>
    <xdr:to>
      <xdr:col>19</xdr:col>
      <xdr:colOff>238125</xdr:colOff>
      <xdr:row>18</xdr:row>
      <xdr:rowOff>238125</xdr:rowOff>
    </xdr:to>
    <xdr:sp macro="" textlink="">
      <xdr:nvSpPr>
        <xdr:cNvPr id="41646" name="rteShptp19c12c26size26color65535routev"/>
        <xdr:cNvSpPr/>
      </xdr:nvSpPr>
      <xdr:spPr>
        <a:xfrm>
          <a:off x="999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123825</xdr:colOff>
      <xdr:row>23</xdr:row>
      <xdr:rowOff>123825</xdr:rowOff>
    </xdr:from>
    <xdr:to>
      <xdr:col>19</xdr:col>
      <xdr:colOff>352425</xdr:colOff>
      <xdr:row>23</xdr:row>
      <xdr:rowOff>352425</xdr:rowOff>
    </xdr:to>
    <xdr:sp macro="" textlink="">
      <xdr:nvSpPr>
        <xdr:cNvPr id="41648" name="tp19c13c21size18color255routevcb"/>
        <xdr:cNvSpPr/>
      </xdr:nvSpPr>
      <xdr:spPr>
        <a:xfrm>
          <a:off x="9877425" y="1222057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238125</xdr:colOff>
      <xdr:row>23</xdr:row>
      <xdr:rowOff>238125</xdr:rowOff>
    </xdr:from>
    <xdr:to>
      <xdr:col>19</xdr:col>
      <xdr:colOff>238125</xdr:colOff>
      <xdr:row>23</xdr:row>
      <xdr:rowOff>238125</xdr:rowOff>
    </xdr:to>
    <xdr:sp macro="" textlink="">
      <xdr:nvSpPr>
        <xdr:cNvPr id="41649" name="rteShptp19c13c21size18color255routevcb"/>
        <xdr:cNvSpPr/>
      </xdr:nvSpPr>
      <xdr:spPr>
        <a:xfrm>
          <a:off x="99917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174625</xdr:colOff>
      <xdr:row>24</xdr:row>
      <xdr:rowOff>174625</xdr:rowOff>
    </xdr:from>
    <xdr:to>
      <xdr:col>19</xdr:col>
      <xdr:colOff>301625</xdr:colOff>
      <xdr:row>24</xdr:row>
      <xdr:rowOff>301625</xdr:rowOff>
    </xdr:to>
    <xdr:sp macro="" textlink="">
      <xdr:nvSpPr>
        <xdr:cNvPr id="41653" name="tp19c13c22size10color255route"/>
        <xdr:cNvSpPr/>
      </xdr:nvSpPr>
      <xdr:spPr>
        <a:xfrm>
          <a:off x="9928225" y="1274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174625</xdr:colOff>
      <xdr:row>25</xdr:row>
      <xdr:rowOff>174625</xdr:rowOff>
    </xdr:from>
    <xdr:to>
      <xdr:col>19</xdr:col>
      <xdr:colOff>301625</xdr:colOff>
      <xdr:row>25</xdr:row>
      <xdr:rowOff>301625</xdr:rowOff>
    </xdr:to>
    <xdr:sp macro="" textlink="">
      <xdr:nvSpPr>
        <xdr:cNvPr id="41654" name="tp19c13c23size10color255route"/>
        <xdr:cNvSpPr/>
      </xdr:nvSpPr>
      <xdr:spPr>
        <a:xfrm>
          <a:off x="9928225" y="13223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238125</xdr:colOff>
      <xdr:row>3</xdr:row>
      <xdr:rowOff>238125</xdr:rowOff>
    </xdr:from>
    <xdr:to>
      <xdr:col>20</xdr:col>
      <xdr:colOff>238125</xdr:colOff>
      <xdr:row>3</xdr:row>
      <xdr:rowOff>238125</xdr:rowOff>
    </xdr:to>
    <xdr:sp macro="" textlink="">
      <xdr:nvSpPr>
        <xdr:cNvPr id="41655" name="rteShptp20c11c21size0color0routeb"/>
        <xdr:cNvSpPr/>
      </xdr:nvSpPr>
      <xdr:spPr>
        <a:xfrm>
          <a:off x="104679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73025</xdr:colOff>
      <xdr:row>4</xdr:row>
      <xdr:rowOff>73025</xdr:rowOff>
    </xdr:from>
    <xdr:to>
      <xdr:col>20</xdr:col>
      <xdr:colOff>403225</xdr:colOff>
      <xdr:row>4</xdr:row>
      <xdr:rowOff>403225</xdr:rowOff>
    </xdr:to>
    <xdr:sp macro="" textlink="">
      <xdr:nvSpPr>
        <xdr:cNvPr id="41657" name="tp20c11c22size26color255routevc"/>
        <xdr:cNvSpPr/>
      </xdr:nvSpPr>
      <xdr:spPr>
        <a:xfrm>
          <a:off x="1030287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238125</xdr:colOff>
      <xdr:row>4</xdr:row>
      <xdr:rowOff>238125</xdr:rowOff>
    </xdr:from>
    <xdr:to>
      <xdr:col>20</xdr:col>
      <xdr:colOff>238125</xdr:colOff>
      <xdr:row>4</xdr:row>
      <xdr:rowOff>238125</xdr:rowOff>
    </xdr:to>
    <xdr:sp macro="" textlink="">
      <xdr:nvSpPr>
        <xdr:cNvPr id="41658" name="rteShptp20c11c22size26color255routevc"/>
        <xdr:cNvSpPr/>
      </xdr:nvSpPr>
      <xdr:spPr>
        <a:xfrm>
          <a:off x="10467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238125</xdr:colOff>
      <xdr:row>13</xdr:row>
      <xdr:rowOff>238125</xdr:rowOff>
    </xdr:from>
    <xdr:to>
      <xdr:col>20</xdr:col>
      <xdr:colOff>238125</xdr:colOff>
      <xdr:row>13</xdr:row>
      <xdr:rowOff>238125</xdr:rowOff>
    </xdr:to>
    <xdr:sp macro="" textlink="">
      <xdr:nvSpPr>
        <xdr:cNvPr id="41661" name="rteShptp20c12c21size0color0routeb"/>
        <xdr:cNvSpPr/>
      </xdr:nvSpPr>
      <xdr:spPr>
        <a:xfrm>
          <a:off x="104679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123825</xdr:colOff>
      <xdr:row>14</xdr:row>
      <xdr:rowOff>123825</xdr:rowOff>
    </xdr:from>
    <xdr:to>
      <xdr:col>20</xdr:col>
      <xdr:colOff>352425</xdr:colOff>
      <xdr:row>14</xdr:row>
      <xdr:rowOff>352425</xdr:rowOff>
    </xdr:to>
    <xdr:sp macro="" textlink="">
      <xdr:nvSpPr>
        <xdr:cNvPr id="41663" name="tp20c12c22size18color65280routevc"/>
        <xdr:cNvSpPr/>
      </xdr:nvSpPr>
      <xdr:spPr>
        <a:xfrm>
          <a:off x="10353675" y="79343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238125</xdr:colOff>
      <xdr:row>14</xdr:row>
      <xdr:rowOff>238125</xdr:rowOff>
    </xdr:from>
    <xdr:to>
      <xdr:col>20</xdr:col>
      <xdr:colOff>238125</xdr:colOff>
      <xdr:row>14</xdr:row>
      <xdr:rowOff>238125</xdr:rowOff>
    </xdr:to>
    <xdr:sp macro="" textlink="">
      <xdr:nvSpPr>
        <xdr:cNvPr id="41664" name="rteShptp20c12c22size18color65280routevc"/>
        <xdr:cNvSpPr/>
      </xdr:nvSpPr>
      <xdr:spPr>
        <a:xfrm>
          <a:off x="104679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174625</xdr:colOff>
      <xdr:row>18</xdr:row>
      <xdr:rowOff>174625</xdr:rowOff>
    </xdr:from>
    <xdr:to>
      <xdr:col>20</xdr:col>
      <xdr:colOff>301625</xdr:colOff>
      <xdr:row>18</xdr:row>
      <xdr:rowOff>301625</xdr:rowOff>
    </xdr:to>
    <xdr:sp macro="" textlink="">
      <xdr:nvSpPr>
        <xdr:cNvPr id="41667" name="tp20c12c26size10color65535route"/>
        <xdr:cNvSpPr/>
      </xdr:nvSpPr>
      <xdr:spPr>
        <a:xfrm>
          <a:off x="10404475" y="9890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174625</xdr:colOff>
      <xdr:row>23</xdr:row>
      <xdr:rowOff>174625</xdr:rowOff>
    </xdr:from>
    <xdr:to>
      <xdr:col>20</xdr:col>
      <xdr:colOff>301625</xdr:colOff>
      <xdr:row>23</xdr:row>
      <xdr:rowOff>301625</xdr:rowOff>
    </xdr:to>
    <xdr:sp macro="" textlink="">
      <xdr:nvSpPr>
        <xdr:cNvPr id="41668" name="tp20c13c21size10color65535routeb"/>
        <xdr:cNvSpPr/>
      </xdr:nvSpPr>
      <xdr:spPr>
        <a:xfrm>
          <a:off x="10404475" y="122713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238125</xdr:colOff>
      <xdr:row>23</xdr:row>
      <xdr:rowOff>238125</xdr:rowOff>
    </xdr:from>
    <xdr:to>
      <xdr:col>20</xdr:col>
      <xdr:colOff>238125</xdr:colOff>
      <xdr:row>23</xdr:row>
      <xdr:rowOff>238125</xdr:rowOff>
    </xdr:to>
    <xdr:sp macro="" textlink="">
      <xdr:nvSpPr>
        <xdr:cNvPr id="41669" name="rteShptp20c13c21size10color65535routeb"/>
        <xdr:cNvSpPr/>
      </xdr:nvSpPr>
      <xdr:spPr>
        <a:xfrm>
          <a:off x="104679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123825</xdr:colOff>
      <xdr:row>24</xdr:row>
      <xdr:rowOff>123825</xdr:rowOff>
    </xdr:from>
    <xdr:to>
      <xdr:col>20</xdr:col>
      <xdr:colOff>352425</xdr:colOff>
      <xdr:row>24</xdr:row>
      <xdr:rowOff>352425</xdr:rowOff>
    </xdr:to>
    <xdr:sp macro="" textlink="">
      <xdr:nvSpPr>
        <xdr:cNvPr id="41671" name="tp20c13c22size18color65535routevc"/>
        <xdr:cNvSpPr/>
      </xdr:nvSpPr>
      <xdr:spPr>
        <a:xfrm>
          <a:off x="10353675" y="1269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238125</xdr:colOff>
      <xdr:row>24</xdr:row>
      <xdr:rowOff>238125</xdr:rowOff>
    </xdr:from>
    <xdr:to>
      <xdr:col>20</xdr:col>
      <xdr:colOff>238125</xdr:colOff>
      <xdr:row>24</xdr:row>
      <xdr:rowOff>238125</xdr:rowOff>
    </xdr:to>
    <xdr:sp macro="" textlink="">
      <xdr:nvSpPr>
        <xdr:cNvPr id="41672" name="rteShptp20c13c22size18color65535routevc"/>
        <xdr:cNvSpPr/>
      </xdr:nvSpPr>
      <xdr:spPr>
        <a:xfrm>
          <a:off x="104679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238125</xdr:colOff>
      <xdr:row>3</xdr:row>
      <xdr:rowOff>238125</xdr:rowOff>
    </xdr:from>
    <xdr:to>
      <xdr:col>21</xdr:col>
      <xdr:colOff>238125</xdr:colOff>
      <xdr:row>3</xdr:row>
      <xdr:rowOff>238125</xdr:rowOff>
    </xdr:to>
    <xdr:sp macro="" textlink="">
      <xdr:nvSpPr>
        <xdr:cNvPr id="41675" name="rteShptp21c11c21size0color0routeb"/>
        <xdr:cNvSpPr/>
      </xdr:nvSpPr>
      <xdr:spPr>
        <a:xfrm>
          <a:off x="109442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174625</xdr:colOff>
      <xdr:row>4</xdr:row>
      <xdr:rowOff>174625</xdr:rowOff>
    </xdr:from>
    <xdr:to>
      <xdr:col>21</xdr:col>
      <xdr:colOff>301625</xdr:colOff>
      <xdr:row>4</xdr:row>
      <xdr:rowOff>301625</xdr:rowOff>
    </xdr:to>
    <xdr:sp macro="" textlink="">
      <xdr:nvSpPr>
        <xdr:cNvPr id="41677" name="tp21c11c22size10color255routec"/>
        <xdr:cNvSpPr/>
      </xdr:nvSpPr>
      <xdr:spPr>
        <a:xfrm>
          <a:off x="10880725" y="3222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238125</xdr:colOff>
      <xdr:row>4</xdr:row>
      <xdr:rowOff>238125</xdr:rowOff>
    </xdr:from>
    <xdr:to>
      <xdr:col>21</xdr:col>
      <xdr:colOff>238125</xdr:colOff>
      <xdr:row>4</xdr:row>
      <xdr:rowOff>238125</xdr:rowOff>
    </xdr:to>
    <xdr:sp macro="" textlink="">
      <xdr:nvSpPr>
        <xdr:cNvPr id="41678" name="rteShptp21c11c22size10color255routec"/>
        <xdr:cNvSpPr/>
      </xdr:nvSpPr>
      <xdr:spPr>
        <a:xfrm>
          <a:off x="10944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73025</xdr:colOff>
      <xdr:row>5</xdr:row>
      <xdr:rowOff>73025</xdr:rowOff>
    </xdr:from>
    <xdr:to>
      <xdr:col>21</xdr:col>
      <xdr:colOff>403225</xdr:colOff>
      <xdr:row>5</xdr:row>
      <xdr:rowOff>403225</xdr:rowOff>
    </xdr:to>
    <xdr:sp macro="" textlink="">
      <xdr:nvSpPr>
        <xdr:cNvPr id="41680" name="tp21c11c23size26color65535routev"/>
        <xdr:cNvSpPr/>
      </xdr:nvSpPr>
      <xdr:spPr>
        <a:xfrm>
          <a:off x="10779125" y="3597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238125</xdr:colOff>
      <xdr:row>5</xdr:row>
      <xdr:rowOff>238125</xdr:rowOff>
    </xdr:from>
    <xdr:to>
      <xdr:col>21</xdr:col>
      <xdr:colOff>238125</xdr:colOff>
      <xdr:row>5</xdr:row>
      <xdr:rowOff>238125</xdr:rowOff>
    </xdr:to>
    <xdr:sp macro="" textlink="">
      <xdr:nvSpPr>
        <xdr:cNvPr id="41681" name="rteShptp21c11c23size26color65535routev"/>
        <xdr:cNvSpPr/>
      </xdr:nvSpPr>
      <xdr:spPr>
        <a:xfrm>
          <a:off x="1094422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238125</xdr:colOff>
      <xdr:row>13</xdr:row>
      <xdr:rowOff>238125</xdr:rowOff>
    </xdr:from>
    <xdr:to>
      <xdr:col>21</xdr:col>
      <xdr:colOff>238125</xdr:colOff>
      <xdr:row>13</xdr:row>
      <xdr:rowOff>238125</xdr:rowOff>
    </xdr:to>
    <xdr:sp macro="" textlink="">
      <xdr:nvSpPr>
        <xdr:cNvPr id="41683" name="rteShptp21c12c21size0color0routecb"/>
        <xdr:cNvSpPr/>
      </xdr:nvSpPr>
      <xdr:spPr>
        <a:xfrm>
          <a:off x="109442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123825</xdr:colOff>
      <xdr:row>14</xdr:row>
      <xdr:rowOff>123825</xdr:rowOff>
    </xdr:from>
    <xdr:to>
      <xdr:col>21</xdr:col>
      <xdr:colOff>352425</xdr:colOff>
      <xdr:row>14</xdr:row>
      <xdr:rowOff>352425</xdr:rowOff>
    </xdr:to>
    <xdr:sp macro="" textlink="">
      <xdr:nvSpPr>
        <xdr:cNvPr id="41686" name="tp21c12c22size18color255routev"/>
        <xdr:cNvSpPr/>
      </xdr:nvSpPr>
      <xdr:spPr>
        <a:xfrm>
          <a:off x="10829925" y="7934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238125</xdr:colOff>
      <xdr:row>14</xdr:row>
      <xdr:rowOff>238125</xdr:rowOff>
    </xdr:from>
    <xdr:to>
      <xdr:col>21</xdr:col>
      <xdr:colOff>238125</xdr:colOff>
      <xdr:row>14</xdr:row>
      <xdr:rowOff>238125</xdr:rowOff>
    </xdr:to>
    <xdr:sp macro="" textlink="">
      <xdr:nvSpPr>
        <xdr:cNvPr id="41687" name="rteShptp21c12c22size18color255routev"/>
        <xdr:cNvSpPr/>
      </xdr:nvSpPr>
      <xdr:spPr>
        <a:xfrm>
          <a:off x="109442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123825</xdr:colOff>
      <xdr:row>24</xdr:row>
      <xdr:rowOff>123825</xdr:rowOff>
    </xdr:from>
    <xdr:to>
      <xdr:col>21</xdr:col>
      <xdr:colOff>352425</xdr:colOff>
      <xdr:row>24</xdr:row>
      <xdr:rowOff>352425</xdr:rowOff>
    </xdr:to>
    <xdr:sp macro="" textlink="">
      <xdr:nvSpPr>
        <xdr:cNvPr id="41689" name="tp21c13c22size18color65535routevcb"/>
        <xdr:cNvSpPr/>
      </xdr:nvSpPr>
      <xdr:spPr>
        <a:xfrm>
          <a:off x="10829925" y="1269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238125</xdr:colOff>
      <xdr:row>24</xdr:row>
      <xdr:rowOff>238125</xdr:rowOff>
    </xdr:from>
    <xdr:to>
      <xdr:col>21</xdr:col>
      <xdr:colOff>238125</xdr:colOff>
      <xdr:row>24</xdr:row>
      <xdr:rowOff>238125</xdr:rowOff>
    </xdr:to>
    <xdr:sp macro="" textlink="">
      <xdr:nvSpPr>
        <xdr:cNvPr id="41690" name="rteShptp21c13c22size18color65535routevcb"/>
        <xdr:cNvSpPr/>
      </xdr:nvSpPr>
      <xdr:spPr>
        <a:xfrm>
          <a:off x="109442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3</xdr:row>
      <xdr:rowOff>238125</xdr:rowOff>
    </xdr:from>
    <xdr:to>
      <xdr:col>22</xdr:col>
      <xdr:colOff>238125</xdr:colOff>
      <xdr:row>3</xdr:row>
      <xdr:rowOff>238125</xdr:rowOff>
    </xdr:to>
    <xdr:sp macro="" textlink="">
      <xdr:nvSpPr>
        <xdr:cNvPr id="41694" name="rteShptp22c11c21size0color0routecb"/>
        <xdr:cNvSpPr/>
      </xdr:nvSpPr>
      <xdr:spPr>
        <a:xfrm>
          <a:off x="114204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73025</xdr:colOff>
      <xdr:row>5</xdr:row>
      <xdr:rowOff>73025</xdr:rowOff>
    </xdr:from>
    <xdr:to>
      <xdr:col>22</xdr:col>
      <xdr:colOff>403225</xdr:colOff>
      <xdr:row>5</xdr:row>
      <xdr:rowOff>403225</xdr:rowOff>
    </xdr:to>
    <xdr:sp macro="" textlink="">
      <xdr:nvSpPr>
        <xdr:cNvPr id="41697" name="tp22c11c23size26color255routev"/>
        <xdr:cNvSpPr/>
      </xdr:nvSpPr>
      <xdr:spPr>
        <a:xfrm>
          <a:off x="11255375" y="359727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</xdr:row>
      <xdr:rowOff>238125</xdr:rowOff>
    </xdr:from>
    <xdr:to>
      <xdr:col>22</xdr:col>
      <xdr:colOff>238125</xdr:colOff>
      <xdr:row>5</xdr:row>
      <xdr:rowOff>238125</xdr:rowOff>
    </xdr:to>
    <xdr:sp macro="" textlink="">
      <xdr:nvSpPr>
        <xdr:cNvPr id="41698" name="rteShptp22c11c23size26color255routev"/>
        <xdr:cNvSpPr/>
      </xdr:nvSpPr>
      <xdr:spPr>
        <a:xfrm>
          <a:off x="114204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13</xdr:row>
      <xdr:rowOff>238125</xdr:rowOff>
    </xdr:from>
    <xdr:to>
      <xdr:col>22</xdr:col>
      <xdr:colOff>238125</xdr:colOff>
      <xdr:row>13</xdr:row>
      <xdr:rowOff>238125</xdr:rowOff>
    </xdr:to>
    <xdr:sp macro="" textlink="">
      <xdr:nvSpPr>
        <xdr:cNvPr id="41700" name="rteShptp22c12c21size0color0routecb"/>
        <xdr:cNvSpPr/>
      </xdr:nvSpPr>
      <xdr:spPr>
        <a:xfrm>
          <a:off x="114204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123825</xdr:colOff>
      <xdr:row>14</xdr:row>
      <xdr:rowOff>123825</xdr:rowOff>
    </xdr:from>
    <xdr:to>
      <xdr:col>22</xdr:col>
      <xdr:colOff>352425</xdr:colOff>
      <xdr:row>14</xdr:row>
      <xdr:rowOff>352425</xdr:rowOff>
    </xdr:to>
    <xdr:sp macro="" textlink="">
      <xdr:nvSpPr>
        <xdr:cNvPr id="41703" name="tp22c12c22size18color255route"/>
        <xdr:cNvSpPr/>
      </xdr:nvSpPr>
      <xdr:spPr>
        <a:xfrm>
          <a:off x="11306175" y="7934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73025</xdr:colOff>
      <xdr:row>18</xdr:row>
      <xdr:rowOff>73025</xdr:rowOff>
    </xdr:from>
    <xdr:to>
      <xdr:col>22</xdr:col>
      <xdr:colOff>403225</xdr:colOff>
      <xdr:row>18</xdr:row>
      <xdr:rowOff>403225</xdr:rowOff>
    </xdr:to>
    <xdr:sp macro="" textlink="">
      <xdr:nvSpPr>
        <xdr:cNvPr id="41704" name="tp22c12c26size26color65280routev"/>
        <xdr:cNvSpPr/>
      </xdr:nvSpPr>
      <xdr:spPr>
        <a:xfrm>
          <a:off x="1125537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18</xdr:row>
      <xdr:rowOff>238125</xdr:rowOff>
    </xdr:from>
    <xdr:to>
      <xdr:col>22</xdr:col>
      <xdr:colOff>238125</xdr:colOff>
      <xdr:row>18</xdr:row>
      <xdr:rowOff>238125</xdr:rowOff>
    </xdr:to>
    <xdr:sp macro="" textlink="">
      <xdr:nvSpPr>
        <xdr:cNvPr id="41705" name="rteShptp22c12c26size26color65280routev"/>
        <xdr:cNvSpPr/>
      </xdr:nvSpPr>
      <xdr:spPr>
        <a:xfrm>
          <a:off x="1142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73025</xdr:colOff>
      <xdr:row>23</xdr:row>
      <xdr:rowOff>73025</xdr:rowOff>
    </xdr:from>
    <xdr:to>
      <xdr:col>22</xdr:col>
      <xdr:colOff>403225</xdr:colOff>
      <xdr:row>23</xdr:row>
      <xdr:rowOff>403225</xdr:rowOff>
    </xdr:to>
    <xdr:sp macro="" textlink="">
      <xdr:nvSpPr>
        <xdr:cNvPr id="41707" name="tp22c13c21size26color65535routevcb"/>
        <xdr:cNvSpPr/>
      </xdr:nvSpPr>
      <xdr:spPr>
        <a:xfrm>
          <a:off x="11255375" y="121697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23</xdr:row>
      <xdr:rowOff>238125</xdr:rowOff>
    </xdr:from>
    <xdr:to>
      <xdr:col>22</xdr:col>
      <xdr:colOff>238125</xdr:colOff>
      <xdr:row>23</xdr:row>
      <xdr:rowOff>238125</xdr:rowOff>
    </xdr:to>
    <xdr:sp macro="" textlink="">
      <xdr:nvSpPr>
        <xdr:cNvPr id="41708" name="rteShptp22c13c21size26color65535routevcb"/>
        <xdr:cNvSpPr/>
      </xdr:nvSpPr>
      <xdr:spPr>
        <a:xfrm>
          <a:off x="114204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123825</xdr:colOff>
      <xdr:row>24</xdr:row>
      <xdr:rowOff>123825</xdr:rowOff>
    </xdr:from>
    <xdr:to>
      <xdr:col>22</xdr:col>
      <xdr:colOff>352425</xdr:colOff>
      <xdr:row>24</xdr:row>
      <xdr:rowOff>352425</xdr:rowOff>
    </xdr:to>
    <xdr:sp macro="" textlink="">
      <xdr:nvSpPr>
        <xdr:cNvPr id="41712" name="tp22c13c22size18color65535route"/>
        <xdr:cNvSpPr/>
      </xdr:nvSpPr>
      <xdr:spPr>
        <a:xfrm>
          <a:off x="11306175" y="1269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123825</xdr:colOff>
      <xdr:row>25</xdr:row>
      <xdr:rowOff>123825</xdr:rowOff>
    </xdr:from>
    <xdr:to>
      <xdr:col>22</xdr:col>
      <xdr:colOff>352425</xdr:colOff>
      <xdr:row>25</xdr:row>
      <xdr:rowOff>352425</xdr:rowOff>
    </xdr:to>
    <xdr:sp macro="" textlink="">
      <xdr:nvSpPr>
        <xdr:cNvPr id="41713" name="tp22c13c23size18color65535route"/>
        <xdr:cNvSpPr/>
      </xdr:nvSpPr>
      <xdr:spPr>
        <a:xfrm>
          <a:off x="11306175" y="131730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238125</xdr:colOff>
      <xdr:row>3</xdr:row>
      <xdr:rowOff>238125</xdr:rowOff>
    </xdr:from>
    <xdr:to>
      <xdr:col>23</xdr:col>
      <xdr:colOff>238125</xdr:colOff>
      <xdr:row>3</xdr:row>
      <xdr:rowOff>238125</xdr:rowOff>
    </xdr:to>
    <xdr:sp macro="" textlink="">
      <xdr:nvSpPr>
        <xdr:cNvPr id="41714" name="rteShptp23c11c21size0color0routecb"/>
        <xdr:cNvSpPr/>
      </xdr:nvSpPr>
      <xdr:spPr>
        <a:xfrm>
          <a:off x="118967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73025</xdr:colOff>
      <xdr:row>4</xdr:row>
      <xdr:rowOff>73025</xdr:rowOff>
    </xdr:from>
    <xdr:to>
      <xdr:col>23</xdr:col>
      <xdr:colOff>403225</xdr:colOff>
      <xdr:row>4</xdr:row>
      <xdr:rowOff>403225</xdr:rowOff>
    </xdr:to>
    <xdr:sp macro="" textlink="">
      <xdr:nvSpPr>
        <xdr:cNvPr id="41717" name="tp23c11c22size26color255routev"/>
        <xdr:cNvSpPr/>
      </xdr:nvSpPr>
      <xdr:spPr>
        <a:xfrm>
          <a:off x="1173162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238125</xdr:colOff>
      <xdr:row>4</xdr:row>
      <xdr:rowOff>238125</xdr:rowOff>
    </xdr:from>
    <xdr:to>
      <xdr:col>23</xdr:col>
      <xdr:colOff>238125</xdr:colOff>
      <xdr:row>4</xdr:row>
      <xdr:rowOff>238125</xdr:rowOff>
    </xdr:to>
    <xdr:sp macro="" textlink="">
      <xdr:nvSpPr>
        <xdr:cNvPr id="41718" name="rteShptp23c11c22size26color255routev"/>
        <xdr:cNvSpPr/>
      </xdr:nvSpPr>
      <xdr:spPr>
        <a:xfrm>
          <a:off x="11896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238125</xdr:colOff>
      <xdr:row>13</xdr:row>
      <xdr:rowOff>238125</xdr:rowOff>
    </xdr:from>
    <xdr:to>
      <xdr:col>23</xdr:col>
      <xdr:colOff>238125</xdr:colOff>
      <xdr:row>13</xdr:row>
      <xdr:rowOff>238125</xdr:rowOff>
    </xdr:to>
    <xdr:sp macro="" textlink="">
      <xdr:nvSpPr>
        <xdr:cNvPr id="41720" name="rteShptp23c12c21size0color0routecb"/>
        <xdr:cNvSpPr/>
      </xdr:nvSpPr>
      <xdr:spPr>
        <a:xfrm>
          <a:off x="118967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123825</xdr:colOff>
      <xdr:row>14</xdr:row>
      <xdr:rowOff>123825</xdr:rowOff>
    </xdr:from>
    <xdr:to>
      <xdr:col>23</xdr:col>
      <xdr:colOff>352425</xdr:colOff>
      <xdr:row>14</xdr:row>
      <xdr:rowOff>352425</xdr:rowOff>
    </xdr:to>
    <xdr:sp macro="" textlink="">
      <xdr:nvSpPr>
        <xdr:cNvPr id="41723" name="tp23c12c22size18color255routev"/>
        <xdr:cNvSpPr/>
      </xdr:nvSpPr>
      <xdr:spPr>
        <a:xfrm>
          <a:off x="11782425" y="7934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238125</xdr:colOff>
      <xdr:row>14</xdr:row>
      <xdr:rowOff>238125</xdr:rowOff>
    </xdr:from>
    <xdr:to>
      <xdr:col>23</xdr:col>
      <xdr:colOff>238125</xdr:colOff>
      <xdr:row>14</xdr:row>
      <xdr:rowOff>238125</xdr:rowOff>
    </xdr:to>
    <xdr:sp macro="" textlink="">
      <xdr:nvSpPr>
        <xdr:cNvPr id="41724" name="rteShptp23c12c22size18color255routev"/>
        <xdr:cNvSpPr/>
      </xdr:nvSpPr>
      <xdr:spPr>
        <a:xfrm>
          <a:off x="118967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238125</xdr:colOff>
      <xdr:row>23</xdr:row>
      <xdr:rowOff>238125</xdr:rowOff>
    </xdr:from>
    <xdr:to>
      <xdr:col>23</xdr:col>
      <xdr:colOff>238125</xdr:colOff>
      <xdr:row>23</xdr:row>
      <xdr:rowOff>238125</xdr:rowOff>
    </xdr:to>
    <xdr:sp macro="" textlink="">
      <xdr:nvSpPr>
        <xdr:cNvPr id="41726" name="rteShptp23c13c21size0color0routecb"/>
        <xdr:cNvSpPr/>
      </xdr:nvSpPr>
      <xdr:spPr>
        <a:xfrm>
          <a:off x="118967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73025</xdr:colOff>
      <xdr:row>24</xdr:row>
      <xdr:rowOff>73025</xdr:rowOff>
    </xdr:from>
    <xdr:to>
      <xdr:col>23</xdr:col>
      <xdr:colOff>403225</xdr:colOff>
      <xdr:row>24</xdr:row>
      <xdr:rowOff>403225</xdr:rowOff>
    </xdr:to>
    <xdr:sp macro="" textlink="">
      <xdr:nvSpPr>
        <xdr:cNvPr id="41729" name="tp23c13c22size26color65535routev"/>
        <xdr:cNvSpPr/>
      </xdr:nvSpPr>
      <xdr:spPr>
        <a:xfrm>
          <a:off x="11731625" y="12646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238125</xdr:colOff>
      <xdr:row>24</xdr:row>
      <xdr:rowOff>238125</xdr:rowOff>
    </xdr:from>
    <xdr:to>
      <xdr:col>23</xdr:col>
      <xdr:colOff>238125</xdr:colOff>
      <xdr:row>24</xdr:row>
      <xdr:rowOff>238125</xdr:rowOff>
    </xdr:to>
    <xdr:sp macro="" textlink="">
      <xdr:nvSpPr>
        <xdr:cNvPr id="41730" name="rteShptp23c13c22size26color65535routev"/>
        <xdr:cNvSpPr/>
      </xdr:nvSpPr>
      <xdr:spPr>
        <a:xfrm>
          <a:off x="11896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238125</xdr:colOff>
      <xdr:row>3</xdr:row>
      <xdr:rowOff>238125</xdr:rowOff>
    </xdr:from>
    <xdr:to>
      <xdr:col>24</xdr:col>
      <xdr:colOff>238125</xdr:colOff>
      <xdr:row>3</xdr:row>
      <xdr:rowOff>238125</xdr:rowOff>
    </xdr:to>
    <xdr:sp macro="" textlink="">
      <xdr:nvSpPr>
        <xdr:cNvPr id="41732" name="rteShptp24c11c21size0color0routecb"/>
        <xdr:cNvSpPr/>
      </xdr:nvSpPr>
      <xdr:spPr>
        <a:xfrm>
          <a:off x="123729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73025</xdr:colOff>
      <xdr:row>4</xdr:row>
      <xdr:rowOff>73025</xdr:rowOff>
    </xdr:from>
    <xdr:to>
      <xdr:col>24</xdr:col>
      <xdr:colOff>403225</xdr:colOff>
      <xdr:row>4</xdr:row>
      <xdr:rowOff>403225</xdr:rowOff>
    </xdr:to>
    <xdr:sp macro="" textlink="">
      <xdr:nvSpPr>
        <xdr:cNvPr id="41735" name="tp24c11c22size26color255routev"/>
        <xdr:cNvSpPr/>
      </xdr:nvSpPr>
      <xdr:spPr>
        <a:xfrm>
          <a:off x="1220787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238125</xdr:colOff>
      <xdr:row>4</xdr:row>
      <xdr:rowOff>238125</xdr:rowOff>
    </xdr:from>
    <xdr:to>
      <xdr:col>24</xdr:col>
      <xdr:colOff>238125</xdr:colOff>
      <xdr:row>4</xdr:row>
      <xdr:rowOff>238125</xdr:rowOff>
    </xdr:to>
    <xdr:sp macro="" textlink="">
      <xdr:nvSpPr>
        <xdr:cNvPr id="41736" name="rteShptp24c11c22size26color255routev"/>
        <xdr:cNvSpPr/>
      </xdr:nvSpPr>
      <xdr:spPr>
        <a:xfrm>
          <a:off x="1237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238125</xdr:colOff>
      <xdr:row>13</xdr:row>
      <xdr:rowOff>238125</xdr:rowOff>
    </xdr:from>
    <xdr:to>
      <xdr:col>24</xdr:col>
      <xdr:colOff>238125</xdr:colOff>
      <xdr:row>13</xdr:row>
      <xdr:rowOff>238125</xdr:rowOff>
    </xdr:to>
    <xdr:sp macro="" textlink="">
      <xdr:nvSpPr>
        <xdr:cNvPr id="41738" name="rteShptp24c12c21size0color0routecb"/>
        <xdr:cNvSpPr/>
      </xdr:nvSpPr>
      <xdr:spPr>
        <a:xfrm>
          <a:off x="123729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73025</xdr:colOff>
      <xdr:row>20</xdr:row>
      <xdr:rowOff>73025</xdr:rowOff>
    </xdr:from>
    <xdr:to>
      <xdr:col>24</xdr:col>
      <xdr:colOff>403225</xdr:colOff>
      <xdr:row>20</xdr:row>
      <xdr:rowOff>403225</xdr:rowOff>
    </xdr:to>
    <xdr:sp macro="" textlink="">
      <xdr:nvSpPr>
        <xdr:cNvPr id="41741" name="tp24c12c28size26color65535routev"/>
        <xdr:cNvSpPr/>
      </xdr:nvSpPr>
      <xdr:spPr>
        <a:xfrm>
          <a:off x="12207875" y="1074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238125</xdr:colOff>
      <xdr:row>20</xdr:row>
      <xdr:rowOff>238125</xdr:rowOff>
    </xdr:from>
    <xdr:to>
      <xdr:col>24</xdr:col>
      <xdr:colOff>238125</xdr:colOff>
      <xdr:row>20</xdr:row>
      <xdr:rowOff>238125</xdr:rowOff>
    </xdr:to>
    <xdr:sp macro="" textlink="">
      <xdr:nvSpPr>
        <xdr:cNvPr id="41742" name="rteShptp24c12c28size26color65535routev"/>
        <xdr:cNvSpPr/>
      </xdr:nvSpPr>
      <xdr:spPr>
        <a:xfrm>
          <a:off x="12372975" y="1090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123825</xdr:colOff>
      <xdr:row>25</xdr:row>
      <xdr:rowOff>123825</xdr:rowOff>
    </xdr:from>
    <xdr:to>
      <xdr:col>24</xdr:col>
      <xdr:colOff>352425</xdr:colOff>
      <xdr:row>25</xdr:row>
      <xdr:rowOff>352425</xdr:rowOff>
    </xdr:to>
    <xdr:sp macro="" textlink="">
      <xdr:nvSpPr>
        <xdr:cNvPr id="41744" name="tp24c13c23size18color65535route"/>
        <xdr:cNvSpPr/>
      </xdr:nvSpPr>
      <xdr:spPr>
        <a:xfrm>
          <a:off x="12258675" y="131730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123825</xdr:colOff>
      <xdr:row>30</xdr:row>
      <xdr:rowOff>123825</xdr:rowOff>
    </xdr:from>
    <xdr:to>
      <xdr:col>24</xdr:col>
      <xdr:colOff>352425</xdr:colOff>
      <xdr:row>30</xdr:row>
      <xdr:rowOff>352425</xdr:rowOff>
    </xdr:to>
    <xdr:sp macro="" textlink="">
      <xdr:nvSpPr>
        <xdr:cNvPr id="41745" name="tp24c13c28size18color65535routevcb">
          <a:hlinkClick xmlns:r="http://schemas.openxmlformats.org/officeDocument/2006/relationships" r:id="" tooltip="Chris Shaw:&#10;email"/>
        </xdr:cNvPr>
        <xdr:cNvSpPr/>
      </xdr:nvSpPr>
      <xdr:spPr>
        <a:xfrm>
          <a:off x="12258675" y="15554325"/>
          <a:ext cx="228600" cy="228600"/>
        </a:xfrm>
        <a:prstGeom prst="ellipse">
          <a:avLst/>
        </a:prstGeom>
        <a:solidFill>
          <a:srgbClr val="FF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238125</xdr:colOff>
      <xdr:row>30</xdr:row>
      <xdr:rowOff>238125</xdr:rowOff>
    </xdr:from>
    <xdr:to>
      <xdr:col>24</xdr:col>
      <xdr:colOff>238125</xdr:colOff>
      <xdr:row>30</xdr:row>
      <xdr:rowOff>238125</xdr:rowOff>
    </xdr:to>
    <xdr:sp macro="" textlink="">
      <xdr:nvSpPr>
        <xdr:cNvPr id="41746" name="rteShptp24c13c28size18color65535routevcb"/>
        <xdr:cNvSpPr/>
      </xdr:nvSpPr>
      <xdr:spPr>
        <a:xfrm>
          <a:off x="12372975" y="1566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238125</xdr:colOff>
      <xdr:row>3</xdr:row>
      <xdr:rowOff>238125</xdr:rowOff>
    </xdr:from>
    <xdr:to>
      <xdr:col>25</xdr:col>
      <xdr:colOff>238125</xdr:colOff>
      <xdr:row>3</xdr:row>
      <xdr:rowOff>238125</xdr:rowOff>
    </xdr:to>
    <xdr:sp macro="" textlink="">
      <xdr:nvSpPr>
        <xdr:cNvPr id="41750" name="rteShptp25c11c21size0color0routecb"/>
        <xdr:cNvSpPr/>
      </xdr:nvSpPr>
      <xdr:spPr>
        <a:xfrm>
          <a:off x="128492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123825</xdr:colOff>
      <xdr:row>4</xdr:row>
      <xdr:rowOff>123825</xdr:rowOff>
    </xdr:from>
    <xdr:to>
      <xdr:col>25</xdr:col>
      <xdr:colOff>352425</xdr:colOff>
      <xdr:row>4</xdr:row>
      <xdr:rowOff>352425</xdr:rowOff>
    </xdr:to>
    <xdr:sp macro="" textlink="">
      <xdr:nvSpPr>
        <xdr:cNvPr id="41753" name="tp25c11c22size18color65535routev"/>
        <xdr:cNvSpPr/>
      </xdr:nvSpPr>
      <xdr:spPr>
        <a:xfrm>
          <a:off x="12734925" y="3171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238125</xdr:colOff>
      <xdr:row>4</xdr:row>
      <xdr:rowOff>238125</xdr:rowOff>
    </xdr:from>
    <xdr:to>
      <xdr:col>25</xdr:col>
      <xdr:colOff>238125</xdr:colOff>
      <xdr:row>4</xdr:row>
      <xdr:rowOff>238125</xdr:rowOff>
    </xdr:to>
    <xdr:sp macro="" textlink="">
      <xdr:nvSpPr>
        <xdr:cNvPr id="41754" name="rteShptp25c11c22size18color65535routev"/>
        <xdr:cNvSpPr/>
      </xdr:nvSpPr>
      <xdr:spPr>
        <a:xfrm>
          <a:off x="12849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238125</xdr:colOff>
      <xdr:row>13</xdr:row>
      <xdr:rowOff>238125</xdr:rowOff>
    </xdr:from>
    <xdr:to>
      <xdr:col>25</xdr:col>
      <xdr:colOff>238125</xdr:colOff>
      <xdr:row>13</xdr:row>
      <xdr:rowOff>238125</xdr:rowOff>
    </xdr:to>
    <xdr:sp macro="" textlink="">
      <xdr:nvSpPr>
        <xdr:cNvPr id="41756" name="rteShptp25c12c21size0color0routecb"/>
        <xdr:cNvSpPr/>
      </xdr:nvSpPr>
      <xdr:spPr>
        <a:xfrm>
          <a:off x="128492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123825</xdr:colOff>
      <xdr:row>18</xdr:row>
      <xdr:rowOff>123825</xdr:rowOff>
    </xdr:from>
    <xdr:to>
      <xdr:col>25</xdr:col>
      <xdr:colOff>352425</xdr:colOff>
      <xdr:row>18</xdr:row>
      <xdr:rowOff>352425</xdr:rowOff>
    </xdr:to>
    <xdr:sp macro="" textlink="">
      <xdr:nvSpPr>
        <xdr:cNvPr id="41759" name="tp25c12c26size18color65535routev"/>
        <xdr:cNvSpPr/>
      </xdr:nvSpPr>
      <xdr:spPr>
        <a:xfrm>
          <a:off x="1273492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238125</xdr:colOff>
      <xdr:row>18</xdr:row>
      <xdr:rowOff>238125</xdr:rowOff>
    </xdr:from>
    <xdr:to>
      <xdr:col>25</xdr:col>
      <xdr:colOff>238125</xdr:colOff>
      <xdr:row>18</xdr:row>
      <xdr:rowOff>238125</xdr:rowOff>
    </xdr:to>
    <xdr:sp macro="" textlink="">
      <xdr:nvSpPr>
        <xdr:cNvPr id="41760" name="rteShptp25c12c26size18color65535routev"/>
        <xdr:cNvSpPr/>
      </xdr:nvSpPr>
      <xdr:spPr>
        <a:xfrm>
          <a:off x="12849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174625</xdr:colOff>
      <xdr:row>23</xdr:row>
      <xdr:rowOff>174625</xdr:rowOff>
    </xdr:from>
    <xdr:to>
      <xdr:col>25</xdr:col>
      <xdr:colOff>301625</xdr:colOff>
      <xdr:row>23</xdr:row>
      <xdr:rowOff>301625</xdr:rowOff>
    </xdr:to>
    <xdr:sp macro="" textlink="">
      <xdr:nvSpPr>
        <xdr:cNvPr id="41762" name="tp25c13c21size10color255route"/>
        <xdr:cNvSpPr/>
      </xdr:nvSpPr>
      <xdr:spPr>
        <a:xfrm>
          <a:off x="12785725" y="12271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123825</xdr:colOff>
      <xdr:row>24</xdr:row>
      <xdr:rowOff>123825</xdr:rowOff>
    </xdr:from>
    <xdr:to>
      <xdr:col>25</xdr:col>
      <xdr:colOff>352425</xdr:colOff>
      <xdr:row>24</xdr:row>
      <xdr:rowOff>352425</xdr:rowOff>
    </xdr:to>
    <xdr:sp macro="" textlink="">
      <xdr:nvSpPr>
        <xdr:cNvPr id="41763" name="tp25c13c22size18color65535routevc"/>
        <xdr:cNvSpPr/>
      </xdr:nvSpPr>
      <xdr:spPr>
        <a:xfrm>
          <a:off x="12734925" y="1269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238125</xdr:colOff>
      <xdr:row>24</xdr:row>
      <xdr:rowOff>238125</xdr:rowOff>
    </xdr:from>
    <xdr:to>
      <xdr:col>25</xdr:col>
      <xdr:colOff>238125</xdr:colOff>
      <xdr:row>24</xdr:row>
      <xdr:rowOff>238125</xdr:rowOff>
    </xdr:to>
    <xdr:sp macro="" textlink="">
      <xdr:nvSpPr>
        <xdr:cNvPr id="41764" name="rteShptp25c13c22size18color65535routevc"/>
        <xdr:cNvSpPr/>
      </xdr:nvSpPr>
      <xdr:spPr>
        <a:xfrm>
          <a:off x="128492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174625</xdr:colOff>
      <xdr:row>28</xdr:row>
      <xdr:rowOff>174625</xdr:rowOff>
    </xdr:from>
    <xdr:to>
      <xdr:col>25</xdr:col>
      <xdr:colOff>301625</xdr:colOff>
      <xdr:row>28</xdr:row>
      <xdr:rowOff>301625</xdr:rowOff>
    </xdr:to>
    <xdr:sp macro="" textlink="">
      <xdr:nvSpPr>
        <xdr:cNvPr id="41767" name="tp25c13c26size10color255route"/>
        <xdr:cNvSpPr/>
      </xdr:nvSpPr>
      <xdr:spPr>
        <a:xfrm>
          <a:off x="12785725" y="14652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238125</xdr:colOff>
      <xdr:row>30</xdr:row>
      <xdr:rowOff>238125</xdr:rowOff>
    </xdr:from>
    <xdr:to>
      <xdr:col>25</xdr:col>
      <xdr:colOff>238125</xdr:colOff>
      <xdr:row>30</xdr:row>
      <xdr:rowOff>238125</xdr:rowOff>
    </xdr:to>
    <xdr:sp macro="" textlink="">
      <xdr:nvSpPr>
        <xdr:cNvPr id="41768" name="rteShptp25c13c28size0color0routeb"/>
        <xdr:cNvSpPr/>
      </xdr:nvSpPr>
      <xdr:spPr>
        <a:xfrm>
          <a:off x="12849225" y="1566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73025</xdr:colOff>
      <xdr:row>5</xdr:row>
      <xdr:rowOff>73025</xdr:rowOff>
    </xdr:from>
    <xdr:to>
      <xdr:col>26</xdr:col>
      <xdr:colOff>403225</xdr:colOff>
      <xdr:row>5</xdr:row>
      <xdr:rowOff>403225</xdr:rowOff>
    </xdr:to>
    <xdr:sp macro="" textlink="">
      <xdr:nvSpPr>
        <xdr:cNvPr id="41770" name="tp26c11c23size26color65280routevcb"/>
        <xdr:cNvSpPr/>
      </xdr:nvSpPr>
      <xdr:spPr>
        <a:xfrm>
          <a:off x="13160375" y="35972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238125</xdr:colOff>
      <xdr:row>5</xdr:row>
      <xdr:rowOff>238125</xdr:rowOff>
    </xdr:from>
    <xdr:to>
      <xdr:col>26</xdr:col>
      <xdr:colOff>238125</xdr:colOff>
      <xdr:row>5</xdr:row>
      <xdr:rowOff>238125</xdr:rowOff>
    </xdr:to>
    <xdr:sp macro="" textlink="">
      <xdr:nvSpPr>
        <xdr:cNvPr id="41771" name="rteShptp26c11c23size26color65280routevcb"/>
        <xdr:cNvSpPr/>
      </xdr:nvSpPr>
      <xdr:spPr>
        <a:xfrm>
          <a:off x="133254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238125</xdr:colOff>
      <xdr:row>13</xdr:row>
      <xdr:rowOff>238125</xdr:rowOff>
    </xdr:from>
    <xdr:to>
      <xdr:col>26</xdr:col>
      <xdr:colOff>238125</xdr:colOff>
      <xdr:row>13</xdr:row>
      <xdr:rowOff>238125</xdr:rowOff>
    </xdr:to>
    <xdr:sp macro="" textlink="">
      <xdr:nvSpPr>
        <xdr:cNvPr id="41775" name="rteShptp26c12c21size0color0routec"/>
        <xdr:cNvSpPr/>
      </xdr:nvSpPr>
      <xdr:spPr>
        <a:xfrm>
          <a:off x="133254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73025</xdr:colOff>
      <xdr:row>15</xdr:row>
      <xdr:rowOff>73025</xdr:rowOff>
    </xdr:from>
    <xdr:to>
      <xdr:col>26</xdr:col>
      <xdr:colOff>403225</xdr:colOff>
      <xdr:row>15</xdr:row>
      <xdr:rowOff>403225</xdr:rowOff>
    </xdr:to>
    <xdr:sp macro="" textlink="">
      <xdr:nvSpPr>
        <xdr:cNvPr id="41777" name="tp26c12c23size26color65535routevb"/>
        <xdr:cNvSpPr/>
      </xdr:nvSpPr>
      <xdr:spPr>
        <a:xfrm>
          <a:off x="13160375" y="83597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238125</xdr:colOff>
      <xdr:row>15</xdr:row>
      <xdr:rowOff>238125</xdr:rowOff>
    </xdr:from>
    <xdr:to>
      <xdr:col>26</xdr:col>
      <xdr:colOff>238125</xdr:colOff>
      <xdr:row>15</xdr:row>
      <xdr:rowOff>238125</xdr:rowOff>
    </xdr:to>
    <xdr:sp macro="" textlink="">
      <xdr:nvSpPr>
        <xdr:cNvPr id="41778" name="rteShptp26c12c23size26color65535routevb"/>
        <xdr:cNvSpPr/>
      </xdr:nvSpPr>
      <xdr:spPr>
        <a:xfrm>
          <a:off x="13325475" y="852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73025</xdr:colOff>
      <xdr:row>25</xdr:row>
      <xdr:rowOff>73025</xdr:rowOff>
    </xdr:from>
    <xdr:to>
      <xdr:col>26</xdr:col>
      <xdr:colOff>403225</xdr:colOff>
      <xdr:row>25</xdr:row>
      <xdr:rowOff>403225</xdr:rowOff>
    </xdr:to>
    <xdr:sp macro="" textlink="">
      <xdr:nvSpPr>
        <xdr:cNvPr id="41781" name="tp26c13c23size26color65280routevcb"/>
        <xdr:cNvSpPr/>
      </xdr:nvSpPr>
      <xdr:spPr>
        <a:xfrm>
          <a:off x="13160375" y="131222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238125</xdr:colOff>
      <xdr:row>25</xdr:row>
      <xdr:rowOff>238125</xdr:rowOff>
    </xdr:from>
    <xdr:to>
      <xdr:col>26</xdr:col>
      <xdr:colOff>238125</xdr:colOff>
      <xdr:row>25</xdr:row>
      <xdr:rowOff>238125</xdr:rowOff>
    </xdr:to>
    <xdr:sp macro="" textlink="">
      <xdr:nvSpPr>
        <xdr:cNvPr id="41782" name="rteShptp26c13c23size26color65280routevcb"/>
        <xdr:cNvSpPr/>
      </xdr:nvSpPr>
      <xdr:spPr>
        <a:xfrm>
          <a:off x="13325475" y="1328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73025</xdr:colOff>
      <xdr:row>3</xdr:row>
      <xdr:rowOff>73025</xdr:rowOff>
    </xdr:from>
    <xdr:to>
      <xdr:col>27</xdr:col>
      <xdr:colOff>403225</xdr:colOff>
      <xdr:row>3</xdr:row>
      <xdr:rowOff>403225</xdr:rowOff>
    </xdr:to>
    <xdr:sp macro="" textlink="">
      <xdr:nvSpPr>
        <xdr:cNvPr id="41786" name="tp27c11c21size26color65280routevcb"/>
        <xdr:cNvSpPr/>
      </xdr:nvSpPr>
      <xdr:spPr>
        <a:xfrm>
          <a:off x="13636625" y="26447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238125</xdr:colOff>
      <xdr:row>3</xdr:row>
      <xdr:rowOff>238125</xdr:rowOff>
    </xdr:from>
    <xdr:to>
      <xdr:col>27</xdr:col>
      <xdr:colOff>238125</xdr:colOff>
      <xdr:row>3</xdr:row>
      <xdr:rowOff>238125</xdr:rowOff>
    </xdr:to>
    <xdr:sp macro="" textlink="">
      <xdr:nvSpPr>
        <xdr:cNvPr id="41787" name="rteShptp27c11c21size26color65280routevcb"/>
        <xdr:cNvSpPr/>
      </xdr:nvSpPr>
      <xdr:spPr>
        <a:xfrm>
          <a:off x="138017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174625</xdr:colOff>
      <xdr:row>4</xdr:row>
      <xdr:rowOff>174625</xdr:rowOff>
    </xdr:from>
    <xdr:to>
      <xdr:col>27</xdr:col>
      <xdr:colOff>301625</xdr:colOff>
      <xdr:row>4</xdr:row>
      <xdr:rowOff>301625</xdr:rowOff>
    </xdr:to>
    <xdr:sp macro="" textlink="">
      <xdr:nvSpPr>
        <xdr:cNvPr id="41791" name="tp27c11c22size10color65280route">
          <a:hlinkClick xmlns:r="http://schemas.openxmlformats.org/officeDocument/2006/relationships" r:id="" tooltip="Chris Shaw:&#10;not all IRA customers register for account center. Agents today not good at getting them registered, but that's preferred."/>
        </xdr:cNvPr>
        <xdr:cNvSpPr/>
      </xdr:nvSpPr>
      <xdr:spPr>
        <a:xfrm>
          <a:off x="13738225" y="3222625"/>
          <a:ext cx="127000" cy="1270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123825</xdr:colOff>
      <xdr:row>13</xdr:row>
      <xdr:rowOff>123825</xdr:rowOff>
    </xdr:from>
    <xdr:to>
      <xdr:col>27</xdr:col>
      <xdr:colOff>352425</xdr:colOff>
      <xdr:row>13</xdr:row>
      <xdr:rowOff>352425</xdr:rowOff>
    </xdr:to>
    <xdr:sp macro="" textlink="">
      <xdr:nvSpPr>
        <xdr:cNvPr id="41792" name="tp27c12c21size18color16777215route">
          <a:hlinkClick xmlns:r="http://schemas.openxmlformats.org/officeDocument/2006/relationships" r:id="" tooltip="Chris Shaw:&#10;occurs during application"/>
        </xdr:cNvPr>
        <xdr:cNvSpPr/>
      </xdr:nvSpPr>
      <xdr:spPr>
        <a:xfrm>
          <a:off x="13687425" y="7458075"/>
          <a:ext cx="228600" cy="228600"/>
        </a:xfrm>
        <a:prstGeom prst="ellipse">
          <a:avLst/>
        </a:prstGeom>
        <a:solidFill>
          <a:srgbClr val="FFFFFF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123825</xdr:colOff>
      <xdr:row>14</xdr:row>
      <xdr:rowOff>123825</xdr:rowOff>
    </xdr:from>
    <xdr:to>
      <xdr:col>27</xdr:col>
      <xdr:colOff>352425</xdr:colOff>
      <xdr:row>14</xdr:row>
      <xdr:rowOff>352425</xdr:rowOff>
    </xdr:to>
    <xdr:sp macro="" textlink="">
      <xdr:nvSpPr>
        <xdr:cNvPr id="41793" name="tp27c12c22size18color16777215route"/>
        <xdr:cNvSpPr/>
      </xdr:nvSpPr>
      <xdr:spPr>
        <a:xfrm>
          <a:off x="1368742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123825</xdr:colOff>
      <xdr:row>15</xdr:row>
      <xdr:rowOff>123825</xdr:rowOff>
    </xdr:from>
    <xdr:to>
      <xdr:col>27</xdr:col>
      <xdr:colOff>352425</xdr:colOff>
      <xdr:row>15</xdr:row>
      <xdr:rowOff>352425</xdr:rowOff>
    </xdr:to>
    <xdr:sp macro="" textlink="">
      <xdr:nvSpPr>
        <xdr:cNvPr id="41794" name="tp27c12c23size18color16777215route"/>
        <xdr:cNvSpPr/>
      </xdr:nvSpPr>
      <xdr:spPr>
        <a:xfrm>
          <a:off x="1368742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123825</xdr:colOff>
      <xdr:row>16</xdr:row>
      <xdr:rowOff>123825</xdr:rowOff>
    </xdr:from>
    <xdr:to>
      <xdr:col>27</xdr:col>
      <xdr:colOff>352425</xdr:colOff>
      <xdr:row>16</xdr:row>
      <xdr:rowOff>352425</xdr:rowOff>
    </xdr:to>
    <xdr:sp macro="" textlink="">
      <xdr:nvSpPr>
        <xdr:cNvPr id="41795" name="tp27c12c24size18color16777215route"/>
        <xdr:cNvSpPr/>
      </xdr:nvSpPr>
      <xdr:spPr>
        <a:xfrm>
          <a:off x="1368742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123825</xdr:colOff>
      <xdr:row>17</xdr:row>
      <xdr:rowOff>123825</xdr:rowOff>
    </xdr:from>
    <xdr:to>
      <xdr:col>27</xdr:col>
      <xdr:colOff>352425</xdr:colOff>
      <xdr:row>17</xdr:row>
      <xdr:rowOff>352425</xdr:rowOff>
    </xdr:to>
    <xdr:sp macro="" textlink="">
      <xdr:nvSpPr>
        <xdr:cNvPr id="41796" name="tp27c12c25size18color16777215route"/>
        <xdr:cNvSpPr/>
      </xdr:nvSpPr>
      <xdr:spPr>
        <a:xfrm>
          <a:off x="1368742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123825</xdr:colOff>
      <xdr:row>18</xdr:row>
      <xdr:rowOff>123825</xdr:rowOff>
    </xdr:from>
    <xdr:to>
      <xdr:col>27</xdr:col>
      <xdr:colOff>352425</xdr:colOff>
      <xdr:row>18</xdr:row>
      <xdr:rowOff>352425</xdr:rowOff>
    </xdr:to>
    <xdr:sp macro="" textlink="">
      <xdr:nvSpPr>
        <xdr:cNvPr id="41797" name="tp27c12c26size18color16777215routevcb"/>
        <xdr:cNvSpPr/>
      </xdr:nvSpPr>
      <xdr:spPr>
        <a:xfrm>
          <a:off x="1368742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238125</xdr:colOff>
      <xdr:row>18</xdr:row>
      <xdr:rowOff>238125</xdr:rowOff>
    </xdr:from>
    <xdr:to>
      <xdr:col>27</xdr:col>
      <xdr:colOff>238125</xdr:colOff>
      <xdr:row>18</xdr:row>
      <xdr:rowOff>238125</xdr:rowOff>
    </xdr:to>
    <xdr:sp macro="" textlink="">
      <xdr:nvSpPr>
        <xdr:cNvPr id="41798" name="rteShptp27c12c26size18color16777215routevcb"/>
        <xdr:cNvSpPr/>
      </xdr:nvSpPr>
      <xdr:spPr>
        <a:xfrm>
          <a:off x="1380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123825</xdr:colOff>
      <xdr:row>19</xdr:row>
      <xdr:rowOff>123825</xdr:rowOff>
    </xdr:from>
    <xdr:to>
      <xdr:col>27</xdr:col>
      <xdr:colOff>352425</xdr:colOff>
      <xdr:row>19</xdr:row>
      <xdr:rowOff>352425</xdr:rowOff>
    </xdr:to>
    <xdr:sp macro="" textlink="">
      <xdr:nvSpPr>
        <xdr:cNvPr id="41802" name="tp27c12c27size18color16777215route"/>
        <xdr:cNvSpPr/>
      </xdr:nvSpPr>
      <xdr:spPr>
        <a:xfrm>
          <a:off x="1368742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123825</xdr:colOff>
      <xdr:row>20</xdr:row>
      <xdr:rowOff>123825</xdr:rowOff>
    </xdr:from>
    <xdr:to>
      <xdr:col>27</xdr:col>
      <xdr:colOff>352425</xdr:colOff>
      <xdr:row>20</xdr:row>
      <xdr:rowOff>352425</xdr:rowOff>
    </xdr:to>
    <xdr:sp macro="" textlink="">
      <xdr:nvSpPr>
        <xdr:cNvPr id="41803" name="tp27c12c28size18color16777215route"/>
        <xdr:cNvSpPr/>
      </xdr:nvSpPr>
      <xdr:spPr>
        <a:xfrm>
          <a:off x="1368742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73025</xdr:colOff>
      <xdr:row>23</xdr:row>
      <xdr:rowOff>73025</xdr:rowOff>
    </xdr:from>
    <xdr:to>
      <xdr:col>27</xdr:col>
      <xdr:colOff>403225</xdr:colOff>
      <xdr:row>23</xdr:row>
      <xdr:rowOff>403225</xdr:rowOff>
    </xdr:to>
    <xdr:sp macro="" textlink="">
      <xdr:nvSpPr>
        <xdr:cNvPr id="41804" name="tp27c13c21size26color65280routevcb"/>
        <xdr:cNvSpPr/>
      </xdr:nvSpPr>
      <xdr:spPr>
        <a:xfrm>
          <a:off x="13636625" y="121697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238125</xdr:colOff>
      <xdr:row>23</xdr:row>
      <xdr:rowOff>238125</xdr:rowOff>
    </xdr:from>
    <xdr:to>
      <xdr:col>27</xdr:col>
      <xdr:colOff>238125</xdr:colOff>
      <xdr:row>23</xdr:row>
      <xdr:rowOff>238125</xdr:rowOff>
    </xdr:to>
    <xdr:sp macro="" textlink="">
      <xdr:nvSpPr>
        <xdr:cNvPr id="41805" name="rteShptp27c13c21size26color65280routevcb"/>
        <xdr:cNvSpPr/>
      </xdr:nvSpPr>
      <xdr:spPr>
        <a:xfrm>
          <a:off x="138017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174625</xdr:colOff>
      <xdr:row>24</xdr:row>
      <xdr:rowOff>174625</xdr:rowOff>
    </xdr:from>
    <xdr:to>
      <xdr:col>27</xdr:col>
      <xdr:colOff>301625</xdr:colOff>
      <xdr:row>24</xdr:row>
      <xdr:rowOff>301625</xdr:rowOff>
    </xdr:to>
    <xdr:sp macro="" textlink="">
      <xdr:nvSpPr>
        <xdr:cNvPr id="41809" name="tp27c13c22size10color65280route"/>
        <xdr:cNvSpPr/>
      </xdr:nvSpPr>
      <xdr:spPr>
        <a:xfrm>
          <a:off x="13738225" y="1274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73025</xdr:colOff>
      <xdr:row>5</xdr:row>
      <xdr:rowOff>73025</xdr:rowOff>
    </xdr:from>
    <xdr:to>
      <xdr:col>28</xdr:col>
      <xdr:colOff>403225</xdr:colOff>
      <xdr:row>5</xdr:row>
      <xdr:rowOff>403225</xdr:rowOff>
    </xdr:to>
    <xdr:sp macro="" textlink="">
      <xdr:nvSpPr>
        <xdr:cNvPr id="41810" name="tp28c11c23size26color65280routevc"/>
        <xdr:cNvSpPr/>
      </xdr:nvSpPr>
      <xdr:spPr>
        <a:xfrm>
          <a:off x="14112875" y="35972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238125</xdr:colOff>
      <xdr:row>5</xdr:row>
      <xdr:rowOff>238125</xdr:rowOff>
    </xdr:from>
    <xdr:to>
      <xdr:col>28</xdr:col>
      <xdr:colOff>238125</xdr:colOff>
      <xdr:row>5</xdr:row>
      <xdr:rowOff>238125</xdr:rowOff>
    </xdr:to>
    <xdr:sp macro="" textlink="">
      <xdr:nvSpPr>
        <xdr:cNvPr id="41811" name="rteShptp28c11c23size26color65280routevc"/>
        <xdr:cNvSpPr/>
      </xdr:nvSpPr>
      <xdr:spPr>
        <a:xfrm>
          <a:off x="142779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174625</xdr:colOff>
      <xdr:row>8</xdr:row>
      <xdr:rowOff>174625</xdr:rowOff>
    </xdr:from>
    <xdr:to>
      <xdr:col>28</xdr:col>
      <xdr:colOff>301625</xdr:colOff>
      <xdr:row>8</xdr:row>
      <xdr:rowOff>301625</xdr:rowOff>
    </xdr:to>
    <xdr:sp macro="" textlink="">
      <xdr:nvSpPr>
        <xdr:cNvPr id="41814" name="tp28c11c26size10color65280routeb"/>
        <xdr:cNvSpPr/>
      </xdr:nvSpPr>
      <xdr:spPr>
        <a:xfrm>
          <a:off x="14214475" y="512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238125</xdr:colOff>
      <xdr:row>8</xdr:row>
      <xdr:rowOff>238125</xdr:rowOff>
    </xdr:from>
    <xdr:to>
      <xdr:col>28</xdr:col>
      <xdr:colOff>238125</xdr:colOff>
      <xdr:row>8</xdr:row>
      <xdr:rowOff>238125</xdr:rowOff>
    </xdr:to>
    <xdr:sp macro="" textlink="">
      <xdr:nvSpPr>
        <xdr:cNvPr id="41815" name="rteShptp28c11c26size10color65280routeb"/>
        <xdr:cNvSpPr/>
      </xdr:nvSpPr>
      <xdr:spPr>
        <a:xfrm>
          <a:off x="14277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13</xdr:row>
      <xdr:rowOff>123825</xdr:rowOff>
    </xdr:from>
    <xdr:to>
      <xdr:col>28</xdr:col>
      <xdr:colOff>352425</xdr:colOff>
      <xdr:row>13</xdr:row>
      <xdr:rowOff>352425</xdr:rowOff>
    </xdr:to>
    <xdr:sp macro="" textlink="">
      <xdr:nvSpPr>
        <xdr:cNvPr id="41817" name="tp28c12c21size18color16777215route">
          <a:hlinkClick xmlns:r="http://schemas.openxmlformats.org/officeDocument/2006/relationships" r:id="" tooltip="Chris Shaw:&#10;occurs during application"/>
        </xdr:cNvPr>
        <xdr:cNvSpPr/>
      </xdr:nvSpPr>
      <xdr:spPr>
        <a:xfrm>
          <a:off x="14163675" y="7458075"/>
          <a:ext cx="228600" cy="228600"/>
        </a:xfrm>
        <a:prstGeom prst="ellipse">
          <a:avLst/>
        </a:prstGeom>
        <a:solidFill>
          <a:srgbClr val="FFFFFF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14</xdr:row>
      <xdr:rowOff>123825</xdr:rowOff>
    </xdr:from>
    <xdr:to>
      <xdr:col>28</xdr:col>
      <xdr:colOff>352425</xdr:colOff>
      <xdr:row>14</xdr:row>
      <xdr:rowOff>352425</xdr:rowOff>
    </xdr:to>
    <xdr:sp macro="" textlink="">
      <xdr:nvSpPr>
        <xdr:cNvPr id="41818" name="tp28c12c22size18color16777215route"/>
        <xdr:cNvSpPr/>
      </xdr:nvSpPr>
      <xdr:spPr>
        <a:xfrm>
          <a:off x="141636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15</xdr:row>
      <xdr:rowOff>123825</xdr:rowOff>
    </xdr:from>
    <xdr:to>
      <xdr:col>28</xdr:col>
      <xdr:colOff>352425</xdr:colOff>
      <xdr:row>15</xdr:row>
      <xdr:rowOff>352425</xdr:rowOff>
    </xdr:to>
    <xdr:sp macro="" textlink="">
      <xdr:nvSpPr>
        <xdr:cNvPr id="41819" name="tp28c12c23size18color16777215route"/>
        <xdr:cNvSpPr/>
      </xdr:nvSpPr>
      <xdr:spPr>
        <a:xfrm>
          <a:off x="1416367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16</xdr:row>
      <xdr:rowOff>123825</xdr:rowOff>
    </xdr:from>
    <xdr:to>
      <xdr:col>28</xdr:col>
      <xdr:colOff>352425</xdr:colOff>
      <xdr:row>16</xdr:row>
      <xdr:rowOff>352425</xdr:rowOff>
    </xdr:to>
    <xdr:sp macro="" textlink="">
      <xdr:nvSpPr>
        <xdr:cNvPr id="41820" name="tp28c12c24size18color16777215route"/>
        <xdr:cNvSpPr/>
      </xdr:nvSpPr>
      <xdr:spPr>
        <a:xfrm>
          <a:off x="1416367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17</xdr:row>
      <xdr:rowOff>123825</xdr:rowOff>
    </xdr:from>
    <xdr:to>
      <xdr:col>28</xdr:col>
      <xdr:colOff>352425</xdr:colOff>
      <xdr:row>17</xdr:row>
      <xdr:rowOff>352425</xdr:rowOff>
    </xdr:to>
    <xdr:sp macro="" textlink="">
      <xdr:nvSpPr>
        <xdr:cNvPr id="41821" name="tp28c12c25size18color16777215route"/>
        <xdr:cNvSpPr/>
      </xdr:nvSpPr>
      <xdr:spPr>
        <a:xfrm>
          <a:off x="1416367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18</xdr:row>
      <xdr:rowOff>123825</xdr:rowOff>
    </xdr:from>
    <xdr:to>
      <xdr:col>28</xdr:col>
      <xdr:colOff>352425</xdr:colOff>
      <xdr:row>18</xdr:row>
      <xdr:rowOff>352425</xdr:rowOff>
    </xdr:to>
    <xdr:sp macro="" textlink="">
      <xdr:nvSpPr>
        <xdr:cNvPr id="41822" name="tp28c12c26size18color16777215routevcb"/>
        <xdr:cNvSpPr/>
      </xdr:nvSpPr>
      <xdr:spPr>
        <a:xfrm>
          <a:off x="1416367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238125</xdr:colOff>
      <xdr:row>18</xdr:row>
      <xdr:rowOff>238125</xdr:rowOff>
    </xdr:from>
    <xdr:to>
      <xdr:col>28</xdr:col>
      <xdr:colOff>238125</xdr:colOff>
      <xdr:row>18</xdr:row>
      <xdr:rowOff>238125</xdr:rowOff>
    </xdr:to>
    <xdr:sp macro="" textlink="">
      <xdr:nvSpPr>
        <xdr:cNvPr id="41823" name="rteShptp28c12c26size18color16777215routevcb"/>
        <xdr:cNvSpPr/>
      </xdr:nvSpPr>
      <xdr:spPr>
        <a:xfrm>
          <a:off x="1427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19</xdr:row>
      <xdr:rowOff>123825</xdr:rowOff>
    </xdr:from>
    <xdr:to>
      <xdr:col>28</xdr:col>
      <xdr:colOff>352425</xdr:colOff>
      <xdr:row>19</xdr:row>
      <xdr:rowOff>352425</xdr:rowOff>
    </xdr:to>
    <xdr:sp macro="" textlink="">
      <xdr:nvSpPr>
        <xdr:cNvPr id="41827" name="tp28c12c27size18color16777215route"/>
        <xdr:cNvSpPr/>
      </xdr:nvSpPr>
      <xdr:spPr>
        <a:xfrm>
          <a:off x="1416367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20</xdr:row>
      <xdr:rowOff>123825</xdr:rowOff>
    </xdr:from>
    <xdr:to>
      <xdr:col>28</xdr:col>
      <xdr:colOff>352425</xdr:colOff>
      <xdr:row>20</xdr:row>
      <xdr:rowOff>352425</xdr:rowOff>
    </xdr:to>
    <xdr:sp macro="" textlink="">
      <xdr:nvSpPr>
        <xdr:cNvPr id="41828" name="tp28c12c28size18color16777215route"/>
        <xdr:cNvSpPr/>
      </xdr:nvSpPr>
      <xdr:spPr>
        <a:xfrm>
          <a:off x="1416367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23</xdr:row>
      <xdr:rowOff>123825</xdr:rowOff>
    </xdr:from>
    <xdr:to>
      <xdr:col>28</xdr:col>
      <xdr:colOff>352425</xdr:colOff>
      <xdr:row>23</xdr:row>
      <xdr:rowOff>352425</xdr:rowOff>
    </xdr:to>
    <xdr:sp macro="" textlink="">
      <xdr:nvSpPr>
        <xdr:cNvPr id="41829" name="tp28c13c21size18color16777215routevcb"/>
        <xdr:cNvSpPr/>
      </xdr:nvSpPr>
      <xdr:spPr>
        <a:xfrm>
          <a:off x="141636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238125</xdr:colOff>
      <xdr:row>23</xdr:row>
      <xdr:rowOff>238125</xdr:rowOff>
    </xdr:from>
    <xdr:to>
      <xdr:col>28</xdr:col>
      <xdr:colOff>238125</xdr:colOff>
      <xdr:row>23</xdr:row>
      <xdr:rowOff>238125</xdr:rowOff>
    </xdr:to>
    <xdr:sp macro="" textlink="">
      <xdr:nvSpPr>
        <xdr:cNvPr id="41830" name="rteShptp28c13c21size18color16777215routevcb"/>
        <xdr:cNvSpPr/>
      </xdr:nvSpPr>
      <xdr:spPr>
        <a:xfrm>
          <a:off x="142779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24</xdr:row>
      <xdr:rowOff>123825</xdr:rowOff>
    </xdr:from>
    <xdr:to>
      <xdr:col>28</xdr:col>
      <xdr:colOff>352425</xdr:colOff>
      <xdr:row>24</xdr:row>
      <xdr:rowOff>352425</xdr:rowOff>
    </xdr:to>
    <xdr:sp macro="" textlink="">
      <xdr:nvSpPr>
        <xdr:cNvPr id="41834" name="tp28c13c22size18color16777215route"/>
        <xdr:cNvSpPr/>
      </xdr:nvSpPr>
      <xdr:spPr>
        <a:xfrm>
          <a:off x="1416367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25</xdr:row>
      <xdr:rowOff>123825</xdr:rowOff>
    </xdr:from>
    <xdr:to>
      <xdr:col>28</xdr:col>
      <xdr:colOff>352425</xdr:colOff>
      <xdr:row>25</xdr:row>
      <xdr:rowOff>352425</xdr:rowOff>
    </xdr:to>
    <xdr:sp macro="" textlink="">
      <xdr:nvSpPr>
        <xdr:cNvPr id="41835" name="tp28c13c23size18color16777215route"/>
        <xdr:cNvSpPr/>
      </xdr:nvSpPr>
      <xdr:spPr>
        <a:xfrm>
          <a:off x="1416367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26</xdr:row>
      <xdr:rowOff>123825</xdr:rowOff>
    </xdr:from>
    <xdr:to>
      <xdr:col>28</xdr:col>
      <xdr:colOff>352425</xdr:colOff>
      <xdr:row>26</xdr:row>
      <xdr:rowOff>352425</xdr:rowOff>
    </xdr:to>
    <xdr:sp macro="" textlink="">
      <xdr:nvSpPr>
        <xdr:cNvPr id="41836" name="tp28c13c24size18color16777215route"/>
        <xdr:cNvSpPr/>
      </xdr:nvSpPr>
      <xdr:spPr>
        <a:xfrm>
          <a:off x="1416367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27</xdr:row>
      <xdr:rowOff>123825</xdr:rowOff>
    </xdr:from>
    <xdr:to>
      <xdr:col>28</xdr:col>
      <xdr:colOff>352425</xdr:colOff>
      <xdr:row>27</xdr:row>
      <xdr:rowOff>352425</xdr:rowOff>
    </xdr:to>
    <xdr:sp macro="" textlink="">
      <xdr:nvSpPr>
        <xdr:cNvPr id="41837" name="tp28c13c25size18color16777215route"/>
        <xdr:cNvSpPr/>
      </xdr:nvSpPr>
      <xdr:spPr>
        <a:xfrm>
          <a:off x="1416367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28</xdr:row>
      <xdr:rowOff>123825</xdr:rowOff>
    </xdr:from>
    <xdr:to>
      <xdr:col>28</xdr:col>
      <xdr:colOff>352425</xdr:colOff>
      <xdr:row>28</xdr:row>
      <xdr:rowOff>352425</xdr:rowOff>
    </xdr:to>
    <xdr:sp macro="" textlink="">
      <xdr:nvSpPr>
        <xdr:cNvPr id="41838" name="tp28c13c26size18color16777215route"/>
        <xdr:cNvSpPr/>
      </xdr:nvSpPr>
      <xdr:spPr>
        <a:xfrm>
          <a:off x="141636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29</xdr:row>
      <xdr:rowOff>123825</xdr:rowOff>
    </xdr:from>
    <xdr:to>
      <xdr:col>28</xdr:col>
      <xdr:colOff>352425</xdr:colOff>
      <xdr:row>29</xdr:row>
      <xdr:rowOff>352425</xdr:rowOff>
    </xdr:to>
    <xdr:sp macro="" textlink="">
      <xdr:nvSpPr>
        <xdr:cNvPr id="41839" name="tp28c13c27size18color16777215route"/>
        <xdr:cNvSpPr/>
      </xdr:nvSpPr>
      <xdr:spPr>
        <a:xfrm>
          <a:off x="1416367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123825</xdr:colOff>
      <xdr:row>30</xdr:row>
      <xdr:rowOff>123825</xdr:rowOff>
    </xdr:from>
    <xdr:to>
      <xdr:col>28</xdr:col>
      <xdr:colOff>352425</xdr:colOff>
      <xdr:row>30</xdr:row>
      <xdr:rowOff>352425</xdr:rowOff>
    </xdr:to>
    <xdr:sp macro="" textlink="">
      <xdr:nvSpPr>
        <xdr:cNvPr id="41840" name="tp28c13c28size18color16777215route"/>
        <xdr:cNvSpPr/>
      </xdr:nvSpPr>
      <xdr:spPr>
        <a:xfrm>
          <a:off x="1416367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174625</xdr:colOff>
      <xdr:row>4</xdr:row>
      <xdr:rowOff>174625</xdr:rowOff>
    </xdr:from>
    <xdr:to>
      <xdr:col>29</xdr:col>
      <xdr:colOff>301625</xdr:colOff>
      <xdr:row>4</xdr:row>
      <xdr:rowOff>301625</xdr:rowOff>
    </xdr:to>
    <xdr:sp macro="" textlink="">
      <xdr:nvSpPr>
        <xdr:cNvPr id="41841" name="tp29c11c22size10color255route"/>
        <xdr:cNvSpPr/>
      </xdr:nvSpPr>
      <xdr:spPr>
        <a:xfrm>
          <a:off x="14690725" y="3222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73025</xdr:colOff>
      <xdr:row>5</xdr:row>
      <xdr:rowOff>73025</xdr:rowOff>
    </xdr:from>
    <xdr:to>
      <xdr:col>29</xdr:col>
      <xdr:colOff>403225</xdr:colOff>
      <xdr:row>5</xdr:row>
      <xdr:rowOff>403225</xdr:rowOff>
    </xdr:to>
    <xdr:sp macro="" textlink="">
      <xdr:nvSpPr>
        <xdr:cNvPr id="41842" name="tp29c11c23size26color65535routevc"/>
        <xdr:cNvSpPr/>
      </xdr:nvSpPr>
      <xdr:spPr>
        <a:xfrm>
          <a:off x="14589125" y="3597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238125</xdr:colOff>
      <xdr:row>5</xdr:row>
      <xdr:rowOff>238125</xdr:rowOff>
    </xdr:from>
    <xdr:to>
      <xdr:col>29</xdr:col>
      <xdr:colOff>238125</xdr:colOff>
      <xdr:row>5</xdr:row>
      <xdr:rowOff>238125</xdr:rowOff>
    </xdr:to>
    <xdr:sp macro="" textlink="">
      <xdr:nvSpPr>
        <xdr:cNvPr id="41843" name="rteShptp29c11c23size26color65535routevc"/>
        <xdr:cNvSpPr/>
      </xdr:nvSpPr>
      <xdr:spPr>
        <a:xfrm>
          <a:off x="1475422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238125</xdr:colOff>
      <xdr:row>8</xdr:row>
      <xdr:rowOff>238125</xdr:rowOff>
    </xdr:from>
    <xdr:to>
      <xdr:col>29</xdr:col>
      <xdr:colOff>238125</xdr:colOff>
      <xdr:row>8</xdr:row>
      <xdr:rowOff>238125</xdr:rowOff>
    </xdr:to>
    <xdr:sp macro="" textlink="">
      <xdr:nvSpPr>
        <xdr:cNvPr id="41846" name="rteShptp29c11c26size0color0routeb"/>
        <xdr:cNvSpPr/>
      </xdr:nvSpPr>
      <xdr:spPr>
        <a:xfrm>
          <a:off x="14754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123825</xdr:colOff>
      <xdr:row>13</xdr:row>
      <xdr:rowOff>123825</xdr:rowOff>
    </xdr:from>
    <xdr:to>
      <xdr:col>29</xdr:col>
      <xdr:colOff>352425</xdr:colOff>
      <xdr:row>13</xdr:row>
      <xdr:rowOff>352425</xdr:rowOff>
    </xdr:to>
    <xdr:sp macro="" textlink="">
      <xdr:nvSpPr>
        <xdr:cNvPr id="41848" name="tp29c12c21size18color16777215route">
          <a:hlinkClick xmlns:r="http://schemas.openxmlformats.org/officeDocument/2006/relationships" r:id="" tooltip="Chris Shaw:&#10;occurs during application"/>
        </xdr:cNvPr>
        <xdr:cNvSpPr/>
      </xdr:nvSpPr>
      <xdr:spPr>
        <a:xfrm>
          <a:off x="14639925" y="7458075"/>
          <a:ext cx="228600" cy="228600"/>
        </a:xfrm>
        <a:prstGeom prst="ellipse">
          <a:avLst/>
        </a:prstGeom>
        <a:solidFill>
          <a:srgbClr val="FFFFFF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123825</xdr:colOff>
      <xdr:row>14</xdr:row>
      <xdr:rowOff>123825</xdr:rowOff>
    </xdr:from>
    <xdr:to>
      <xdr:col>29</xdr:col>
      <xdr:colOff>352425</xdr:colOff>
      <xdr:row>14</xdr:row>
      <xdr:rowOff>352425</xdr:rowOff>
    </xdr:to>
    <xdr:sp macro="" textlink="">
      <xdr:nvSpPr>
        <xdr:cNvPr id="41849" name="tp29c12c22size18color16777215route"/>
        <xdr:cNvSpPr/>
      </xdr:nvSpPr>
      <xdr:spPr>
        <a:xfrm>
          <a:off x="1463992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123825</xdr:colOff>
      <xdr:row>15</xdr:row>
      <xdr:rowOff>123825</xdr:rowOff>
    </xdr:from>
    <xdr:to>
      <xdr:col>29</xdr:col>
      <xdr:colOff>352425</xdr:colOff>
      <xdr:row>15</xdr:row>
      <xdr:rowOff>352425</xdr:rowOff>
    </xdr:to>
    <xdr:sp macro="" textlink="">
      <xdr:nvSpPr>
        <xdr:cNvPr id="41850" name="tp29c12c23size18color16777215route"/>
        <xdr:cNvSpPr/>
      </xdr:nvSpPr>
      <xdr:spPr>
        <a:xfrm>
          <a:off x="1463992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123825</xdr:colOff>
      <xdr:row>16</xdr:row>
      <xdr:rowOff>123825</xdr:rowOff>
    </xdr:from>
    <xdr:to>
      <xdr:col>29</xdr:col>
      <xdr:colOff>352425</xdr:colOff>
      <xdr:row>16</xdr:row>
      <xdr:rowOff>352425</xdr:rowOff>
    </xdr:to>
    <xdr:sp macro="" textlink="">
      <xdr:nvSpPr>
        <xdr:cNvPr id="41851" name="tp29c12c24size18color16777215route"/>
        <xdr:cNvSpPr/>
      </xdr:nvSpPr>
      <xdr:spPr>
        <a:xfrm>
          <a:off x="1463992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123825</xdr:colOff>
      <xdr:row>17</xdr:row>
      <xdr:rowOff>123825</xdr:rowOff>
    </xdr:from>
    <xdr:to>
      <xdr:col>29</xdr:col>
      <xdr:colOff>352425</xdr:colOff>
      <xdr:row>17</xdr:row>
      <xdr:rowOff>352425</xdr:rowOff>
    </xdr:to>
    <xdr:sp macro="" textlink="">
      <xdr:nvSpPr>
        <xdr:cNvPr id="41852" name="tp29c12c25size18color16777215route"/>
        <xdr:cNvSpPr/>
      </xdr:nvSpPr>
      <xdr:spPr>
        <a:xfrm>
          <a:off x="1463992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123825</xdr:colOff>
      <xdr:row>18</xdr:row>
      <xdr:rowOff>123825</xdr:rowOff>
    </xdr:from>
    <xdr:to>
      <xdr:col>29</xdr:col>
      <xdr:colOff>352425</xdr:colOff>
      <xdr:row>18</xdr:row>
      <xdr:rowOff>352425</xdr:rowOff>
    </xdr:to>
    <xdr:sp macro="" textlink="">
      <xdr:nvSpPr>
        <xdr:cNvPr id="41853" name="tp29c12c26size18color16777215routevcb"/>
        <xdr:cNvSpPr/>
      </xdr:nvSpPr>
      <xdr:spPr>
        <a:xfrm>
          <a:off x="1463992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238125</xdr:colOff>
      <xdr:row>18</xdr:row>
      <xdr:rowOff>238125</xdr:rowOff>
    </xdr:from>
    <xdr:to>
      <xdr:col>29</xdr:col>
      <xdr:colOff>238125</xdr:colOff>
      <xdr:row>18</xdr:row>
      <xdr:rowOff>238125</xdr:rowOff>
    </xdr:to>
    <xdr:sp macro="" textlink="">
      <xdr:nvSpPr>
        <xdr:cNvPr id="41854" name="rteShptp29c12c26size18color16777215routevcb"/>
        <xdr:cNvSpPr/>
      </xdr:nvSpPr>
      <xdr:spPr>
        <a:xfrm>
          <a:off x="1475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123825</xdr:colOff>
      <xdr:row>19</xdr:row>
      <xdr:rowOff>123825</xdr:rowOff>
    </xdr:from>
    <xdr:to>
      <xdr:col>29</xdr:col>
      <xdr:colOff>352425</xdr:colOff>
      <xdr:row>19</xdr:row>
      <xdr:rowOff>352425</xdr:rowOff>
    </xdr:to>
    <xdr:sp macro="" textlink="">
      <xdr:nvSpPr>
        <xdr:cNvPr id="41858" name="tp29c12c27size18color16777215route"/>
        <xdr:cNvSpPr/>
      </xdr:nvSpPr>
      <xdr:spPr>
        <a:xfrm>
          <a:off x="1463992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123825</xdr:colOff>
      <xdr:row>20</xdr:row>
      <xdr:rowOff>123825</xdr:rowOff>
    </xdr:from>
    <xdr:to>
      <xdr:col>29</xdr:col>
      <xdr:colOff>352425</xdr:colOff>
      <xdr:row>20</xdr:row>
      <xdr:rowOff>352425</xdr:rowOff>
    </xdr:to>
    <xdr:sp macro="" textlink="">
      <xdr:nvSpPr>
        <xdr:cNvPr id="41859" name="tp29c12c28size18color16777215route"/>
        <xdr:cNvSpPr/>
      </xdr:nvSpPr>
      <xdr:spPr>
        <a:xfrm>
          <a:off x="1463992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73025</xdr:colOff>
      <xdr:row>25</xdr:row>
      <xdr:rowOff>73025</xdr:rowOff>
    </xdr:from>
    <xdr:to>
      <xdr:col>29</xdr:col>
      <xdr:colOff>403225</xdr:colOff>
      <xdr:row>25</xdr:row>
      <xdr:rowOff>403225</xdr:rowOff>
    </xdr:to>
    <xdr:sp macro="" textlink="">
      <xdr:nvSpPr>
        <xdr:cNvPr id="41860" name="tp29c13c23size26color65535routev"/>
        <xdr:cNvSpPr/>
      </xdr:nvSpPr>
      <xdr:spPr>
        <a:xfrm>
          <a:off x="14589125" y="13122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238125</xdr:colOff>
      <xdr:row>25</xdr:row>
      <xdr:rowOff>238125</xdr:rowOff>
    </xdr:from>
    <xdr:to>
      <xdr:col>29</xdr:col>
      <xdr:colOff>238125</xdr:colOff>
      <xdr:row>25</xdr:row>
      <xdr:rowOff>238125</xdr:rowOff>
    </xdr:to>
    <xdr:sp macro="" textlink="">
      <xdr:nvSpPr>
        <xdr:cNvPr id="41861" name="rteShptp29c13c23size26color65535routev"/>
        <xdr:cNvSpPr/>
      </xdr:nvSpPr>
      <xdr:spPr>
        <a:xfrm>
          <a:off x="14754225" y="1328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174625</xdr:colOff>
      <xdr:row>28</xdr:row>
      <xdr:rowOff>174625</xdr:rowOff>
    </xdr:from>
    <xdr:to>
      <xdr:col>29</xdr:col>
      <xdr:colOff>301625</xdr:colOff>
      <xdr:row>28</xdr:row>
      <xdr:rowOff>301625</xdr:rowOff>
    </xdr:to>
    <xdr:sp macro="" textlink="">
      <xdr:nvSpPr>
        <xdr:cNvPr id="41863" name="tp29c13c26size10color65280routecb">
          <a:hlinkClick xmlns:r="http://schemas.openxmlformats.org/officeDocument/2006/relationships" r:id="" tooltip="Chris Shaw:&#10;secure doe upload"/>
        </xdr:cNvPr>
        <xdr:cNvSpPr/>
      </xdr:nvSpPr>
      <xdr:spPr>
        <a:xfrm>
          <a:off x="14690725" y="14652625"/>
          <a:ext cx="127000" cy="1270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238125</xdr:colOff>
      <xdr:row>28</xdr:row>
      <xdr:rowOff>238125</xdr:rowOff>
    </xdr:from>
    <xdr:to>
      <xdr:col>29</xdr:col>
      <xdr:colOff>238125</xdr:colOff>
      <xdr:row>28</xdr:row>
      <xdr:rowOff>238125</xdr:rowOff>
    </xdr:to>
    <xdr:sp macro="" textlink="">
      <xdr:nvSpPr>
        <xdr:cNvPr id="41864" name="rteShptp29c13c26size10color65280routecb"/>
        <xdr:cNvSpPr/>
      </xdr:nvSpPr>
      <xdr:spPr>
        <a:xfrm>
          <a:off x="14754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174625</xdr:colOff>
      <xdr:row>4</xdr:row>
      <xdr:rowOff>174625</xdr:rowOff>
    </xdr:from>
    <xdr:to>
      <xdr:col>30</xdr:col>
      <xdr:colOff>301625</xdr:colOff>
      <xdr:row>4</xdr:row>
      <xdr:rowOff>301625</xdr:rowOff>
    </xdr:to>
    <xdr:sp macro="" textlink="">
      <xdr:nvSpPr>
        <xdr:cNvPr id="41867" name="tp30c11c22size10color255routec">
          <a:hlinkClick xmlns:r="http://schemas.openxmlformats.org/officeDocument/2006/relationships" r:id="" tooltip="customers who call unhappy b/c need help or are having probs with forms&#10;"/>
        </xdr:cNvPr>
        <xdr:cNvSpPr/>
      </xdr:nvSpPr>
      <xdr:spPr>
        <a:xfrm>
          <a:off x="15166975" y="3222625"/>
          <a:ext cx="127000" cy="127000"/>
        </a:xfrm>
        <a:prstGeom prst="ellipse">
          <a:avLst/>
        </a:prstGeom>
        <a:solidFill>
          <a:srgbClr val="FF00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238125</xdr:colOff>
      <xdr:row>4</xdr:row>
      <xdr:rowOff>238125</xdr:rowOff>
    </xdr:from>
    <xdr:to>
      <xdr:col>30</xdr:col>
      <xdr:colOff>238125</xdr:colOff>
      <xdr:row>4</xdr:row>
      <xdr:rowOff>238125</xdr:rowOff>
    </xdr:to>
    <xdr:sp macro="" textlink="">
      <xdr:nvSpPr>
        <xdr:cNvPr id="41868" name="rteShptp30c11c22size10color255routec"/>
        <xdr:cNvSpPr/>
      </xdr:nvSpPr>
      <xdr:spPr>
        <a:xfrm>
          <a:off x="15230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73025</xdr:colOff>
      <xdr:row>5</xdr:row>
      <xdr:rowOff>73025</xdr:rowOff>
    </xdr:from>
    <xdr:to>
      <xdr:col>30</xdr:col>
      <xdr:colOff>403225</xdr:colOff>
      <xdr:row>5</xdr:row>
      <xdr:rowOff>403225</xdr:rowOff>
    </xdr:to>
    <xdr:sp macro="" textlink="">
      <xdr:nvSpPr>
        <xdr:cNvPr id="41870" name="tp30c11c23size26color255routev">
          <a:hlinkClick xmlns:r="http://schemas.openxmlformats.org/officeDocument/2006/relationships" r:id="" tooltip="Chris Shaw:&#10;most mail at this stage bc others will fund during app"/>
        </xdr:cNvPr>
        <xdr:cNvSpPr/>
      </xdr:nvSpPr>
      <xdr:spPr>
        <a:xfrm>
          <a:off x="15065375" y="3597275"/>
          <a:ext cx="330200" cy="330200"/>
        </a:xfrm>
        <a:prstGeom prst="ellipse">
          <a:avLst/>
        </a:prstGeom>
        <a:solidFill>
          <a:srgbClr val="FF00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238125</xdr:colOff>
      <xdr:row>5</xdr:row>
      <xdr:rowOff>238125</xdr:rowOff>
    </xdr:from>
    <xdr:to>
      <xdr:col>30</xdr:col>
      <xdr:colOff>238125</xdr:colOff>
      <xdr:row>5</xdr:row>
      <xdr:rowOff>238125</xdr:rowOff>
    </xdr:to>
    <xdr:sp macro="" textlink="">
      <xdr:nvSpPr>
        <xdr:cNvPr id="41871" name="rteShptp30c11c23size26color255routev"/>
        <xdr:cNvSpPr/>
      </xdr:nvSpPr>
      <xdr:spPr>
        <a:xfrm>
          <a:off x="152304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174625</xdr:colOff>
      <xdr:row>8</xdr:row>
      <xdr:rowOff>174625</xdr:rowOff>
    </xdr:from>
    <xdr:to>
      <xdr:col>30</xdr:col>
      <xdr:colOff>301625</xdr:colOff>
      <xdr:row>8</xdr:row>
      <xdr:rowOff>301625</xdr:rowOff>
    </xdr:to>
    <xdr:sp macro="" textlink="">
      <xdr:nvSpPr>
        <xdr:cNvPr id="41873" name="tp30c11c26size10color65535routeb"/>
        <xdr:cNvSpPr/>
      </xdr:nvSpPr>
      <xdr:spPr>
        <a:xfrm>
          <a:off x="15166975" y="512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238125</xdr:colOff>
      <xdr:row>8</xdr:row>
      <xdr:rowOff>238125</xdr:rowOff>
    </xdr:from>
    <xdr:to>
      <xdr:col>30</xdr:col>
      <xdr:colOff>238125</xdr:colOff>
      <xdr:row>8</xdr:row>
      <xdr:rowOff>238125</xdr:rowOff>
    </xdr:to>
    <xdr:sp macro="" textlink="">
      <xdr:nvSpPr>
        <xdr:cNvPr id="41874" name="rteShptp30c11c26size10color65535routeb"/>
        <xdr:cNvSpPr/>
      </xdr:nvSpPr>
      <xdr:spPr>
        <a:xfrm>
          <a:off x="15230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123825</xdr:colOff>
      <xdr:row>13</xdr:row>
      <xdr:rowOff>123825</xdr:rowOff>
    </xdr:from>
    <xdr:to>
      <xdr:col>30</xdr:col>
      <xdr:colOff>352425</xdr:colOff>
      <xdr:row>13</xdr:row>
      <xdr:rowOff>352425</xdr:rowOff>
    </xdr:to>
    <xdr:sp macro="" textlink="">
      <xdr:nvSpPr>
        <xdr:cNvPr id="41876" name="tp30c12c21size18color16777215route">
          <a:hlinkClick xmlns:r="http://schemas.openxmlformats.org/officeDocument/2006/relationships" r:id="" tooltip="Chris Shaw:&#10;occurs during application"/>
        </xdr:cNvPr>
        <xdr:cNvSpPr/>
      </xdr:nvSpPr>
      <xdr:spPr>
        <a:xfrm>
          <a:off x="15116175" y="7458075"/>
          <a:ext cx="228600" cy="228600"/>
        </a:xfrm>
        <a:prstGeom prst="ellipse">
          <a:avLst/>
        </a:prstGeom>
        <a:solidFill>
          <a:srgbClr val="FFFFFF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123825</xdr:colOff>
      <xdr:row>14</xdr:row>
      <xdr:rowOff>123825</xdr:rowOff>
    </xdr:from>
    <xdr:to>
      <xdr:col>30</xdr:col>
      <xdr:colOff>352425</xdr:colOff>
      <xdr:row>14</xdr:row>
      <xdr:rowOff>352425</xdr:rowOff>
    </xdr:to>
    <xdr:sp macro="" textlink="">
      <xdr:nvSpPr>
        <xdr:cNvPr id="41877" name="tp30c12c22size18color16777215route"/>
        <xdr:cNvSpPr/>
      </xdr:nvSpPr>
      <xdr:spPr>
        <a:xfrm>
          <a:off x="151161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123825</xdr:colOff>
      <xdr:row>15</xdr:row>
      <xdr:rowOff>123825</xdr:rowOff>
    </xdr:from>
    <xdr:to>
      <xdr:col>30</xdr:col>
      <xdr:colOff>352425</xdr:colOff>
      <xdr:row>15</xdr:row>
      <xdr:rowOff>352425</xdr:rowOff>
    </xdr:to>
    <xdr:sp macro="" textlink="">
      <xdr:nvSpPr>
        <xdr:cNvPr id="41878" name="tp30c12c23size18color16777215route"/>
        <xdr:cNvSpPr/>
      </xdr:nvSpPr>
      <xdr:spPr>
        <a:xfrm>
          <a:off x="1511617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123825</xdr:colOff>
      <xdr:row>16</xdr:row>
      <xdr:rowOff>123825</xdr:rowOff>
    </xdr:from>
    <xdr:to>
      <xdr:col>30</xdr:col>
      <xdr:colOff>352425</xdr:colOff>
      <xdr:row>16</xdr:row>
      <xdr:rowOff>352425</xdr:rowOff>
    </xdr:to>
    <xdr:sp macro="" textlink="">
      <xdr:nvSpPr>
        <xdr:cNvPr id="41879" name="tp30c12c24size18color16777215route"/>
        <xdr:cNvSpPr/>
      </xdr:nvSpPr>
      <xdr:spPr>
        <a:xfrm>
          <a:off x="1511617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123825</xdr:colOff>
      <xdr:row>17</xdr:row>
      <xdr:rowOff>123825</xdr:rowOff>
    </xdr:from>
    <xdr:to>
      <xdr:col>30</xdr:col>
      <xdr:colOff>352425</xdr:colOff>
      <xdr:row>17</xdr:row>
      <xdr:rowOff>352425</xdr:rowOff>
    </xdr:to>
    <xdr:sp macro="" textlink="">
      <xdr:nvSpPr>
        <xdr:cNvPr id="41880" name="tp30c12c25size18color16777215route"/>
        <xdr:cNvSpPr/>
      </xdr:nvSpPr>
      <xdr:spPr>
        <a:xfrm>
          <a:off x="1511617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123825</xdr:colOff>
      <xdr:row>18</xdr:row>
      <xdr:rowOff>123825</xdr:rowOff>
    </xdr:from>
    <xdr:to>
      <xdr:col>30</xdr:col>
      <xdr:colOff>352425</xdr:colOff>
      <xdr:row>18</xdr:row>
      <xdr:rowOff>352425</xdr:rowOff>
    </xdr:to>
    <xdr:sp macro="" textlink="">
      <xdr:nvSpPr>
        <xdr:cNvPr id="41881" name="tp30c12c26size18color16777215routevcb"/>
        <xdr:cNvSpPr/>
      </xdr:nvSpPr>
      <xdr:spPr>
        <a:xfrm>
          <a:off x="1511617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238125</xdr:colOff>
      <xdr:row>18</xdr:row>
      <xdr:rowOff>238125</xdr:rowOff>
    </xdr:from>
    <xdr:to>
      <xdr:col>30</xdr:col>
      <xdr:colOff>238125</xdr:colOff>
      <xdr:row>18</xdr:row>
      <xdr:rowOff>238125</xdr:rowOff>
    </xdr:to>
    <xdr:sp macro="" textlink="">
      <xdr:nvSpPr>
        <xdr:cNvPr id="41882" name="rteShptp30c12c26size18color16777215routevcb"/>
        <xdr:cNvSpPr/>
      </xdr:nvSpPr>
      <xdr:spPr>
        <a:xfrm>
          <a:off x="1523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123825</xdr:colOff>
      <xdr:row>19</xdr:row>
      <xdr:rowOff>123825</xdr:rowOff>
    </xdr:from>
    <xdr:to>
      <xdr:col>30</xdr:col>
      <xdr:colOff>352425</xdr:colOff>
      <xdr:row>19</xdr:row>
      <xdr:rowOff>352425</xdr:rowOff>
    </xdr:to>
    <xdr:sp macro="" textlink="">
      <xdr:nvSpPr>
        <xdr:cNvPr id="41886" name="tp30c12c27size18color16777215route"/>
        <xdr:cNvSpPr/>
      </xdr:nvSpPr>
      <xdr:spPr>
        <a:xfrm>
          <a:off x="1511617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123825</xdr:colOff>
      <xdr:row>20</xdr:row>
      <xdr:rowOff>123825</xdr:rowOff>
    </xdr:from>
    <xdr:to>
      <xdr:col>30</xdr:col>
      <xdr:colOff>352425</xdr:colOff>
      <xdr:row>20</xdr:row>
      <xdr:rowOff>352425</xdr:rowOff>
    </xdr:to>
    <xdr:sp macro="" textlink="">
      <xdr:nvSpPr>
        <xdr:cNvPr id="41887" name="tp30c12c28size18color16777215route"/>
        <xdr:cNvSpPr/>
      </xdr:nvSpPr>
      <xdr:spPr>
        <a:xfrm>
          <a:off x="1511617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73025</xdr:colOff>
      <xdr:row>24</xdr:row>
      <xdr:rowOff>73025</xdr:rowOff>
    </xdr:from>
    <xdr:to>
      <xdr:col>30</xdr:col>
      <xdr:colOff>403225</xdr:colOff>
      <xdr:row>24</xdr:row>
      <xdr:rowOff>403225</xdr:rowOff>
    </xdr:to>
    <xdr:sp macro="" textlink="">
      <xdr:nvSpPr>
        <xdr:cNvPr id="41888" name="tp30c13c22size26color65535routev"/>
        <xdr:cNvSpPr/>
      </xdr:nvSpPr>
      <xdr:spPr>
        <a:xfrm>
          <a:off x="15065375" y="12646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238125</xdr:colOff>
      <xdr:row>24</xdr:row>
      <xdr:rowOff>238125</xdr:rowOff>
    </xdr:from>
    <xdr:to>
      <xdr:col>30</xdr:col>
      <xdr:colOff>238125</xdr:colOff>
      <xdr:row>24</xdr:row>
      <xdr:rowOff>238125</xdr:rowOff>
    </xdr:to>
    <xdr:sp macro="" textlink="">
      <xdr:nvSpPr>
        <xdr:cNvPr id="41889" name="rteShptp30c13c22size26color65535routev"/>
        <xdr:cNvSpPr/>
      </xdr:nvSpPr>
      <xdr:spPr>
        <a:xfrm>
          <a:off x="152304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123825</xdr:colOff>
      <xdr:row>25</xdr:row>
      <xdr:rowOff>123825</xdr:rowOff>
    </xdr:from>
    <xdr:to>
      <xdr:col>30</xdr:col>
      <xdr:colOff>352425</xdr:colOff>
      <xdr:row>25</xdr:row>
      <xdr:rowOff>352425</xdr:rowOff>
    </xdr:to>
    <xdr:sp macro="" textlink="">
      <xdr:nvSpPr>
        <xdr:cNvPr id="41891" name="tp30c13c23size18color65535route"/>
        <xdr:cNvSpPr/>
      </xdr:nvSpPr>
      <xdr:spPr>
        <a:xfrm>
          <a:off x="15116175" y="131730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174625</xdr:colOff>
      <xdr:row>26</xdr:row>
      <xdr:rowOff>174625</xdr:rowOff>
    </xdr:from>
    <xdr:to>
      <xdr:col>30</xdr:col>
      <xdr:colOff>301625</xdr:colOff>
      <xdr:row>26</xdr:row>
      <xdr:rowOff>301625</xdr:rowOff>
    </xdr:to>
    <xdr:sp macro="" textlink="">
      <xdr:nvSpPr>
        <xdr:cNvPr id="41892" name="tp30c13c24size10color65535route"/>
        <xdr:cNvSpPr/>
      </xdr:nvSpPr>
      <xdr:spPr>
        <a:xfrm>
          <a:off x="15166975" y="13700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174625</xdr:colOff>
      <xdr:row>28</xdr:row>
      <xdr:rowOff>174625</xdr:rowOff>
    </xdr:from>
    <xdr:to>
      <xdr:col>30</xdr:col>
      <xdr:colOff>301625</xdr:colOff>
      <xdr:row>28</xdr:row>
      <xdr:rowOff>301625</xdr:rowOff>
    </xdr:to>
    <xdr:sp macro="" textlink="">
      <xdr:nvSpPr>
        <xdr:cNvPr id="41893" name="tp30c13c26size10color65535routecb"/>
        <xdr:cNvSpPr/>
      </xdr:nvSpPr>
      <xdr:spPr>
        <a:xfrm>
          <a:off x="15166975" y="14652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238125</xdr:colOff>
      <xdr:row>28</xdr:row>
      <xdr:rowOff>238125</xdr:rowOff>
    </xdr:from>
    <xdr:to>
      <xdr:col>30</xdr:col>
      <xdr:colOff>238125</xdr:colOff>
      <xdr:row>28</xdr:row>
      <xdr:rowOff>238125</xdr:rowOff>
    </xdr:to>
    <xdr:sp macro="" textlink="">
      <xdr:nvSpPr>
        <xdr:cNvPr id="41894" name="rteShptp30c13c26size10color65535routecb"/>
        <xdr:cNvSpPr/>
      </xdr:nvSpPr>
      <xdr:spPr>
        <a:xfrm>
          <a:off x="15230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123825</xdr:colOff>
      <xdr:row>3</xdr:row>
      <xdr:rowOff>123825</xdr:rowOff>
    </xdr:from>
    <xdr:to>
      <xdr:col>31</xdr:col>
      <xdr:colOff>352425</xdr:colOff>
      <xdr:row>3</xdr:row>
      <xdr:rowOff>352425</xdr:rowOff>
    </xdr:to>
    <xdr:sp macro="" textlink="">
      <xdr:nvSpPr>
        <xdr:cNvPr id="41897" name="tp31c11c21size18color16777215route"/>
        <xdr:cNvSpPr/>
      </xdr:nvSpPr>
      <xdr:spPr>
        <a:xfrm>
          <a:off x="155924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123825</xdr:colOff>
      <xdr:row>4</xdr:row>
      <xdr:rowOff>123825</xdr:rowOff>
    </xdr:from>
    <xdr:to>
      <xdr:col>31</xdr:col>
      <xdr:colOff>352425</xdr:colOff>
      <xdr:row>4</xdr:row>
      <xdr:rowOff>352425</xdr:rowOff>
    </xdr:to>
    <xdr:sp macro="" textlink="">
      <xdr:nvSpPr>
        <xdr:cNvPr id="41898" name="tp31c11c22size18color16777215routec"/>
        <xdr:cNvSpPr/>
      </xdr:nvSpPr>
      <xdr:spPr>
        <a:xfrm>
          <a:off x="155924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238125</xdr:colOff>
      <xdr:row>4</xdr:row>
      <xdr:rowOff>238125</xdr:rowOff>
    </xdr:from>
    <xdr:to>
      <xdr:col>31</xdr:col>
      <xdr:colOff>238125</xdr:colOff>
      <xdr:row>4</xdr:row>
      <xdr:rowOff>238125</xdr:rowOff>
    </xdr:to>
    <xdr:sp macro="" textlink="">
      <xdr:nvSpPr>
        <xdr:cNvPr id="41899" name="rteShptp31c11c22size18color16777215routec"/>
        <xdr:cNvSpPr/>
      </xdr:nvSpPr>
      <xdr:spPr>
        <a:xfrm>
          <a:off x="15706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123825</xdr:colOff>
      <xdr:row>5</xdr:row>
      <xdr:rowOff>123825</xdr:rowOff>
    </xdr:from>
    <xdr:to>
      <xdr:col>31</xdr:col>
      <xdr:colOff>352425</xdr:colOff>
      <xdr:row>5</xdr:row>
      <xdr:rowOff>352425</xdr:rowOff>
    </xdr:to>
    <xdr:sp macro="" textlink="">
      <xdr:nvSpPr>
        <xdr:cNvPr id="41901" name="tp31c11c23size18color16777215routev"/>
        <xdr:cNvSpPr/>
      </xdr:nvSpPr>
      <xdr:spPr>
        <a:xfrm>
          <a:off x="155924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238125</xdr:colOff>
      <xdr:row>5</xdr:row>
      <xdr:rowOff>238125</xdr:rowOff>
    </xdr:from>
    <xdr:to>
      <xdr:col>31</xdr:col>
      <xdr:colOff>238125</xdr:colOff>
      <xdr:row>5</xdr:row>
      <xdr:rowOff>238125</xdr:rowOff>
    </xdr:to>
    <xdr:sp macro="" textlink="">
      <xdr:nvSpPr>
        <xdr:cNvPr id="41902" name="rteShptp31c11c23size18color16777215routev"/>
        <xdr:cNvSpPr/>
      </xdr:nvSpPr>
      <xdr:spPr>
        <a:xfrm>
          <a:off x="1570672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123825</xdr:colOff>
      <xdr:row>6</xdr:row>
      <xdr:rowOff>123825</xdr:rowOff>
    </xdr:from>
    <xdr:to>
      <xdr:col>31</xdr:col>
      <xdr:colOff>352425</xdr:colOff>
      <xdr:row>6</xdr:row>
      <xdr:rowOff>352425</xdr:rowOff>
    </xdr:to>
    <xdr:sp macro="" textlink="">
      <xdr:nvSpPr>
        <xdr:cNvPr id="41904" name="tp31c11c24size18color16777215route"/>
        <xdr:cNvSpPr/>
      </xdr:nvSpPr>
      <xdr:spPr>
        <a:xfrm>
          <a:off x="155924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123825</xdr:colOff>
      <xdr:row>7</xdr:row>
      <xdr:rowOff>123825</xdr:rowOff>
    </xdr:from>
    <xdr:to>
      <xdr:col>31</xdr:col>
      <xdr:colOff>352425</xdr:colOff>
      <xdr:row>7</xdr:row>
      <xdr:rowOff>352425</xdr:rowOff>
    </xdr:to>
    <xdr:sp macro="" textlink="">
      <xdr:nvSpPr>
        <xdr:cNvPr id="41905" name="tp31c11c25size18color16777215route"/>
        <xdr:cNvSpPr/>
      </xdr:nvSpPr>
      <xdr:spPr>
        <a:xfrm>
          <a:off x="155924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123825</xdr:colOff>
      <xdr:row>8</xdr:row>
      <xdr:rowOff>123825</xdr:rowOff>
    </xdr:from>
    <xdr:to>
      <xdr:col>31</xdr:col>
      <xdr:colOff>352425</xdr:colOff>
      <xdr:row>8</xdr:row>
      <xdr:rowOff>352425</xdr:rowOff>
    </xdr:to>
    <xdr:sp macro="" textlink="">
      <xdr:nvSpPr>
        <xdr:cNvPr id="41906" name="tp31c11c26size18color16777215routeb"/>
        <xdr:cNvSpPr/>
      </xdr:nvSpPr>
      <xdr:spPr>
        <a:xfrm>
          <a:off x="155924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238125</xdr:colOff>
      <xdr:row>8</xdr:row>
      <xdr:rowOff>238125</xdr:rowOff>
    </xdr:from>
    <xdr:to>
      <xdr:col>31</xdr:col>
      <xdr:colOff>238125</xdr:colOff>
      <xdr:row>8</xdr:row>
      <xdr:rowOff>238125</xdr:rowOff>
    </xdr:to>
    <xdr:sp macro="" textlink="">
      <xdr:nvSpPr>
        <xdr:cNvPr id="41907" name="rteShptp31c11c26size18color16777215routeb"/>
        <xdr:cNvSpPr/>
      </xdr:nvSpPr>
      <xdr:spPr>
        <a:xfrm>
          <a:off x="15706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123825</xdr:colOff>
      <xdr:row>9</xdr:row>
      <xdr:rowOff>123825</xdr:rowOff>
    </xdr:from>
    <xdr:to>
      <xdr:col>31</xdr:col>
      <xdr:colOff>352425</xdr:colOff>
      <xdr:row>9</xdr:row>
      <xdr:rowOff>352425</xdr:rowOff>
    </xdr:to>
    <xdr:sp macro="" textlink="">
      <xdr:nvSpPr>
        <xdr:cNvPr id="41909" name="tp31c11c27size18color16777215route"/>
        <xdr:cNvSpPr/>
      </xdr:nvSpPr>
      <xdr:spPr>
        <a:xfrm>
          <a:off x="155924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123825</xdr:colOff>
      <xdr:row>10</xdr:row>
      <xdr:rowOff>123825</xdr:rowOff>
    </xdr:from>
    <xdr:to>
      <xdr:col>31</xdr:col>
      <xdr:colOff>352425</xdr:colOff>
      <xdr:row>10</xdr:row>
      <xdr:rowOff>352425</xdr:rowOff>
    </xdr:to>
    <xdr:sp macro="" textlink="">
      <xdr:nvSpPr>
        <xdr:cNvPr id="41910" name="tp31c11c28size18color16777215route"/>
        <xdr:cNvSpPr/>
      </xdr:nvSpPr>
      <xdr:spPr>
        <a:xfrm>
          <a:off x="155924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123825</xdr:colOff>
      <xdr:row>16</xdr:row>
      <xdr:rowOff>123825</xdr:rowOff>
    </xdr:from>
    <xdr:to>
      <xdr:col>31</xdr:col>
      <xdr:colOff>352425</xdr:colOff>
      <xdr:row>16</xdr:row>
      <xdr:rowOff>352425</xdr:rowOff>
    </xdr:to>
    <xdr:sp macro="" textlink="">
      <xdr:nvSpPr>
        <xdr:cNvPr id="41911" name="tp31c12c24size18color65535route"/>
        <xdr:cNvSpPr/>
      </xdr:nvSpPr>
      <xdr:spPr>
        <a:xfrm>
          <a:off x="15592425" y="888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73025</xdr:colOff>
      <xdr:row>18</xdr:row>
      <xdr:rowOff>73025</xdr:rowOff>
    </xdr:from>
    <xdr:to>
      <xdr:col>31</xdr:col>
      <xdr:colOff>403225</xdr:colOff>
      <xdr:row>18</xdr:row>
      <xdr:rowOff>403225</xdr:rowOff>
    </xdr:to>
    <xdr:sp macro="" textlink="">
      <xdr:nvSpPr>
        <xdr:cNvPr id="41912" name="tp31c12c26size26color65535routevcb"/>
        <xdr:cNvSpPr/>
      </xdr:nvSpPr>
      <xdr:spPr>
        <a:xfrm>
          <a:off x="1554162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238125</xdr:colOff>
      <xdr:row>18</xdr:row>
      <xdr:rowOff>238125</xdr:rowOff>
    </xdr:from>
    <xdr:to>
      <xdr:col>31</xdr:col>
      <xdr:colOff>238125</xdr:colOff>
      <xdr:row>18</xdr:row>
      <xdr:rowOff>238125</xdr:rowOff>
    </xdr:to>
    <xdr:sp macro="" textlink="">
      <xdr:nvSpPr>
        <xdr:cNvPr id="41913" name="rteShptp31c12c26size26color65535routevcb"/>
        <xdr:cNvSpPr/>
      </xdr:nvSpPr>
      <xdr:spPr>
        <a:xfrm>
          <a:off x="15706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238125</xdr:colOff>
      <xdr:row>24</xdr:row>
      <xdr:rowOff>238125</xdr:rowOff>
    </xdr:from>
    <xdr:to>
      <xdr:col>31</xdr:col>
      <xdr:colOff>238125</xdr:colOff>
      <xdr:row>24</xdr:row>
      <xdr:rowOff>238125</xdr:rowOff>
    </xdr:to>
    <xdr:sp macro="" textlink="">
      <xdr:nvSpPr>
        <xdr:cNvPr id="41917" name="rteShptp31c13c22size0color0routev"/>
        <xdr:cNvSpPr/>
      </xdr:nvSpPr>
      <xdr:spPr>
        <a:xfrm>
          <a:off x="15706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238125</xdr:colOff>
      <xdr:row>28</xdr:row>
      <xdr:rowOff>238125</xdr:rowOff>
    </xdr:from>
    <xdr:to>
      <xdr:col>31</xdr:col>
      <xdr:colOff>238125</xdr:colOff>
      <xdr:row>28</xdr:row>
      <xdr:rowOff>238125</xdr:rowOff>
    </xdr:to>
    <xdr:sp macro="" textlink="">
      <xdr:nvSpPr>
        <xdr:cNvPr id="41919" name="rteShptp31c13c26size0color0routecb"/>
        <xdr:cNvSpPr/>
      </xdr:nvSpPr>
      <xdr:spPr>
        <a:xfrm>
          <a:off x="15706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73025</xdr:colOff>
      <xdr:row>4</xdr:row>
      <xdr:rowOff>73025</xdr:rowOff>
    </xdr:from>
    <xdr:to>
      <xdr:col>32</xdr:col>
      <xdr:colOff>403225</xdr:colOff>
      <xdr:row>4</xdr:row>
      <xdr:rowOff>403225</xdr:rowOff>
    </xdr:to>
    <xdr:sp macro="" textlink="">
      <xdr:nvSpPr>
        <xdr:cNvPr id="41922" name="tp32c11c22size26color65535routev"/>
        <xdr:cNvSpPr/>
      </xdr:nvSpPr>
      <xdr:spPr>
        <a:xfrm>
          <a:off x="1601787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238125</xdr:colOff>
      <xdr:row>4</xdr:row>
      <xdr:rowOff>238125</xdr:rowOff>
    </xdr:from>
    <xdr:to>
      <xdr:col>32</xdr:col>
      <xdr:colOff>238125</xdr:colOff>
      <xdr:row>4</xdr:row>
      <xdr:rowOff>238125</xdr:rowOff>
    </xdr:to>
    <xdr:sp macro="" textlink="">
      <xdr:nvSpPr>
        <xdr:cNvPr id="41923" name="rteShptp32c11c22size26color65535routev"/>
        <xdr:cNvSpPr/>
      </xdr:nvSpPr>
      <xdr:spPr>
        <a:xfrm>
          <a:off x="1618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174625</xdr:colOff>
      <xdr:row>7</xdr:row>
      <xdr:rowOff>174625</xdr:rowOff>
    </xdr:from>
    <xdr:to>
      <xdr:col>32</xdr:col>
      <xdr:colOff>301625</xdr:colOff>
      <xdr:row>7</xdr:row>
      <xdr:rowOff>301625</xdr:rowOff>
    </xdr:to>
    <xdr:sp macro="" textlink="">
      <xdr:nvSpPr>
        <xdr:cNvPr id="41925" name="tp32c11c25size10color65280route"/>
        <xdr:cNvSpPr/>
      </xdr:nvSpPr>
      <xdr:spPr>
        <a:xfrm>
          <a:off x="16119475" y="46513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174625</xdr:colOff>
      <xdr:row>8</xdr:row>
      <xdr:rowOff>174625</xdr:rowOff>
    </xdr:from>
    <xdr:to>
      <xdr:col>32</xdr:col>
      <xdr:colOff>301625</xdr:colOff>
      <xdr:row>8</xdr:row>
      <xdr:rowOff>301625</xdr:rowOff>
    </xdr:to>
    <xdr:sp macro="" textlink="">
      <xdr:nvSpPr>
        <xdr:cNvPr id="41926" name="tp32c11c26size10color65280routeb"/>
        <xdr:cNvSpPr/>
      </xdr:nvSpPr>
      <xdr:spPr>
        <a:xfrm>
          <a:off x="16119475" y="512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238125</xdr:colOff>
      <xdr:row>8</xdr:row>
      <xdr:rowOff>238125</xdr:rowOff>
    </xdr:from>
    <xdr:to>
      <xdr:col>32</xdr:col>
      <xdr:colOff>238125</xdr:colOff>
      <xdr:row>8</xdr:row>
      <xdr:rowOff>238125</xdr:rowOff>
    </xdr:to>
    <xdr:sp macro="" textlink="">
      <xdr:nvSpPr>
        <xdr:cNvPr id="41927" name="rteShptp32c11c26size10color65280routeb"/>
        <xdr:cNvSpPr/>
      </xdr:nvSpPr>
      <xdr:spPr>
        <a:xfrm>
          <a:off x="16182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238125</xdr:colOff>
      <xdr:row>10</xdr:row>
      <xdr:rowOff>238125</xdr:rowOff>
    </xdr:from>
    <xdr:to>
      <xdr:col>32</xdr:col>
      <xdr:colOff>238125</xdr:colOff>
      <xdr:row>10</xdr:row>
      <xdr:rowOff>238125</xdr:rowOff>
    </xdr:to>
    <xdr:sp macro="" textlink="">
      <xdr:nvSpPr>
        <xdr:cNvPr id="41929" name="rteShptp32c11c28size0color0routec"/>
        <xdr:cNvSpPr/>
      </xdr:nvSpPr>
      <xdr:spPr>
        <a:xfrm>
          <a:off x="16182975" y="614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174625</xdr:colOff>
      <xdr:row>14</xdr:row>
      <xdr:rowOff>174625</xdr:rowOff>
    </xdr:from>
    <xdr:to>
      <xdr:col>32</xdr:col>
      <xdr:colOff>301625</xdr:colOff>
      <xdr:row>14</xdr:row>
      <xdr:rowOff>301625</xdr:rowOff>
    </xdr:to>
    <xdr:sp macro="" textlink="">
      <xdr:nvSpPr>
        <xdr:cNvPr id="41931" name="tp32c12c22size10color255route"/>
        <xdr:cNvSpPr/>
      </xdr:nvSpPr>
      <xdr:spPr>
        <a:xfrm>
          <a:off x="16119475" y="798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174625</xdr:colOff>
      <xdr:row>16</xdr:row>
      <xdr:rowOff>174625</xdr:rowOff>
    </xdr:from>
    <xdr:to>
      <xdr:col>32</xdr:col>
      <xdr:colOff>301625</xdr:colOff>
      <xdr:row>16</xdr:row>
      <xdr:rowOff>301625</xdr:rowOff>
    </xdr:to>
    <xdr:sp macro="" textlink="">
      <xdr:nvSpPr>
        <xdr:cNvPr id="41932" name="tp32c12c24size10color255route"/>
        <xdr:cNvSpPr/>
      </xdr:nvSpPr>
      <xdr:spPr>
        <a:xfrm>
          <a:off x="16119475" y="893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174625</xdr:colOff>
      <xdr:row>17</xdr:row>
      <xdr:rowOff>174625</xdr:rowOff>
    </xdr:from>
    <xdr:to>
      <xdr:col>32</xdr:col>
      <xdr:colOff>301625</xdr:colOff>
      <xdr:row>17</xdr:row>
      <xdr:rowOff>301625</xdr:rowOff>
    </xdr:to>
    <xdr:sp macro="" textlink="">
      <xdr:nvSpPr>
        <xdr:cNvPr id="41933" name="tp32c12c25size10color255route"/>
        <xdr:cNvSpPr/>
      </xdr:nvSpPr>
      <xdr:spPr>
        <a:xfrm>
          <a:off x="16119475" y="9413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73025</xdr:colOff>
      <xdr:row>18</xdr:row>
      <xdr:rowOff>73025</xdr:rowOff>
    </xdr:from>
    <xdr:to>
      <xdr:col>32</xdr:col>
      <xdr:colOff>403225</xdr:colOff>
      <xdr:row>18</xdr:row>
      <xdr:rowOff>403225</xdr:rowOff>
    </xdr:to>
    <xdr:sp macro="" textlink="">
      <xdr:nvSpPr>
        <xdr:cNvPr id="41934" name="tp32c12c26size26color255routevcb"/>
        <xdr:cNvSpPr/>
      </xdr:nvSpPr>
      <xdr:spPr>
        <a:xfrm>
          <a:off x="16017875" y="9788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238125</xdr:colOff>
      <xdr:row>18</xdr:row>
      <xdr:rowOff>238125</xdr:rowOff>
    </xdr:from>
    <xdr:to>
      <xdr:col>32</xdr:col>
      <xdr:colOff>238125</xdr:colOff>
      <xdr:row>18</xdr:row>
      <xdr:rowOff>238125</xdr:rowOff>
    </xdr:to>
    <xdr:sp macro="" textlink="">
      <xdr:nvSpPr>
        <xdr:cNvPr id="41935" name="rteShptp32c12c26size26color255routevcb"/>
        <xdr:cNvSpPr/>
      </xdr:nvSpPr>
      <xdr:spPr>
        <a:xfrm>
          <a:off x="16182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238125</xdr:colOff>
      <xdr:row>24</xdr:row>
      <xdr:rowOff>238125</xdr:rowOff>
    </xdr:from>
    <xdr:to>
      <xdr:col>32</xdr:col>
      <xdr:colOff>238125</xdr:colOff>
      <xdr:row>24</xdr:row>
      <xdr:rowOff>238125</xdr:rowOff>
    </xdr:to>
    <xdr:sp macro="" textlink="">
      <xdr:nvSpPr>
        <xdr:cNvPr id="41939" name="rteShptp32c13c22size0color0routev"/>
        <xdr:cNvSpPr/>
      </xdr:nvSpPr>
      <xdr:spPr>
        <a:xfrm>
          <a:off x="161829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174625</xdr:colOff>
      <xdr:row>26</xdr:row>
      <xdr:rowOff>174625</xdr:rowOff>
    </xdr:from>
    <xdr:to>
      <xdr:col>32</xdr:col>
      <xdr:colOff>301625</xdr:colOff>
      <xdr:row>26</xdr:row>
      <xdr:rowOff>301625</xdr:rowOff>
    </xdr:to>
    <xdr:sp macro="" textlink="">
      <xdr:nvSpPr>
        <xdr:cNvPr id="41941" name="tp32c13c24size10color255route"/>
        <xdr:cNvSpPr/>
      </xdr:nvSpPr>
      <xdr:spPr>
        <a:xfrm>
          <a:off x="16119475" y="13700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73025</xdr:colOff>
      <xdr:row>28</xdr:row>
      <xdr:rowOff>73025</xdr:rowOff>
    </xdr:from>
    <xdr:to>
      <xdr:col>32</xdr:col>
      <xdr:colOff>403225</xdr:colOff>
      <xdr:row>28</xdr:row>
      <xdr:rowOff>403225</xdr:rowOff>
    </xdr:to>
    <xdr:sp macro="" textlink="">
      <xdr:nvSpPr>
        <xdr:cNvPr id="41942" name="tp32c13c26size26color255routecb">
          <a:hlinkClick xmlns:r="http://schemas.openxmlformats.org/officeDocument/2006/relationships" r:id="" tooltip="Chris Shaw:&#10;Ensuring funds are in your account"/>
        </xdr:cNvPr>
        <xdr:cNvSpPr/>
      </xdr:nvSpPr>
      <xdr:spPr>
        <a:xfrm>
          <a:off x="16017875" y="14551025"/>
          <a:ext cx="330200" cy="330200"/>
        </a:xfrm>
        <a:prstGeom prst="ellipse">
          <a:avLst/>
        </a:prstGeom>
        <a:solidFill>
          <a:srgbClr val="FF00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238125</xdr:colOff>
      <xdr:row>28</xdr:row>
      <xdr:rowOff>238125</xdr:rowOff>
    </xdr:from>
    <xdr:to>
      <xdr:col>32</xdr:col>
      <xdr:colOff>238125</xdr:colOff>
      <xdr:row>28</xdr:row>
      <xdr:rowOff>238125</xdr:rowOff>
    </xdr:to>
    <xdr:sp macro="" textlink="">
      <xdr:nvSpPr>
        <xdr:cNvPr id="41943" name="rteShptp32c13c26size26color255routecb"/>
        <xdr:cNvSpPr/>
      </xdr:nvSpPr>
      <xdr:spPr>
        <a:xfrm>
          <a:off x="16182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123825</xdr:colOff>
      <xdr:row>3</xdr:row>
      <xdr:rowOff>123825</xdr:rowOff>
    </xdr:from>
    <xdr:to>
      <xdr:col>33</xdr:col>
      <xdr:colOff>352425</xdr:colOff>
      <xdr:row>3</xdr:row>
      <xdr:rowOff>352425</xdr:rowOff>
    </xdr:to>
    <xdr:sp macro="" textlink="">
      <xdr:nvSpPr>
        <xdr:cNvPr id="41946" name="tp33c11c21size18color16777215route"/>
        <xdr:cNvSpPr/>
      </xdr:nvSpPr>
      <xdr:spPr>
        <a:xfrm>
          <a:off x="165449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123825</xdr:colOff>
      <xdr:row>4</xdr:row>
      <xdr:rowOff>123825</xdr:rowOff>
    </xdr:from>
    <xdr:to>
      <xdr:col>33</xdr:col>
      <xdr:colOff>352425</xdr:colOff>
      <xdr:row>4</xdr:row>
      <xdr:rowOff>352425</xdr:rowOff>
    </xdr:to>
    <xdr:sp macro="" textlink="">
      <xdr:nvSpPr>
        <xdr:cNvPr id="41947" name="tp33c11c22size18color16777215routev"/>
        <xdr:cNvSpPr/>
      </xdr:nvSpPr>
      <xdr:spPr>
        <a:xfrm>
          <a:off x="165449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238125</xdr:colOff>
      <xdr:row>4</xdr:row>
      <xdr:rowOff>238125</xdr:rowOff>
    </xdr:from>
    <xdr:to>
      <xdr:col>33</xdr:col>
      <xdr:colOff>238125</xdr:colOff>
      <xdr:row>4</xdr:row>
      <xdr:rowOff>238125</xdr:rowOff>
    </xdr:to>
    <xdr:sp macro="" textlink="">
      <xdr:nvSpPr>
        <xdr:cNvPr id="41948" name="rteShptp33c11c22size18color16777215routev"/>
        <xdr:cNvSpPr/>
      </xdr:nvSpPr>
      <xdr:spPr>
        <a:xfrm>
          <a:off x="16659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123825</xdr:colOff>
      <xdr:row>5</xdr:row>
      <xdr:rowOff>123825</xdr:rowOff>
    </xdr:from>
    <xdr:to>
      <xdr:col>33</xdr:col>
      <xdr:colOff>352425</xdr:colOff>
      <xdr:row>5</xdr:row>
      <xdr:rowOff>352425</xdr:rowOff>
    </xdr:to>
    <xdr:sp macro="" textlink="">
      <xdr:nvSpPr>
        <xdr:cNvPr id="41950" name="tp33c11c23size18color16777215route"/>
        <xdr:cNvSpPr/>
      </xdr:nvSpPr>
      <xdr:spPr>
        <a:xfrm>
          <a:off x="165449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123825</xdr:colOff>
      <xdr:row>6</xdr:row>
      <xdr:rowOff>123825</xdr:rowOff>
    </xdr:from>
    <xdr:to>
      <xdr:col>33</xdr:col>
      <xdr:colOff>352425</xdr:colOff>
      <xdr:row>6</xdr:row>
      <xdr:rowOff>352425</xdr:rowOff>
    </xdr:to>
    <xdr:sp macro="" textlink="">
      <xdr:nvSpPr>
        <xdr:cNvPr id="41951" name="tp33c11c24size18color16777215route"/>
        <xdr:cNvSpPr/>
      </xdr:nvSpPr>
      <xdr:spPr>
        <a:xfrm>
          <a:off x="165449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123825</xdr:colOff>
      <xdr:row>7</xdr:row>
      <xdr:rowOff>123825</xdr:rowOff>
    </xdr:from>
    <xdr:to>
      <xdr:col>33</xdr:col>
      <xdr:colOff>352425</xdr:colOff>
      <xdr:row>7</xdr:row>
      <xdr:rowOff>352425</xdr:rowOff>
    </xdr:to>
    <xdr:sp macro="" textlink="">
      <xdr:nvSpPr>
        <xdr:cNvPr id="41952" name="tp33c11c25size18color16777215route"/>
        <xdr:cNvSpPr/>
      </xdr:nvSpPr>
      <xdr:spPr>
        <a:xfrm>
          <a:off x="165449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123825</xdr:colOff>
      <xdr:row>8</xdr:row>
      <xdr:rowOff>123825</xdr:rowOff>
    </xdr:from>
    <xdr:to>
      <xdr:col>33</xdr:col>
      <xdr:colOff>352425</xdr:colOff>
      <xdr:row>8</xdr:row>
      <xdr:rowOff>352425</xdr:rowOff>
    </xdr:to>
    <xdr:sp macro="" textlink="">
      <xdr:nvSpPr>
        <xdr:cNvPr id="41953" name="tp33c11c26size18color16777215routeb"/>
        <xdr:cNvSpPr/>
      </xdr:nvSpPr>
      <xdr:spPr>
        <a:xfrm>
          <a:off x="165449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238125</xdr:colOff>
      <xdr:row>8</xdr:row>
      <xdr:rowOff>238125</xdr:rowOff>
    </xdr:from>
    <xdr:to>
      <xdr:col>33</xdr:col>
      <xdr:colOff>238125</xdr:colOff>
      <xdr:row>8</xdr:row>
      <xdr:rowOff>238125</xdr:rowOff>
    </xdr:to>
    <xdr:sp macro="" textlink="">
      <xdr:nvSpPr>
        <xdr:cNvPr id="41954" name="rteShptp33c11c26size18color16777215routeb"/>
        <xdr:cNvSpPr/>
      </xdr:nvSpPr>
      <xdr:spPr>
        <a:xfrm>
          <a:off x="16659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123825</xdr:colOff>
      <xdr:row>9</xdr:row>
      <xdr:rowOff>123825</xdr:rowOff>
    </xdr:from>
    <xdr:to>
      <xdr:col>33</xdr:col>
      <xdr:colOff>352425</xdr:colOff>
      <xdr:row>9</xdr:row>
      <xdr:rowOff>352425</xdr:rowOff>
    </xdr:to>
    <xdr:sp macro="" textlink="">
      <xdr:nvSpPr>
        <xdr:cNvPr id="41956" name="tp33c11c27size18color16777215route"/>
        <xdr:cNvSpPr/>
      </xdr:nvSpPr>
      <xdr:spPr>
        <a:xfrm>
          <a:off x="165449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123825</xdr:colOff>
      <xdr:row>10</xdr:row>
      <xdr:rowOff>123825</xdr:rowOff>
    </xdr:from>
    <xdr:to>
      <xdr:col>33</xdr:col>
      <xdr:colOff>352425</xdr:colOff>
      <xdr:row>10</xdr:row>
      <xdr:rowOff>352425</xdr:rowOff>
    </xdr:to>
    <xdr:sp macro="" textlink="">
      <xdr:nvSpPr>
        <xdr:cNvPr id="41957" name="tp33c11c28size18color16777215routec"/>
        <xdr:cNvSpPr/>
      </xdr:nvSpPr>
      <xdr:spPr>
        <a:xfrm>
          <a:off x="165449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238125</xdr:colOff>
      <xdr:row>10</xdr:row>
      <xdr:rowOff>238125</xdr:rowOff>
    </xdr:from>
    <xdr:to>
      <xdr:col>33</xdr:col>
      <xdr:colOff>238125</xdr:colOff>
      <xdr:row>10</xdr:row>
      <xdr:rowOff>238125</xdr:rowOff>
    </xdr:to>
    <xdr:sp macro="" textlink="">
      <xdr:nvSpPr>
        <xdr:cNvPr id="41958" name="rteShptp33c11c28size18color16777215routec"/>
        <xdr:cNvSpPr/>
      </xdr:nvSpPr>
      <xdr:spPr>
        <a:xfrm>
          <a:off x="16659225" y="614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73025</xdr:colOff>
      <xdr:row>14</xdr:row>
      <xdr:rowOff>73025</xdr:rowOff>
    </xdr:from>
    <xdr:to>
      <xdr:col>33</xdr:col>
      <xdr:colOff>403225</xdr:colOff>
      <xdr:row>14</xdr:row>
      <xdr:rowOff>403225</xdr:rowOff>
    </xdr:to>
    <xdr:sp macro="" textlink="">
      <xdr:nvSpPr>
        <xdr:cNvPr id="41960" name="tp33c12c22size26color255routev">
          <a:hlinkClick xmlns:r="http://schemas.openxmlformats.org/officeDocument/2006/relationships" r:id="" tooltip="Chris Shaw:&#10;customers who do this likely unhappy because:&#10;* didn't know check would be &#10;* couldn't find check&#10;* didn't like info on check"/>
        </xdr:cNvPr>
        <xdr:cNvSpPr/>
      </xdr:nvSpPr>
      <xdr:spPr>
        <a:xfrm>
          <a:off x="16494125" y="7883525"/>
          <a:ext cx="330200" cy="330200"/>
        </a:xfrm>
        <a:prstGeom prst="ellipse">
          <a:avLst/>
        </a:prstGeom>
        <a:solidFill>
          <a:srgbClr val="FF00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238125</xdr:colOff>
      <xdr:row>14</xdr:row>
      <xdr:rowOff>238125</xdr:rowOff>
    </xdr:from>
    <xdr:to>
      <xdr:col>33</xdr:col>
      <xdr:colOff>238125</xdr:colOff>
      <xdr:row>14</xdr:row>
      <xdr:rowOff>238125</xdr:rowOff>
    </xdr:to>
    <xdr:sp macro="" textlink="">
      <xdr:nvSpPr>
        <xdr:cNvPr id="41961" name="rteShptp33c12c22size26color255routev"/>
        <xdr:cNvSpPr/>
      </xdr:nvSpPr>
      <xdr:spPr>
        <a:xfrm>
          <a:off x="166592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174625</xdr:colOff>
      <xdr:row>18</xdr:row>
      <xdr:rowOff>174625</xdr:rowOff>
    </xdr:from>
    <xdr:to>
      <xdr:col>33</xdr:col>
      <xdr:colOff>301625</xdr:colOff>
      <xdr:row>18</xdr:row>
      <xdr:rowOff>301625</xdr:rowOff>
    </xdr:to>
    <xdr:sp macro="" textlink="">
      <xdr:nvSpPr>
        <xdr:cNvPr id="41963" name="tp33c12c26size10color255routecb"/>
        <xdr:cNvSpPr/>
      </xdr:nvSpPr>
      <xdr:spPr>
        <a:xfrm>
          <a:off x="16595725" y="9890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238125</xdr:colOff>
      <xdr:row>18</xdr:row>
      <xdr:rowOff>238125</xdr:rowOff>
    </xdr:from>
    <xdr:to>
      <xdr:col>33</xdr:col>
      <xdr:colOff>238125</xdr:colOff>
      <xdr:row>18</xdr:row>
      <xdr:rowOff>238125</xdr:rowOff>
    </xdr:to>
    <xdr:sp macro="" textlink="">
      <xdr:nvSpPr>
        <xdr:cNvPr id="41964" name="rteShptp33c12c26size10color255routecb"/>
        <xdr:cNvSpPr/>
      </xdr:nvSpPr>
      <xdr:spPr>
        <a:xfrm>
          <a:off x="16659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73025</xdr:colOff>
      <xdr:row>24</xdr:row>
      <xdr:rowOff>73025</xdr:rowOff>
    </xdr:from>
    <xdr:to>
      <xdr:col>33</xdr:col>
      <xdr:colOff>403225</xdr:colOff>
      <xdr:row>24</xdr:row>
      <xdr:rowOff>403225</xdr:rowOff>
    </xdr:to>
    <xdr:sp macro="" textlink="">
      <xdr:nvSpPr>
        <xdr:cNvPr id="41967" name="tp33c13c22size26color65280routev"/>
        <xdr:cNvSpPr/>
      </xdr:nvSpPr>
      <xdr:spPr>
        <a:xfrm>
          <a:off x="16494125" y="12646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238125</xdr:colOff>
      <xdr:row>24</xdr:row>
      <xdr:rowOff>238125</xdr:rowOff>
    </xdr:from>
    <xdr:to>
      <xdr:col>33</xdr:col>
      <xdr:colOff>238125</xdr:colOff>
      <xdr:row>24</xdr:row>
      <xdr:rowOff>238125</xdr:rowOff>
    </xdr:to>
    <xdr:sp macro="" textlink="">
      <xdr:nvSpPr>
        <xdr:cNvPr id="41968" name="rteShptp33c13c22size26color65280routev"/>
        <xdr:cNvSpPr/>
      </xdr:nvSpPr>
      <xdr:spPr>
        <a:xfrm>
          <a:off x="166592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238125</xdr:colOff>
      <xdr:row>28</xdr:row>
      <xdr:rowOff>238125</xdr:rowOff>
    </xdr:from>
    <xdr:to>
      <xdr:col>33</xdr:col>
      <xdr:colOff>238125</xdr:colOff>
      <xdr:row>28</xdr:row>
      <xdr:rowOff>238125</xdr:rowOff>
    </xdr:to>
    <xdr:sp macro="" textlink="">
      <xdr:nvSpPr>
        <xdr:cNvPr id="41970" name="rteShptp33c13c26size0color0routecb"/>
        <xdr:cNvSpPr/>
      </xdr:nvSpPr>
      <xdr:spPr>
        <a:xfrm>
          <a:off x="16659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3</xdr:row>
      <xdr:rowOff>123825</xdr:rowOff>
    </xdr:from>
    <xdr:to>
      <xdr:col>34</xdr:col>
      <xdr:colOff>352425</xdr:colOff>
      <xdr:row>3</xdr:row>
      <xdr:rowOff>352425</xdr:rowOff>
    </xdr:to>
    <xdr:sp macro="" textlink="">
      <xdr:nvSpPr>
        <xdr:cNvPr id="41973" name="tp34c11c21size18color16777215route"/>
        <xdr:cNvSpPr/>
      </xdr:nvSpPr>
      <xdr:spPr>
        <a:xfrm>
          <a:off x="1702117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4</xdr:row>
      <xdr:rowOff>123825</xdr:rowOff>
    </xdr:from>
    <xdr:to>
      <xdr:col>34</xdr:col>
      <xdr:colOff>352425</xdr:colOff>
      <xdr:row>4</xdr:row>
      <xdr:rowOff>352425</xdr:rowOff>
    </xdr:to>
    <xdr:sp macro="" textlink="">
      <xdr:nvSpPr>
        <xdr:cNvPr id="41974" name="tp34c11c22size18color16777215routev"/>
        <xdr:cNvSpPr/>
      </xdr:nvSpPr>
      <xdr:spPr>
        <a:xfrm>
          <a:off x="1702117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238125</xdr:colOff>
      <xdr:row>4</xdr:row>
      <xdr:rowOff>238125</xdr:rowOff>
    </xdr:from>
    <xdr:to>
      <xdr:col>34</xdr:col>
      <xdr:colOff>238125</xdr:colOff>
      <xdr:row>4</xdr:row>
      <xdr:rowOff>238125</xdr:rowOff>
    </xdr:to>
    <xdr:sp macro="" textlink="">
      <xdr:nvSpPr>
        <xdr:cNvPr id="41975" name="rteShptp34c11c22size18color16777215routev"/>
        <xdr:cNvSpPr/>
      </xdr:nvSpPr>
      <xdr:spPr>
        <a:xfrm>
          <a:off x="17135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5</xdr:row>
      <xdr:rowOff>123825</xdr:rowOff>
    </xdr:from>
    <xdr:to>
      <xdr:col>34</xdr:col>
      <xdr:colOff>352425</xdr:colOff>
      <xdr:row>5</xdr:row>
      <xdr:rowOff>352425</xdr:rowOff>
    </xdr:to>
    <xdr:sp macro="" textlink="">
      <xdr:nvSpPr>
        <xdr:cNvPr id="41977" name="tp34c11c23size18color16777215route"/>
        <xdr:cNvSpPr/>
      </xdr:nvSpPr>
      <xdr:spPr>
        <a:xfrm>
          <a:off x="1702117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6</xdr:row>
      <xdr:rowOff>123825</xdr:rowOff>
    </xdr:from>
    <xdr:to>
      <xdr:col>34</xdr:col>
      <xdr:colOff>352425</xdr:colOff>
      <xdr:row>6</xdr:row>
      <xdr:rowOff>352425</xdr:rowOff>
    </xdr:to>
    <xdr:sp macro="" textlink="">
      <xdr:nvSpPr>
        <xdr:cNvPr id="41978" name="tp34c11c24size18color16777215route"/>
        <xdr:cNvSpPr/>
      </xdr:nvSpPr>
      <xdr:spPr>
        <a:xfrm>
          <a:off x="1702117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7</xdr:row>
      <xdr:rowOff>123825</xdr:rowOff>
    </xdr:from>
    <xdr:to>
      <xdr:col>34</xdr:col>
      <xdr:colOff>352425</xdr:colOff>
      <xdr:row>7</xdr:row>
      <xdr:rowOff>352425</xdr:rowOff>
    </xdr:to>
    <xdr:sp macro="" textlink="">
      <xdr:nvSpPr>
        <xdr:cNvPr id="41979" name="tp34c11c25size18color16777215route"/>
        <xdr:cNvSpPr/>
      </xdr:nvSpPr>
      <xdr:spPr>
        <a:xfrm>
          <a:off x="1702117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8</xdr:row>
      <xdr:rowOff>123825</xdr:rowOff>
    </xdr:from>
    <xdr:to>
      <xdr:col>34</xdr:col>
      <xdr:colOff>352425</xdr:colOff>
      <xdr:row>8</xdr:row>
      <xdr:rowOff>352425</xdr:rowOff>
    </xdr:to>
    <xdr:sp macro="" textlink="">
      <xdr:nvSpPr>
        <xdr:cNvPr id="41980" name="tp34c11c26size18color16777215routeb"/>
        <xdr:cNvSpPr/>
      </xdr:nvSpPr>
      <xdr:spPr>
        <a:xfrm>
          <a:off x="1702117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238125</xdr:colOff>
      <xdr:row>8</xdr:row>
      <xdr:rowOff>238125</xdr:rowOff>
    </xdr:from>
    <xdr:to>
      <xdr:col>34</xdr:col>
      <xdr:colOff>238125</xdr:colOff>
      <xdr:row>8</xdr:row>
      <xdr:rowOff>238125</xdr:rowOff>
    </xdr:to>
    <xdr:sp macro="" textlink="">
      <xdr:nvSpPr>
        <xdr:cNvPr id="41981" name="rteShptp34c11c26size18color16777215routeb"/>
        <xdr:cNvSpPr/>
      </xdr:nvSpPr>
      <xdr:spPr>
        <a:xfrm>
          <a:off x="17135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9</xdr:row>
      <xdr:rowOff>123825</xdr:rowOff>
    </xdr:from>
    <xdr:to>
      <xdr:col>34</xdr:col>
      <xdr:colOff>352425</xdr:colOff>
      <xdr:row>9</xdr:row>
      <xdr:rowOff>352425</xdr:rowOff>
    </xdr:to>
    <xdr:sp macro="" textlink="">
      <xdr:nvSpPr>
        <xdr:cNvPr id="41983" name="tp34c11c27size18color16777215route"/>
        <xdr:cNvSpPr/>
      </xdr:nvSpPr>
      <xdr:spPr>
        <a:xfrm>
          <a:off x="1702117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10</xdr:row>
      <xdr:rowOff>123825</xdr:rowOff>
    </xdr:from>
    <xdr:to>
      <xdr:col>34</xdr:col>
      <xdr:colOff>352425</xdr:colOff>
      <xdr:row>10</xdr:row>
      <xdr:rowOff>352425</xdr:rowOff>
    </xdr:to>
    <xdr:sp macro="" textlink="">
      <xdr:nvSpPr>
        <xdr:cNvPr id="41984" name="tp34c11c28size18color16777215routec"/>
        <xdr:cNvSpPr/>
      </xdr:nvSpPr>
      <xdr:spPr>
        <a:xfrm>
          <a:off x="1702117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238125</xdr:colOff>
      <xdr:row>10</xdr:row>
      <xdr:rowOff>238125</xdr:rowOff>
    </xdr:from>
    <xdr:to>
      <xdr:col>34</xdr:col>
      <xdr:colOff>238125</xdr:colOff>
      <xdr:row>10</xdr:row>
      <xdr:rowOff>238125</xdr:rowOff>
    </xdr:to>
    <xdr:sp macro="" textlink="">
      <xdr:nvSpPr>
        <xdr:cNvPr id="41985" name="rteShptp34c11c28size18color16777215routec"/>
        <xdr:cNvSpPr/>
      </xdr:nvSpPr>
      <xdr:spPr>
        <a:xfrm>
          <a:off x="17135475" y="614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73025</xdr:colOff>
      <xdr:row>15</xdr:row>
      <xdr:rowOff>73025</xdr:rowOff>
    </xdr:from>
    <xdr:to>
      <xdr:col>34</xdr:col>
      <xdr:colOff>403225</xdr:colOff>
      <xdr:row>15</xdr:row>
      <xdr:rowOff>403225</xdr:rowOff>
    </xdr:to>
    <xdr:sp macro="" textlink="">
      <xdr:nvSpPr>
        <xdr:cNvPr id="41987" name="tp34c12c23size26color255routevcb"/>
        <xdr:cNvSpPr/>
      </xdr:nvSpPr>
      <xdr:spPr>
        <a:xfrm>
          <a:off x="16970375" y="835977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238125</xdr:colOff>
      <xdr:row>15</xdr:row>
      <xdr:rowOff>238125</xdr:rowOff>
    </xdr:from>
    <xdr:to>
      <xdr:col>34</xdr:col>
      <xdr:colOff>238125</xdr:colOff>
      <xdr:row>15</xdr:row>
      <xdr:rowOff>238125</xdr:rowOff>
    </xdr:to>
    <xdr:sp macro="" textlink="">
      <xdr:nvSpPr>
        <xdr:cNvPr id="41988" name="rteShptp34c12c23size26color255routevcb"/>
        <xdr:cNvSpPr/>
      </xdr:nvSpPr>
      <xdr:spPr>
        <a:xfrm>
          <a:off x="17135475" y="852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23</xdr:row>
      <xdr:rowOff>123825</xdr:rowOff>
    </xdr:from>
    <xdr:to>
      <xdr:col>34</xdr:col>
      <xdr:colOff>352425</xdr:colOff>
      <xdr:row>23</xdr:row>
      <xdr:rowOff>352425</xdr:rowOff>
    </xdr:to>
    <xdr:sp macro="" textlink="">
      <xdr:nvSpPr>
        <xdr:cNvPr id="41992" name="tp34c13c21size18color16777215route"/>
        <xdr:cNvSpPr/>
      </xdr:nvSpPr>
      <xdr:spPr>
        <a:xfrm>
          <a:off x="170211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24</xdr:row>
      <xdr:rowOff>123825</xdr:rowOff>
    </xdr:from>
    <xdr:to>
      <xdr:col>34</xdr:col>
      <xdr:colOff>352425</xdr:colOff>
      <xdr:row>24</xdr:row>
      <xdr:rowOff>352425</xdr:rowOff>
    </xdr:to>
    <xdr:sp macro="" textlink="">
      <xdr:nvSpPr>
        <xdr:cNvPr id="41993" name="tp34c13c22size18color16777215routev"/>
        <xdr:cNvSpPr/>
      </xdr:nvSpPr>
      <xdr:spPr>
        <a:xfrm>
          <a:off x="1702117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238125</xdr:colOff>
      <xdr:row>24</xdr:row>
      <xdr:rowOff>238125</xdr:rowOff>
    </xdr:from>
    <xdr:to>
      <xdr:col>34</xdr:col>
      <xdr:colOff>238125</xdr:colOff>
      <xdr:row>24</xdr:row>
      <xdr:rowOff>238125</xdr:rowOff>
    </xdr:to>
    <xdr:sp macro="" textlink="">
      <xdr:nvSpPr>
        <xdr:cNvPr id="41994" name="rteShptp34c13c22size18color16777215routev"/>
        <xdr:cNvSpPr/>
      </xdr:nvSpPr>
      <xdr:spPr>
        <a:xfrm>
          <a:off x="171354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123825</xdr:colOff>
      <xdr:row>28</xdr:row>
      <xdr:rowOff>123825</xdr:rowOff>
    </xdr:from>
    <xdr:to>
      <xdr:col>34</xdr:col>
      <xdr:colOff>352425</xdr:colOff>
      <xdr:row>28</xdr:row>
      <xdr:rowOff>352425</xdr:rowOff>
    </xdr:to>
    <xdr:sp macro="" textlink="">
      <xdr:nvSpPr>
        <xdr:cNvPr id="41996" name="tp34c13c26size18color16777215routecb"/>
        <xdr:cNvSpPr/>
      </xdr:nvSpPr>
      <xdr:spPr>
        <a:xfrm>
          <a:off x="170211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238125</xdr:colOff>
      <xdr:row>28</xdr:row>
      <xdr:rowOff>238125</xdr:rowOff>
    </xdr:from>
    <xdr:to>
      <xdr:col>34</xdr:col>
      <xdr:colOff>238125</xdr:colOff>
      <xdr:row>28</xdr:row>
      <xdr:rowOff>238125</xdr:rowOff>
    </xdr:to>
    <xdr:sp macro="" textlink="">
      <xdr:nvSpPr>
        <xdr:cNvPr id="41997" name="rteShptp34c13c26size18color16777215routecb"/>
        <xdr:cNvSpPr/>
      </xdr:nvSpPr>
      <xdr:spPr>
        <a:xfrm>
          <a:off x="17135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3</xdr:row>
      <xdr:rowOff>123825</xdr:rowOff>
    </xdr:from>
    <xdr:to>
      <xdr:col>35</xdr:col>
      <xdr:colOff>352425</xdr:colOff>
      <xdr:row>3</xdr:row>
      <xdr:rowOff>352425</xdr:rowOff>
    </xdr:to>
    <xdr:sp macro="" textlink="">
      <xdr:nvSpPr>
        <xdr:cNvPr id="42000" name="tp35c11c21size18color16777215route"/>
        <xdr:cNvSpPr/>
      </xdr:nvSpPr>
      <xdr:spPr>
        <a:xfrm>
          <a:off x="174974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4</xdr:row>
      <xdr:rowOff>123825</xdr:rowOff>
    </xdr:from>
    <xdr:to>
      <xdr:col>35</xdr:col>
      <xdr:colOff>352425</xdr:colOff>
      <xdr:row>4</xdr:row>
      <xdr:rowOff>352425</xdr:rowOff>
    </xdr:to>
    <xdr:sp macro="" textlink="">
      <xdr:nvSpPr>
        <xdr:cNvPr id="42001" name="tp35c11c22size18color16777215routev"/>
        <xdr:cNvSpPr/>
      </xdr:nvSpPr>
      <xdr:spPr>
        <a:xfrm>
          <a:off x="174974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238125</xdr:colOff>
      <xdr:row>4</xdr:row>
      <xdr:rowOff>238125</xdr:rowOff>
    </xdr:from>
    <xdr:to>
      <xdr:col>35</xdr:col>
      <xdr:colOff>238125</xdr:colOff>
      <xdr:row>4</xdr:row>
      <xdr:rowOff>238125</xdr:rowOff>
    </xdr:to>
    <xdr:sp macro="" textlink="">
      <xdr:nvSpPr>
        <xdr:cNvPr id="42002" name="rteShptp35c11c22size18color16777215routev"/>
        <xdr:cNvSpPr/>
      </xdr:nvSpPr>
      <xdr:spPr>
        <a:xfrm>
          <a:off x="17611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5</xdr:row>
      <xdr:rowOff>123825</xdr:rowOff>
    </xdr:from>
    <xdr:to>
      <xdr:col>35</xdr:col>
      <xdr:colOff>352425</xdr:colOff>
      <xdr:row>5</xdr:row>
      <xdr:rowOff>352425</xdr:rowOff>
    </xdr:to>
    <xdr:sp macro="" textlink="">
      <xdr:nvSpPr>
        <xdr:cNvPr id="42004" name="tp35c11c23size18color16777215route"/>
        <xdr:cNvSpPr/>
      </xdr:nvSpPr>
      <xdr:spPr>
        <a:xfrm>
          <a:off x="174974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6</xdr:row>
      <xdr:rowOff>123825</xdr:rowOff>
    </xdr:from>
    <xdr:to>
      <xdr:col>35</xdr:col>
      <xdr:colOff>352425</xdr:colOff>
      <xdr:row>6</xdr:row>
      <xdr:rowOff>352425</xdr:rowOff>
    </xdr:to>
    <xdr:sp macro="" textlink="">
      <xdr:nvSpPr>
        <xdr:cNvPr id="42005" name="tp35c11c24size18color16777215route"/>
        <xdr:cNvSpPr/>
      </xdr:nvSpPr>
      <xdr:spPr>
        <a:xfrm>
          <a:off x="174974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7</xdr:row>
      <xdr:rowOff>123825</xdr:rowOff>
    </xdr:from>
    <xdr:to>
      <xdr:col>35</xdr:col>
      <xdr:colOff>352425</xdr:colOff>
      <xdr:row>7</xdr:row>
      <xdr:rowOff>352425</xdr:rowOff>
    </xdr:to>
    <xdr:sp macro="" textlink="">
      <xdr:nvSpPr>
        <xdr:cNvPr id="42006" name="tp35c11c25size18color16777215route"/>
        <xdr:cNvSpPr/>
      </xdr:nvSpPr>
      <xdr:spPr>
        <a:xfrm>
          <a:off x="174974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8</xdr:row>
      <xdr:rowOff>123825</xdr:rowOff>
    </xdr:from>
    <xdr:to>
      <xdr:col>35</xdr:col>
      <xdr:colOff>352425</xdr:colOff>
      <xdr:row>8</xdr:row>
      <xdr:rowOff>352425</xdr:rowOff>
    </xdr:to>
    <xdr:sp macro="" textlink="">
      <xdr:nvSpPr>
        <xdr:cNvPr id="42007" name="tp35c11c26size18color16777215routeb"/>
        <xdr:cNvSpPr/>
      </xdr:nvSpPr>
      <xdr:spPr>
        <a:xfrm>
          <a:off x="174974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238125</xdr:colOff>
      <xdr:row>8</xdr:row>
      <xdr:rowOff>238125</xdr:rowOff>
    </xdr:from>
    <xdr:to>
      <xdr:col>35</xdr:col>
      <xdr:colOff>238125</xdr:colOff>
      <xdr:row>8</xdr:row>
      <xdr:rowOff>238125</xdr:rowOff>
    </xdr:to>
    <xdr:sp macro="" textlink="">
      <xdr:nvSpPr>
        <xdr:cNvPr id="42008" name="rteShptp35c11c26size18color16777215routeb"/>
        <xdr:cNvSpPr/>
      </xdr:nvSpPr>
      <xdr:spPr>
        <a:xfrm>
          <a:off x="17611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9</xdr:row>
      <xdr:rowOff>123825</xdr:rowOff>
    </xdr:from>
    <xdr:to>
      <xdr:col>35</xdr:col>
      <xdr:colOff>352425</xdr:colOff>
      <xdr:row>9</xdr:row>
      <xdr:rowOff>352425</xdr:rowOff>
    </xdr:to>
    <xdr:sp macro="" textlink="">
      <xdr:nvSpPr>
        <xdr:cNvPr id="42010" name="tp35c11c27size18color16777215route"/>
        <xdr:cNvSpPr/>
      </xdr:nvSpPr>
      <xdr:spPr>
        <a:xfrm>
          <a:off x="174974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10</xdr:row>
      <xdr:rowOff>123825</xdr:rowOff>
    </xdr:from>
    <xdr:to>
      <xdr:col>35</xdr:col>
      <xdr:colOff>352425</xdr:colOff>
      <xdr:row>10</xdr:row>
      <xdr:rowOff>352425</xdr:rowOff>
    </xdr:to>
    <xdr:sp macro="" textlink="">
      <xdr:nvSpPr>
        <xdr:cNvPr id="42011" name="tp35c11c28size18color16777215routec"/>
        <xdr:cNvSpPr/>
      </xdr:nvSpPr>
      <xdr:spPr>
        <a:xfrm>
          <a:off x="174974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238125</xdr:colOff>
      <xdr:row>10</xdr:row>
      <xdr:rowOff>238125</xdr:rowOff>
    </xdr:from>
    <xdr:to>
      <xdr:col>35</xdr:col>
      <xdr:colOff>238125</xdr:colOff>
      <xdr:row>10</xdr:row>
      <xdr:rowOff>238125</xdr:rowOff>
    </xdr:to>
    <xdr:sp macro="" textlink="">
      <xdr:nvSpPr>
        <xdr:cNvPr id="42012" name="rteShptp35c11c28size18color16777215routec"/>
        <xdr:cNvSpPr/>
      </xdr:nvSpPr>
      <xdr:spPr>
        <a:xfrm>
          <a:off x="17611725" y="614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174625</xdr:colOff>
      <xdr:row>14</xdr:row>
      <xdr:rowOff>174625</xdr:rowOff>
    </xdr:from>
    <xdr:to>
      <xdr:col>35</xdr:col>
      <xdr:colOff>301625</xdr:colOff>
      <xdr:row>14</xdr:row>
      <xdr:rowOff>301625</xdr:rowOff>
    </xdr:to>
    <xdr:sp macro="" textlink="">
      <xdr:nvSpPr>
        <xdr:cNvPr id="42014" name="tp35c12c22size10color255route"/>
        <xdr:cNvSpPr/>
      </xdr:nvSpPr>
      <xdr:spPr>
        <a:xfrm>
          <a:off x="17548225" y="798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238125</xdr:colOff>
      <xdr:row>16</xdr:row>
      <xdr:rowOff>238125</xdr:rowOff>
    </xdr:from>
    <xdr:to>
      <xdr:col>35</xdr:col>
      <xdr:colOff>238125</xdr:colOff>
      <xdr:row>16</xdr:row>
      <xdr:rowOff>238125</xdr:rowOff>
    </xdr:to>
    <xdr:sp macro="" textlink="">
      <xdr:nvSpPr>
        <xdr:cNvPr id="42015" name="rteShptp35c12c24size0color0routecb"/>
        <xdr:cNvSpPr/>
      </xdr:nvSpPr>
      <xdr:spPr>
        <a:xfrm>
          <a:off x="17611725" y="900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17</xdr:row>
      <xdr:rowOff>123825</xdr:rowOff>
    </xdr:from>
    <xdr:to>
      <xdr:col>35</xdr:col>
      <xdr:colOff>352425</xdr:colOff>
      <xdr:row>17</xdr:row>
      <xdr:rowOff>352425</xdr:rowOff>
    </xdr:to>
    <xdr:sp macro="" textlink="">
      <xdr:nvSpPr>
        <xdr:cNvPr id="42018" name="tp35c12c25size18color255route"/>
        <xdr:cNvSpPr/>
      </xdr:nvSpPr>
      <xdr:spPr>
        <a:xfrm>
          <a:off x="17497425" y="936307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18</xdr:row>
      <xdr:rowOff>123825</xdr:rowOff>
    </xdr:from>
    <xdr:to>
      <xdr:col>35</xdr:col>
      <xdr:colOff>352425</xdr:colOff>
      <xdr:row>18</xdr:row>
      <xdr:rowOff>352425</xdr:rowOff>
    </xdr:to>
    <xdr:sp macro="" textlink="">
      <xdr:nvSpPr>
        <xdr:cNvPr id="42019" name="tp35c12c26size18color65535routev"/>
        <xdr:cNvSpPr/>
      </xdr:nvSpPr>
      <xdr:spPr>
        <a:xfrm>
          <a:off x="1749742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238125</xdr:colOff>
      <xdr:row>18</xdr:row>
      <xdr:rowOff>238125</xdr:rowOff>
    </xdr:from>
    <xdr:to>
      <xdr:col>35</xdr:col>
      <xdr:colOff>238125</xdr:colOff>
      <xdr:row>18</xdr:row>
      <xdr:rowOff>238125</xdr:rowOff>
    </xdr:to>
    <xdr:sp macro="" textlink="">
      <xdr:nvSpPr>
        <xdr:cNvPr id="42020" name="rteShptp35c12c26size18color65535routev"/>
        <xdr:cNvSpPr/>
      </xdr:nvSpPr>
      <xdr:spPr>
        <a:xfrm>
          <a:off x="1761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23</xdr:row>
      <xdr:rowOff>123825</xdr:rowOff>
    </xdr:from>
    <xdr:to>
      <xdr:col>35</xdr:col>
      <xdr:colOff>352425</xdr:colOff>
      <xdr:row>23</xdr:row>
      <xdr:rowOff>352425</xdr:rowOff>
    </xdr:to>
    <xdr:sp macro="" textlink="">
      <xdr:nvSpPr>
        <xdr:cNvPr id="42022" name="tp35c13c21size18color16777215route"/>
        <xdr:cNvSpPr/>
      </xdr:nvSpPr>
      <xdr:spPr>
        <a:xfrm>
          <a:off x="1749742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24</xdr:row>
      <xdr:rowOff>123825</xdr:rowOff>
    </xdr:from>
    <xdr:to>
      <xdr:col>35</xdr:col>
      <xdr:colOff>352425</xdr:colOff>
      <xdr:row>24</xdr:row>
      <xdr:rowOff>352425</xdr:rowOff>
    </xdr:to>
    <xdr:sp macro="" textlink="">
      <xdr:nvSpPr>
        <xdr:cNvPr id="42023" name="tp35c13c22size18color16777215routev"/>
        <xdr:cNvSpPr/>
      </xdr:nvSpPr>
      <xdr:spPr>
        <a:xfrm>
          <a:off x="1749742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238125</xdr:colOff>
      <xdr:row>24</xdr:row>
      <xdr:rowOff>238125</xdr:rowOff>
    </xdr:from>
    <xdr:to>
      <xdr:col>35</xdr:col>
      <xdr:colOff>238125</xdr:colOff>
      <xdr:row>24</xdr:row>
      <xdr:rowOff>238125</xdr:rowOff>
    </xdr:to>
    <xdr:sp macro="" textlink="">
      <xdr:nvSpPr>
        <xdr:cNvPr id="42024" name="rteShptp35c13c22size18color16777215routev"/>
        <xdr:cNvSpPr/>
      </xdr:nvSpPr>
      <xdr:spPr>
        <a:xfrm>
          <a:off x="17611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123825</xdr:colOff>
      <xdr:row>28</xdr:row>
      <xdr:rowOff>123825</xdr:rowOff>
    </xdr:from>
    <xdr:to>
      <xdr:col>35</xdr:col>
      <xdr:colOff>352425</xdr:colOff>
      <xdr:row>28</xdr:row>
      <xdr:rowOff>352425</xdr:rowOff>
    </xdr:to>
    <xdr:sp macro="" textlink="">
      <xdr:nvSpPr>
        <xdr:cNvPr id="42026" name="tp35c13c26size18color16777215routecb"/>
        <xdr:cNvSpPr/>
      </xdr:nvSpPr>
      <xdr:spPr>
        <a:xfrm>
          <a:off x="1749742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238125</xdr:colOff>
      <xdr:row>28</xdr:row>
      <xdr:rowOff>238125</xdr:rowOff>
    </xdr:from>
    <xdr:to>
      <xdr:col>35</xdr:col>
      <xdr:colOff>238125</xdr:colOff>
      <xdr:row>28</xdr:row>
      <xdr:rowOff>238125</xdr:rowOff>
    </xdr:to>
    <xdr:sp macro="" textlink="">
      <xdr:nvSpPr>
        <xdr:cNvPr id="42027" name="rteShptp35c13c26size18color16777215routecb"/>
        <xdr:cNvSpPr/>
      </xdr:nvSpPr>
      <xdr:spPr>
        <a:xfrm>
          <a:off x="17611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3</xdr:row>
      <xdr:rowOff>123825</xdr:rowOff>
    </xdr:from>
    <xdr:to>
      <xdr:col>36</xdr:col>
      <xdr:colOff>352425</xdr:colOff>
      <xdr:row>3</xdr:row>
      <xdr:rowOff>352425</xdr:rowOff>
    </xdr:to>
    <xdr:sp macro="" textlink="">
      <xdr:nvSpPr>
        <xdr:cNvPr id="42030" name="tp36c11c21size18color16777215route"/>
        <xdr:cNvSpPr/>
      </xdr:nvSpPr>
      <xdr:spPr>
        <a:xfrm>
          <a:off x="1797367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4</xdr:row>
      <xdr:rowOff>123825</xdr:rowOff>
    </xdr:from>
    <xdr:to>
      <xdr:col>36</xdr:col>
      <xdr:colOff>352425</xdr:colOff>
      <xdr:row>4</xdr:row>
      <xdr:rowOff>352425</xdr:rowOff>
    </xdr:to>
    <xdr:sp macro="" textlink="">
      <xdr:nvSpPr>
        <xdr:cNvPr id="42031" name="tp36c11c22size18color16777215routev"/>
        <xdr:cNvSpPr/>
      </xdr:nvSpPr>
      <xdr:spPr>
        <a:xfrm>
          <a:off x="1797367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238125</xdr:colOff>
      <xdr:row>4</xdr:row>
      <xdr:rowOff>238125</xdr:rowOff>
    </xdr:from>
    <xdr:to>
      <xdr:col>36</xdr:col>
      <xdr:colOff>238125</xdr:colOff>
      <xdr:row>4</xdr:row>
      <xdr:rowOff>238125</xdr:rowOff>
    </xdr:to>
    <xdr:sp macro="" textlink="">
      <xdr:nvSpPr>
        <xdr:cNvPr id="42032" name="rteShptp36c11c22size18color16777215routev"/>
        <xdr:cNvSpPr/>
      </xdr:nvSpPr>
      <xdr:spPr>
        <a:xfrm>
          <a:off x="18087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5</xdr:row>
      <xdr:rowOff>123825</xdr:rowOff>
    </xdr:from>
    <xdr:to>
      <xdr:col>36</xdr:col>
      <xdr:colOff>352425</xdr:colOff>
      <xdr:row>5</xdr:row>
      <xdr:rowOff>352425</xdr:rowOff>
    </xdr:to>
    <xdr:sp macro="" textlink="">
      <xdr:nvSpPr>
        <xdr:cNvPr id="42034" name="tp36c11c23size18color16777215route"/>
        <xdr:cNvSpPr/>
      </xdr:nvSpPr>
      <xdr:spPr>
        <a:xfrm>
          <a:off x="1797367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6</xdr:row>
      <xdr:rowOff>123825</xdr:rowOff>
    </xdr:from>
    <xdr:to>
      <xdr:col>36</xdr:col>
      <xdr:colOff>352425</xdr:colOff>
      <xdr:row>6</xdr:row>
      <xdr:rowOff>352425</xdr:rowOff>
    </xdr:to>
    <xdr:sp macro="" textlink="">
      <xdr:nvSpPr>
        <xdr:cNvPr id="42035" name="tp36c11c24size18color16777215route"/>
        <xdr:cNvSpPr/>
      </xdr:nvSpPr>
      <xdr:spPr>
        <a:xfrm>
          <a:off x="1797367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7</xdr:row>
      <xdr:rowOff>123825</xdr:rowOff>
    </xdr:from>
    <xdr:to>
      <xdr:col>36</xdr:col>
      <xdr:colOff>352425</xdr:colOff>
      <xdr:row>7</xdr:row>
      <xdr:rowOff>352425</xdr:rowOff>
    </xdr:to>
    <xdr:sp macro="" textlink="">
      <xdr:nvSpPr>
        <xdr:cNvPr id="42036" name="tp36c11c25size18color16777215route"/>
        <xdr:cNvSpPr/>
      </xdr:nvSpPr>
      <xdr:spPr>
        <a:xfrm>
          <a:off x="1797367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8</xdr:row>
      <xdr:rowOff>123825</xdr:rowOff>
    </xdr:from>
    <xdr:to>
      <xdr:col>36</xdr:col>
      <xdr:colOff>352425</xdr:colOff>
      <xdr:row>8</xdr:row>
      <xdr:rowOff>352425</xdr:rowOff>
    </xdr:to>
    <xdr:sp macro="" textlink="">
      <xdr:nvSpPr>
        <xdr:cNvPr id="42037" name="tp36c11c26size18color16777215routeb"/>
        <xdr:cNvSpPr/>
      </xdr:nvSpPr>
      <xdr:spPr>
        <a:xfrm>
          <a:off x="1797367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238125</xdr:colOff>
      <xdr:row>8</xdr:row>
      <xdr:rowOff>238125</xdr:rowOff>
    </xdr:from>
    <xdr:to>
      <xdr:col>36</xdr:col>
      <xdr:colOff>238125</xdr:colOff>
      <xdr:row>8</xdr:row>
      <xdr:rowOff>238125</xdr:rowOff>
    </xdr:to>
    <xdr:sp macro="" textlink="">
      <xdr:nvSpPr>
        <xdr:cNvPr id="42038" name="rteShptp36c11c26size18color16777215routeb"/>
        <xdr:cNvSpPr/>
      </xdr:nvSpPr>
      <xdr:spPr>
        <a:xfrm>
          <a:off x="18087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9</xdr:row>
      <xdr:rowOff>123825</xdr:rowOff>
    </xdr:from>
    <xdr:to>
      <xdr:col>36</xdr:col>
      <xdr:colOff>352425</xdr:colOff>
      <xdr:row>9</xdr:row>
      <xdr:rowOff>352425</xdr:rowOff>
    </xdr:to>
    <xdr:sp macro="" textlink="">
      <xdr:nvSpPr>
        <xdr:cNvPr id="42040" name="tp36c11c27size18color16777215route"/>
        <xdr:cNvSpPr/>
      </xdr:nvSpPr>
      <xdr:spPr>
        <a:xfrm>
          <a:off x="1797367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10</xdr:row>
      <xdr:rowOff>123825</xdr:rowOff>
    </xdr:from>
    <xdr:to>
      <xdr:col>36</xdr:col>
      <xdr:colOff>352425</xdr:colOff>
      <xdr:row>10</xdr:row>
      <xdr:rowOff>352425</xdr:rowOff>
    </xdr:to>
    <xdr:sp macro="" textlink="">
      <xdr:nvSpPr>
        <xdr:cNvPr id="42041" name="tp36c11c28size18color16777215routec"/>
        <xdr:cNvSpPr/>
      </xdr:nvSpPr>
      <xdr:spPr>
        <a:xfrm>
          <a:off x="1797367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238125</xdr:colOff>
      <xdr:row>10</xdr:row>
      <xdr:rowOff>238125</xdr:rowOff>
    </xdr:from>
    <xdr:to>
      <xdr:col>36</xdr:col>
      <xdr:colOff>238125</xdr:colOff>
      <xdr:row>10</xdr:row>
      <xdr:rowOff>238125</xdr:rowOff>
    </xdr:to>
    <xdr:sp macro="" textlink="">
      <xdr:nvSpPr>
        <xdr:cNvPr id="42042" name="rteShptp36c11c28size18color16777215routec"/>
        <xdr:cNvSpPr/>
      </xdr:nvSpPr>
      <xdr:spPr>
        <a:xfrm>
          <a:off x="18087975" y="614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174625</xdr:colOff>
      <xdr:row>14</xdr:row>
      <xdr:rowOff>174625</xdr:rowOff>
    </xdr:from>
    <xdr:to>
      <xdr:col>36</xdr:col>
      <xdr:colOff>301625</xdr:colOff>
      <xdr:row>14</xdr:row>
      <xdr:rowOff>301625</xdr:rowOff>
    </xdr:to>
    <xdr:sp macro="" textlink="">
      <xdr:nvSpPr>
        <xdr:cNvPr id="42044" name="tp36c12c22size10color255route"/>
        <xdr:cNvSpPr/>
      </xdr:nvSpPr>
      <xdr:spPr>
        <a:xfrm>
          <a:off x="18024475" y="798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238125</xdr:colOff>
      <xdr:row>16</xdr:row>
      <xdr:rowOff>238125</xdr:rowOff>
    </xdr:from>
    <xdr:to>
      <xdr:col>36</xdr:col>
      <xdr:colOff>238125</xdr:colOff>
      <xdr:row>16</xdr:row>
      <xdr:rowOff>238125</xdr:rowOff>
    </xdr:to>
    <xdr:sp macro="" textlink="">
      <xdr:nvSpPr>
        <xdr:cNvPr id="42045" name="rteShptp36c12c24size0color0routecb"/>
        <xdr:cNvSpPr/>
      </xdr:nvSpPr>
      <xdr:spPr>
        <a:xfrm>
          <a:off x="18087975" y="900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174625</xdr:colOff>
      <xdr:row>17</xdr:row>
      <xdr:rowOff>174625</xdr:rowOff>
    </xdr:from>
    <xdr:to>
      <xdr:col>36</xdr:col>
      <xdr:colOff>301625</xdr:colOff>
      <xdr:row>17</xdr:row>
      <xdr:rowOff>301625</xdr:rowOff>
    </xdr:to>
    <xdr:sp macro="" textlink="">
      <xdr:nvSpPr>
        <xdr:cNvPr id="42048" name="tp36c12c25size10color255route"/>
        <xdr:cNvSpPr/>
      </xdr:nvSpPr>
      <xdr:spPr>
        <a:xfrm>
          <a:off x="18024475" y="9413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73025</xdr:colOff>
      <xdr:row>18</xdr:row>
      <xdr:rowOff>73025</xdr:rowOff>
    </xdr:from>
    <xdr:to>
      <xdr:col>36</xdr:col>
      <xdr:colOff>403225</xdr:colOff>
      <xdr:row>18</xdr:row>
      <xdr:rowOff>403225</xdr:rowOff>
    </xdr:to>
    <xdr:sp macro="" textlink="">
      <xdr:nvSpPr>
        <xdr:cNvPr id="42049" name="tp36c12c26size26color255routev"/>
        <xdr:cNvSpPr/>
      </xdr:nvSpPr>
      <xdr:spPr>
        <a:xfrm>
          <a:off x="17922875" y="9788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238125</xdr:colOff>
      <xdr:row>18</xdr:row>
      <xdr:rowOff>238125</xdr:rowOff>
    </xdr:from>
    <xdr:to>
      <xdr:col>36</xdr:col>
      <xdr:colOff>238125</xdr:colOff>
      <xdr:row>18</xdr:row>
      <xdr:rowOff>238125</xdr:rowOff>
    </xdr:to>
    <xdr:sp macro="" textlink="">
      <xdr:nvSpPr>
        <xdr:cNvPr id="42050" name="rteShptp36c12c26size26color255routev"/>
        <xdr:cNvSpPr/>
      </xdr:nvSpPr>
      <xdr:spPr>
        <a:xfrm>
          <a:off x="1808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23</xdr:row>
      <xdr:rowOff>123825</xdr:rowOff>
    </xdr:from>
    <xdr:to>
      <xdr:col>36</xdr:col>
      <xdr:colOff>352425</xdr:colOff>
      <xdr:row>23</xdr:row>
      <xdr:rowOff>352425</xdr:rowOff>
    </xdr:to>
    <xdr:sp macro="" textlink="">
      <xdr:nvSpPr>
        <xdr:cNvPr id="42052" name="tp36c13c21size18color16777215route"/>
        <xdr:cNvSpPr/>
      </xdr:nvSpPr>
      <xdr:spPr>
        <a:xfrm>
          <a:off x="179736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24</xdr:row>
      <xdr:rowOff>123825</xdr:rowOff>
    </xdr:from>
    <xdr:to>
      <xdr:col>36</xdr:col>
      <xdr:colOff>352425</xdr:colOff>
      <xdr:row>24</xdr:row>
      <xdr:rowOff>352425</xdr:rowOff>
    </xdr:to>
    <xdr:sp macro="" textlink="">
      <xdr:nvSpPr>
        <xdr:cNvPr id="42053" name="tp36c13c22size18color16777215routev"/>
        <xdr:cNvSpPr/>
      </xdr:nvSpPr>
      <xdr:spPr>
        <a:xfrm>
          <a:off x="1797367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238125</xdr:colOff>
      <xdr:row>24</xdr:row>
      <xdr:rowOff>238125</xdr:rowOff>
    </xdr:from>
    <xdr:to>
      <xdr:col>36</xdr:col>
      <xdr:colOff>238125</xdr:colOff>
      <xdr:row>24</xdr:row>
      <xdr:rowOff>238125</xdr:rowOff>
    </xdr:to>
    <xdr:sp macro="" textlink="">
      <xdr:nvSpPr>
        <xdr:cNvPr id="42054" name="rteShptp36c13c22size18color16777215routev"/>
        <xdr:cNvSpPr/>
      </xdr:nvSpPr>
      <xdr:spPr>
        <a:xfrm>
          <a:off x="180879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123825</xdr:colOff>
      <xdr:row>28</xdr:row>
      <xdr:rowOff>123825</xdr:rowOff>
    </xdr:from>
    <xdr:to>
      <xdr:col>36</xdr:col>
      <xdr:colOff>352425</xdr:colOff>
      <xdr:row>28</xdr:row>
      <xdr:rowOff>352425</xdr:rowOff>
    </xdr:to>
    <xdr:sp macro="" textlink="">
      <xdr:nvSpPr>
        <xdr:cNvPr id="42056" name="tp36c13c26size18color16777215routecb"/>
        <xdr:cNvSpPr/>
      </xdr:nvSpPr>
      <xdr:spPr>
        <a:xfrm>
          <a:off x="179736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238125</xdr:colOff>
      <xdr:row>28</xdr:row>
      <xdr:rowOff>238125</xdr:rowOff>
    </xdr:from>
    <xdr:to>
      <xdr:col>36</xdr:col>
      <xdr:colOff>238125</xdr:colOff>
      <xdr:row>28</xdr:row>
      <xdr:rowOff>238125</xdr:rowOff>
    </xdr:to>
    <xdr:sp macro="" textlink="">
      <xdr:nvSpPr>
        <xdr:cNvPr id="42057" name="rteShptp36c13c26size18color16777215routecb"/>
        <xdr:cNvSpPr/>
      </xdr:nvSpPr>
      <xdr:spPr>
        <a:xfrm>
          <a:off x="18087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73025</xdr:colOff>
      <xdr:row>3</xdr:row>
      <xdr:rowOff>73025</xdr:rowOff>
    </xdr:from>
    <xdr:to>
      <xdr:col>37</xdr:col>
      <xdr:colOff>403225</xdr:colOff>
      <xdr:row>3</xdr:row>
      <xdr:rowOff>403225</xdr:rowOff>
    </xdr:to>
    <xdr:sp macro="" textlink="">
      <xdr:nvSpPr>
        <xdr:cNvPr id="42060" name="tp37c11c21size26color65280routevcb">
          <a:hlinkClick xmlns:r="http://schemas.openxmlformats.org/officeDocument/2006/relationships" r:id="" tooltip="Considered mobile browser part of public web rather than mobile channel.&#10;"/>
        </xdr:cNvPr>
        <xdr:cNvSpPr/>
      </xdr:nvSpPr>
      <xdr:spPr>
        <a:xfrm>
          <a:off x="18399125" y="2644775"/>
          <a:ext cx="330200" cy="3302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238125</xdr:colOff>
      <xdr:row>3</xdr:row>
      <xdr:rowOff>238125</xdr:rowOff>
    </xdr:from>
    <xdr:to>
      <xdr:col>37</xdr:col>
      <xdr:colOff>238125</xdr:colOff>
      <xdr:row>3</xdr:row>
      <xdr:rowOff>238125</xdr:rowOff>
    </xdr:to>
    <xdr:sp macro="" textlink="">
      <xdr:nvSpPr>
        <xdr:cNvPr id="42061" name="rteShptp37c11c21size26color65280routevcb"/>
        <xdr:cNvSpPr/>
      </xdr:nvSpPr>
      <xdr:spPr>
        <a:xfrm>
          <a:off x="185642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174625</xdr:colOff>
      <xdr:row>6</xdr:row>
      <xdr:rowOff>174625</xdr:rowOff>
    </xdr:from>
    <xdr:to>
      <xdr:col>37</xdr:col>
      <xdr:colOff>301625</xdr:colOff>
      <xdr:row>6</xdr:row>
      <xdr:rowOff>301625</xdr:rowOff>
    </xdr:to>
    <xdr:sp macro="" textlink="">
      <xdr:nvSpPr>
        <xdr:cNvPr id="42065" name="tp37c11c24size10color65280route"/>
        <xdr:cNvSpPr/>
      </xdr:nvSpPr>
      <xdr:spPr>
        <a:xfrm>
          <a:off x="18500725" y="4175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73025</xdr:colOff>
      <xdr:row>13</xdr:row>
      <xdr:rowOff>73025</xdr:rowOff>
    </xdr:from>
    <xdr:to>
      <xdr:col>37</xdr:col>
      <xdr:colOff>403225</xdr:colOff>
      <xdr:row>13</xdr:row>
      <xdr:rowOff>403225</xdr:rowOff>
    </xdr:to>
    <xdr:sp macro="" textlink="">
      <xdr:nvSpPr>
        <xdr:cNvPr id="42066" name="tp37c12c21size26color65280routevcb"/>
        <xdr:cNvSpPr/>
      </xdr:nvSpPr>
      <xdr:spPr>
        <a:xfrm>
          <a:off x="18399125" y="74072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238125</xdr:colOff>
      <xdr:row>13</xdr:row>
      <xdr:rowOff>238125</xdr:rowOff>
    </xdr:from>
    <xdr:to>
      <xdr:col>37</xdr:col>
      <xdr:colOff>238125</xdr:colOff>
      <xdr:row>13</xdr:row>
      <xdr:rowOff>238125</xdr:rowOff>
    </xdr:to>
    <xdr:sp macro="" textlink="">
      <xdr:nvSpPr>
        <xdr:cNvPr id="42067" name="rteShptp37c12c21size26color65280routevcb"/>
        <xdr:cNvSpPr/>
      </xdr:nvSpPr>
      <xdr:spPr>
        <a:xfrm>
          <a:off x="185642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73025</xdr:colOff>
      <xdr:row>23</xdr:row>
      <xdr:rowOff>73025</xdr:rowOff>
    </xdr:from>
    <xdr:to>
      <xdr:col>37</xdr:col>
      <xdr:colOff>403225</xdr:colOff>
      <xdr:row>23</xdr:row>
      <xdr:rowOff>403225</xdr:rowOff>
    </xdr:to>
    <xdr:sp macro="" textlink="">
      <xdr:nvSpPr>
        <xdr:cNvPr id="42071" name="tp37c13c21size26color65280routevcb"/>
        <xdr:cNvSpPr/>
      </xdr:nvSpPr>
      <xdr:spPr>
        <a:xfrm>
          <a:off x="18399125" y="121697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238125</xdr:colOff>
      <xdr:row>23</xdr:row>
      <xdr:rowOff>238125</xdr:rowOff>
    </xdr:from>
    <xdr:to>
      <xdr:col>37</xdr:col>
      <xdr:colOff>238125</xdr:colOff>
      <xdr:row>23</xdr:row>
      <xdr:rowOff>238125</xdr:rowOff>
    </xdr:to>
    <xdr:sp macro="" textlink="">
      <xdr:nvSpPr>
        <xdr:cNvPr id="42072" name="rteShptp37c13c21size26color65280routevcb"/>
        <xdr:cNvSpPr/>
      </xdr:nvSpPr>
      <xdr:spPr>
        <a:xfrm>
          <a:off x="185642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123825</xdr:colOff>
      <xdr:row>3</xdr:row>
      <xdr:rowOff>123825</xdr:rowOff>
    </xdr:from>
    <xdr:to>
      <xdr:col>38</xdr:col>
      <xdr:colOff>352425</xdr:colOff>
      <xdr:row>3</xdr:row>
      <xdr:rowOff>352425</xdr:rowOff>
    </xdr:to>
    <xdr:sp macro="" textlink="">
      <xdr:nvSpPr>
        <xdr:cNvPr id="42076" name="tp38c11c21size18color16777215route"/>
        <xdr:cNvSpPr/>
      </xdr:nvSpPr>
      <xdr:spPr>
        <a:xfrm>
          <a:off x="1892617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123825</xdr:colOff>
      <xdr:row>4</xdr:row>
      <xdr:rowOff>123825</xdr:rowOff>
    </xdr:from>
    <xdr:to>
      <xdr:col>38</xdr:col>
      <xdr:colOff>352425</xdr:colOff>
      <xdr:row>4</xdr:row>
      <xdr:rowOff>352425</xdr:rowOff>
    </xdr:to>
    <xdr:sp macro="" textlink="">
      <xdr:nvSpPr>
        <xdr:cNvPr id="42077" name="tp38c11c22size18color16777215route"/>
        <xdr:cNvSpPr/>
      </xdr:nvSpPr>
      <xdr:spPr>
        <a:xfrm>
          <a:off x="1892617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123825</xdr:colOff>
      <xdr:row>5</xdr:row>
      <xdr:rowOff>123825</xdr:rowOff>
    </xdr:from>
    <xdr:to>
      <xdr:col>38</xdr:col>
      <xdr:colOff>352425</xdr:colOff>
      <xdr:row>5</xdr:row>
      <xdr:rowOff>352425</xdr:rowOff>
    </xdr:to>
    <xdr:sp macro="" textlink="">
      <xdr:nvSpPr>
        <xdr:cNvPr id="42078" name="tp38c11c23size18color16777215route"/>
        <xdr:cNvSpPr/>
      </xdr:nvSpPr>
      <xdr:spPr>
        <a:xfrm>
          <a:off x="1892617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123825</xdr:colOff>
      <xdr:row>6</xdr:row>
      <xdr:rowOff>123825</xdr:rowOff>
    </xdr:from>
    <xdr:to>
      <xdr:col>38</xdr:col>
      <xdr:colOff>352425</xdr:colOff>
      <xdr:row>6</xdr:row>
      <xdr:rowOff>352425</xdr:rowOff>
    </xdr:to>
    <xdr:sp macro="" textlink="">
      <xdr:nvSpPr>
        <xdr:cNvPr id="42079" name="tp38c11c24size18color16777215routevc"/>
        <xdr:cNvSpPr/>
      </xdr:nvSpPr>
      <xdr:spPr>
        <a:xfrm>
          <a:off x="1892617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238125</xdr:colOff>
      <xdr:row>6</xdr:row>
      <xdr:rowOff>238125</xdr:rowOff>
    </xdr:from>
    <xdr:to>
      <xdr:col>38</xdr:col>
      <xdr:colOff>238125</xdr:colOff>
      <xdr:row>6</xdr:row>
      <xdr:rowOff>238125</xdr:rowOff>
    </xdr:to>
    <xdr:sp macro="" textlink="">
      <xdr:nvSpPr>
        <xdr:cNvPr id="42080" name="rteShptp38c11c24size18color16777215routevc"/>
        <xdr:cNvSpPr/>
      </xdr:nvSpPr>
      <xdr:spPr>
        <a:xfrm>
          <a:off x="19040475" y="423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123825</xdr:colOff>
      <xdr:row>7</xdr:row>
      <xdr:rowOff>123825</xdr:rowOff>
    </xdr:from>
    <xdr:to>
      <xdr:col>38</xdr:col>
      <xdr:colOff>352425</xdr:colOff>
      <xdr:row>7</xdr:row>
      <xdr:rowOff>352425</xdr:rowOff>
    </xdr:to>
    <xdr:sp macro="" textlink="">
      <xdr:nvSpPr>
        <xdr:cNvPr id="42083" name="tp38c11c25size18color16777215route"/>
        <xdr:cNvSpPr/>
      </xdr:nvSpPr>
      <xdr:spPr>
        <a:xfrm>
          <a:off x="1892617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123825</xdr:colOff>
      <xdr:row>8</xdr:row>
      <xdr:rowOff>123825</xdr:rowOff>
    </xdr:from>
    <xdr:to>
      <xdr:col>38</xdr:col>
      <xdr:colOff>352425</xdr:colOff>
      <xdr:row>8</xdr:row>
      <xdr:rowOff>352425</xdr:rowOff>
    </xdr:to>
    <xdr:sp macro="" textlink="">
      <xdr:nvSpPr>
        <xdr:cNvPr id="42084" name="tp38c11c26size18color16777215routeb"/>
        <xdr:cNvSpPr/>
      </xdr:nvSpPr>
      <xdr:spPr>
        <a:xfrm>
          <a:off x="1892617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238125</xdr:colOff>
      <xdr:row>8</xdr:row>
      <xdr:rowOff>238125</xdr:rowOff>
    </xdr:from>
    <xdr:to>
      <xdr:col>38</xdr:col>
      <xdr:colOff>238125</xdr:colOff>
      <xdr:row>8</xdr:row>
      <xdr:rowOff>238125</xdr:rowOff>
    </xdr:to>
    <xdr:sp macro="" textlink="">
      <xdr:nvSpPr>
        <xdr:cNvPr id="42085" name="rteShptp38c11c26size18color16777215routeb"/>
        <xdr:cNvSpPr/>
      </xdr:nvSpPr>
      <xdr:spPr>
        <a:xfrm>
          <a:off x="19040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123825</xdr:colOff>
      <xdr:row>9</xdr:row>
      <xdr:rowOff>123825</xdr:rowOff>
    </xdr:from>
    <xdr:to>
      <xdr:col>38</xdr:col>
      <xdr:colOff>352425</xdr:colOff>
      <xdr:row>9</xdr:row>
      <xdr:rowOff>352425</xdr:rowOff>
    </xdr:to>
    <xdr:sp macro="" textlink="">
      <xdr:nvSpPr>
        <xdr:cNvPr id="42087" name="tp38c11c27size18color16777215route"/>
        <xdr:cNvSpPr/>
      </xdr:nvSpPr>
      <xdr:spPr>
        <a:xfrm>
          <a:off x="1892617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123825</xdr:colOff>
      <xdr:row>10</xdr:row>
      <xdr:rowOff>123825</xdr:rowOff>
    </xdr:from>
    <xdr:to>
      <xdr:col>38</xdr:col>
      <xdr:colOff>352425</xdr:colOff>
      <xdr:row>10</xdr:row>
      <xdr:rowOff>352425</xdr:rowOff>
    </xdr:to>
    <xdr:sp macro="" textlink="">
      <xdr:nvSpPr>
        <xdr:cNvPr id="42088" name="tp38c11c28size18color16777215route"/>
        <xdr:cNvSpPr/>
      </xdr:nvSpPr>
      <xdr:spPr>
        <a:xfrm>
          <a:off x="1892617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123825</xdr:colOff>
      <xdr:row>16</xdr:row>
      <xdr:rowOff>123825</xdr:rowOff>
    </xdr:from>
    <xdr:to>
      <xdr:col>38</xdr:col>
      <xdr:colOff>352425</xdr:colOff>
      <xdr:row>16</xdr:row>
      <xdr:rowOff>352425</xdr:rowOff>
    </xdr:to>
    <xdr:sp macro="" textlink="">
      <xdr:nvSpPr>
        <xdr:cNvPr id="42089" name="tp38c12c24size18color65280route"/>
        <xdr:cNvSpPr/>
      </xdr:nvSpPr>
      <xdr:spPr>
        <a:xfrm>
          <a:off x="18926175" y="8886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73025</xdr:colOff>
      <xdr:row>18</xdr:row>
      <xdr:rowOff>73025</xdr:rowOff>
    </xdr:from>
    <xdr:to>
      <xdr:col>38</xdr:col>
      <xdr:colOff>403225</xdr:colOff>
      <xdr:row>18</xdr:row>
      <xdr:rowOff>403225</xdr:rowOff>
    </xdr:to>
    <xdr:sp macro="" textlink="">
      <xdr:nvSpPr>
        <xdr:cNvPr id="42090" name="tp38c12c26size26color65280routevcb"/>
        <xdr:cNvSpPr/>
      </xdr:nvSpPr>
      <xdr:spPr>
        <a:xfrm>
          <a:off x="1887537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238125</xdr:colOff>
      <xdr:row>18</xdr:row>
      <xdr:rowOff>238125</xdr:rowOff>
    </xdr:from>
    <xdr:to>
      <xdr:col>38</xdr:col>
      <xdr:colOff>238125</xdr:colOff>
      <xdr:row>18</xdr:row>
      <xdr:rowOff>238125</xdr:rowOff>
    </xdr:to>
    <xdr:sp macro="" textlink="">
      <xdr:nvSpPr>
        <xdr:cNvPr id="42091" name="rteShptp38c12c26size26color65280routevcb"/>
        <xdr:cNvSpPr/>
      </xdr:nvSpPr>
      <xdr:spPr>
        <a:xfrm>
          <a:off x="1904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123825</xdr:colOff>
      <xdr:row>26</xdr:row>
      <xdr:rowOff>123825</xdr:rowOff>
    </xdr:from>
    <xdr:to>
      <xdr:col>38</xdr:col>
      <xdr:colOff>352425</xdr:colOff>
      <xdr:row>26</xdr:row>
      <xdr:rowOff>352425</xdr:rowOff>
    </xdr:to>
    <xdr:sp macro="" textlink="">
      <xdr:nvSpPr>
        <xdr:cNvPr id="42095" name="tp38c13c24size18color65280route"/>
        <xdr:cNvSpPr/>
      </xdr:nvSpPr>
      <xdr:spPr>
        <a:xfrm>
          <a:off x="18926175" y="136493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73025</xdr:colOff>
      <xdr:row>28</xdr:row>
      <xdr:rowOff>73025</xdr:rowOff>
    </xdr:from>
    <xdr:to>
      <xdr:col>38</xdr:col>
      <xdr:colOff>403225</xdr:colOff>
      <xdr:row>28</xdr:row>
      <xdr:rowOff>403225</xdr:rowOff>
    </xdr:to>
    <xdr:sp macro="" textlink="">
      <xdr:nvSpPr>
        <xdr:cNvPr id="42096" name="tp38c13c26size26color65280routevcb"/>
        <xdr:cNvSpPr/>
      </xdr:nvSpPr>
      <xdr:spPr>
        <a:xfrm>
          <a:off x="1887537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238125</xdr:colOff>
      <xdr:row>28</xdr:row>
      <xdr:rowOff>238125</xdr:rowOff>
    </xdr:from>
    <xdr:to>
      <xdr:col>38</xdr:col>
      <xdr:colOff>238125</xdr:colOff>
      <xdr:row>28</xdr:row>
      <xdr:rowOff>238125</xdr:rowOff>
    </xdr:to>
    <xdr:sp macro="" textlink="">
      <xdr:nvSpPr>
        <xdr:cNvPr id="42097" name="rteShptp38c13c26size26color65280routevcb"/>
        <xdr:cNvSpPr/>
      </xdr:nvSpPr>
      <xdr:spPr>
        <a:xfrm>
          <a:off x="19040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123825</xdr:colOff>
      <xdr:row>3</xdr:row>
      <xdr:rowOff>123825</xdr:rowOff>
    </xdr:from>
    <xdr:to>
      <xdr:col>39</xdr:col>
      <xdr:colOff>352425</xdr:colOff>
      <xdr:row>3</xdr:row>
      <xdr:rowOff>352425</xdr:rowOff>
    </xdr:to>
    <xdr:sp macro="" textlink="">
      <xdr:nvSpPr>
        <xdr:cNvPr id="42101" name="tp39c11c21size18color16777215route"/>
        <xdr:cNvSpPr/>
      </xdr:nvSpPr>
      <xdr:spPr>
        <a:xfrm>
          <a:off x="194024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123825</xdr:colOff>
      <xdr:row>4</xdr:row>
      <xdr:rowOff>123825</xdr:rowOff>
    </xdr:from>
    <xdr:to>
      <xdr:col>39</xdr:col>
      <xdr:colOff>352425</xdr:colOff>
      <xdr:row>4</xdr:row>
      <xdr:rowOff>352425</xdr:rowOff>
    </xdr:to>
    <xdr:sp macro="" textlink="">
      <xdr:nvSpPr>
        <xdr:cNvPr id="42102" name="tp39c11c22size18color16777215route"/>
        <xdr:cNvSpPr/>
      </xdr:nvSpPr>
      <xdr:spPr>
        <a:xfrm>
          <a:off x="194024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123825</xdr:colOff>
      <xdr:row>5</xdr:row>
      <xdr:rowOff>123825</xdr:rowOff>
    </xdr:from>
    <xdr:to>
      <xdr:col>39</xdr:col>
      <xdr:colOff>352425</xdr:colOff>
      <xdr:row>5</xdr:row>
      <xdr:rowOff>352425</xdr:rowOff>
    </xdr:to>
    <xdr:sp macro="" textlink="">
      <xdr:nvSpPr>
        <xdr:cNvPr id="42103" name="tp39c11c23size18color16777215route"/>
        <xdr:cNvSpPr/>
      </xdr:nvSpPr>
      <xdr:spPr>
        <a:xfrm>
          <a:off x="194024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123825</xdr:colOff>
      <xdr:row>6</xdr:row>
      <xdr:rowOff>123825</xdr:rowOff>
    </xdr:from>
    <xdr:to>
      <xdr:col>39</xdr:col>
      <xdr:colOff>352425</xdr:colOff>
      <xdr:row>6</xdr:row>
      <xdr:rowOff>352425</xdr:rowOff>
    </xdr:to>
    <xdr:sp macro="" textlink="">
      <xdr:nvSpPr>
        <xdr:cNvPr id="42104" name="tp39c11c24size18color16777215routevc"/>
        <xdr:cNvSpPr/>
      </xdr:nvSpPr>
      <xdr:spPr>
        <a:xfrm>
          <a:off x="194024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238125</xdr:colOff>
      <xdr:row>6</xdr:row>
      <xdr:rowOff>238125</xdr:rowOff>
    </xdr:from>
    <xdr:to>
      <xdr:col>39</xdr:col>
      <xdr:colOff>238125</xdr:colOff>
      <xdr:row>6</xdr:row>
      <xdr:rowOff>238125</xdr:rowOff>
    </xdr:to>
    <xdr:sp macro="" textlink="">
      <xdr:nvSpPr>
        <xdr:cNvPr id="42105" name="rteShptp39c11c24size18color16777215routevc"/>
        <xdr:cNvSpPr/>
      </xdr:nvSpPr>
      <xdr:spPr>
        <a:xfrm>
          <a:off x="19516725" y="423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123825</xdr:colOff>
      <xdr:row>7</xdr:row>
      <xdr:rowOff>123825</xdr:rowOff>
    </xdr:from>
    <xdr:to>
      <xdr:col>39</xdr:col>
      <xdr:colOff>352425</xdr:colOff>
      <xdr:row>7</xdr:row>
      <xdr:rowOff>352425</xdr:rowOff>
    </xdr:to>
    <xdr:sp macro="" textlink="">
      <xdr:nvSpPr>
        <xdr:cNvPr id="42108" name="tp39c11c25size18color16777215route"/>
        <xdr:cNvSpPr/>
      </xdr:nvSpPr>
      <xdr:spPr>
        <a:xfrm>
          <a:off x="194024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123825</xdr:colOff>
      <xdr:row>8</xdr:row>
      <xdr:rowOff>123825</xdr:rowOff>
    </xdr:from>
    <xdr:to>
      <xdr:col>39</xdr:col>
      <xdr:colOff>352425</xdr:colOff>
      <xdr:row>8</xdr:row>
      <xdr:rowOff>352425</xdr:rowOff>
    </xdr:to>
    <xdr:sp macro="" textlink="">
      <xdr:nvSpPr>
        <xdr:cNvPr id="42109" name="tp39c11c26size18color16777215routeb"/>
        <xdr:cNvSpPr/>
      </xdr:nvSpPr>
      <xdr:spPr>
        <a:xfrm>
          <a:off x="194024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238125</xdr:colOff>
      <xdr:row>8</xdr:row>
      <xdr:rowOff>238125</xdr:rowOff>
    </xdr:from>
    <xdr:to>
      <xdr:col>39</xdr:col>
      <xdr:colOff>238125</xdr:colOff>
      <xdr:row>8</xdr:row>
      <xdr:rowOff>238125</xdr:rowOff>
    </xdr:to>
    <xdr:sp macro="" textlink="">
      <xdr:nvSpPr>
        <xdr:cNvPr id="42110" name="rteShptp39c11c26size18color16777215routeb"/>
        <xdr:cNvSpPr/>
      </xdr:nvSpPr>
      <xdr:spPr>
        <a:xfrm>
          <a:off x="19516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123825</xdr:colOff>
      <xdr:row>9</xdr:row>
      <xdr:rowOff>123825</xdr:rowOff>
    </xdr:from>
    <xdr:to>
      <xdr:col>39</xdr:col>
      <xdr:colOff>352425</xdr:colOff>
      <xdr:row>9</xdr:row>
      <xdr:rowOff>352425</xdr:rowOff>
    </xdr:to>
    <xdr:sp macro="" textlink="">
      <xdr:nvSpPr>
        <xdr:cNvPr id="42112" name="tp39c11c27size18color16777215route"/>
        <xdr:cNvSpPr/>
      </xdr:nvSpPr>
      <xdr:spPr>
        <a:xfrm>
          <a:off x="194024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123825</xdr:colOff>
      <xdr:row>10</xdr:row>
      <xdr:rowOff>123825</xdr:rowOff>
    </xdr:from>
    <xdr:to>
      <xdr:col>39</xdr:col>
      <xdr:colOff>352425</xdr:colOff>
      <xdr:row>10</xdr:row>
      <xdr:rowOff>352425</xdr:rowOff>
    </xdr:to>
    <xdr:sp macro="" textlink="">
      <xdr:nvSpPr>
        <xdr:cNvPr id="42113" name="tp39c11c28size18color16777215route"/>
        <xdr:cNvSpPr/>
      </xdr:nvSpPr>
      <xdr:spPr>
        <a:xfrm>
          <a:off x="194024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174625</xdr:colOff>
      <xdr:row>16</xdr:row>
      <xdr:rowOff>174625</xdr:rowOff>
    </xdr:from>
    <xdr:to>
      <xdr:col>39</xdr:col>
      <xdr:colOff>301625</xdr:colOff>
      <xdr:row>16</xdr:row>
      <xdr:rowOff>301625</xdr:rowOff>
    </xdr:to>
    <xdr:sp macro="" textlink="">
      <xdr:nvSpPr>
        <xdr:cNvPr id="42114" name="tp39c12c24size10color65280route"/>
        <xdr:cNvSpPr/>
      </xdr:nvSpPr>
      <xdr:spPr>
        <a:xfrm>
          <a:off x="19453225" y="893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73025</xdr:colOff>
      <xdr:row>18</xdr:row>
      <xdr:rowOff>73025</xdr:rowOff>
    </xdr:from>
    <xdr:to>
      <xdr:col>39</xdr:col>
      <xdr:colOff>403225</xdr:colOff>
      <xdr:row>18</xdr:row>
      <xdr:rowOff>403225</xdr:rowOff>
    </xdr:to>
    <xdr:sp macro="" textlink="">
      <xdr:nvSpPr>
        <xdr:cNvPr id="42115" name="tp39c12c26size26color65280routevcb"/>
        <xdr:cNvSpPr/>
      </xdr:nvSpPr>
      <xdr:spPr>
        <a:xfrm>
          <a:off x="1935162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238125</xdr:colOff>
      <xdr:row>18</xdr:row>
      <xdr:rowOff>238125</xdr:rowOff>
    </xdr:from>
    <xdr:to>
      <xdr:col>39</xdr:col>
      <xdr:colOff>238125</xdr:colOff>
      <xdr:row>18</xdr:row>
      <xdr:rowOff>238125</xdr:rowOff>
    </xdr:to>
    <xdr:sp macro="" textlink="">
      <xdr:nvSpPr>
        <xdr:cNvPr id="42116" name="rteShptp39c12c26size26color65280routevcb"/>
        <xdr:cNvSpPr/>
      </xdr:nvSpPr>
      <xdr:spPr>
        <a:xfrm>
          <a:off x="19516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123825</xdr:colOff>
      <xdr:row>23</xdr:row>
      <xdr:rowOff>123825</xdr:rowOff>
    </xdr:from>
    <xdr:to>
      <xdr:col>39</xdr:col>
      <xdr:colOff>352425</xdr:colOff>
      <xdr:row>23</xdr:row>
      <xdr:rowOff>352425</xdr:rowOff>
    </xdr:to>
    <xdr:sp macro="" textlink="">
      <xdr:nvSpPr>
        <xdr:cNvPr id="42120" name="tp39c13c21size18color16777215route"/>
        <xdr:cNvSpPr/>
      </xdr:nvSpPr>
      <xdr:spPr>
        <a:xfrm>
          <a:off x="1940242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123825</xdr:colOff>
      <xdr:row>28</xdr:row>
      <xdr:rowOff>123825</xdr:rowOff>
    </xdr:from>
    <xdr:to>
      <xdr:col>39</xdr:col>
      <xdr:colOff>352425</xdr:colOff>
      <xdr:row>28</xdr:row>
      <xdr:rowOff>352425</xdr:rowOff>
    </xdr:to>
    <xdr:sp macro="" textlink="">
      <xdr:nvSpPr>
        <xdr:cNvPr id="42121" name="tp39c13c26size18color16777215routevcb"/>
        <xdr:cNvSpPr/>
      </xdr:nvSpPr>
      <xdr:spPr>
        <a:xfrm>
          <a:off x="1940242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238125</xdr:colOff>
      <xdr:row>28</xdr:row>
      <xdr:rowOff>238125</xdr:rowOff>
    </xdr:from>
    <xdr:to>
      <xdr:col>39</xdr:col>
      <xdr:colOff>238125</xdr:colOff>
      <xdr:row>28</xdr:row>
      <xdr:rowOff>238125</xdr:rowOff>
    </xdr:to>
    <xdr:sp macro="" textlink="">
      <xdr:nvSpPr>
        <xdr:cNvPr id="42122" name="rteShptp39c13c26size18color16777215routevcb"/>
        <xdr:cNvSpPr/>
      </xdr:nvSpPr>
      <xdr:spPr>
        <a:xfrm>
          <a:off x="19516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73025</xdr:colOff>
      <xdr:row>4</xdr:row>
      <xdr:rowOff>73025</xdr:rowOff>
    </xdr:from>
    <xdr:to>
      <xdr:col>40</xdr:col>
      <xdr:colOff>403225</xdr:colOff>
      <xdr:row>4</xdr:row>
      <xdr:rowOff>403225</xdr:rowOff>
    </xdr:to>
    <xdr:sp macro="" textlink="">
      <xdr:nvSpPr>
        <xdr:cNvPr id="42126" name="tp40c11c22size26color255routevc"/>
        <xdr:cNvSpPr/>
      </xdr:nvSpPr>
      <xdr:spPr>
        <a:xfrm>
          <a:off x="1982787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238125</xdr:colOff>
      <xdr:row>4</xdr:row>
      <xdr:rowOff>238125</xdr:rowOff>
    </xdr:from>
    <xdr:to>
      <xdr:col>40</xdr:col>
      <xdr:colOff>238125</xdr:colOff>
      <xdr:row>4</xdr:row>
      <xdr:rowOff>238125</xdr:rowOff>
    </xdr:to>
    <xdr:sp macro="" textlink="">
      <xdr:nvSpPr>
        <xdr:cNvPr id="42127" name="rteShptp40c11c22size26color255routevc"/>
        <xdr:cNvSpPr/>
      </xdr:nvSpPr>
      <xdr:spPr>
        <a:xfrm>
          <a:off x="1999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174625</xdr:colOff>
      <xdr:row>8</xdr:row>
      <xdr:rowOff>174625</xdr:rowOff>
    </xdr:from>
    <xdr:to>
      <xdr:col>40</xdr:col>
      <xdr:colOff>301625</xdr:colOff>
      <xdr:row>8</xdr:row>
      <xdr:rowOff>301625</xdr:rowOff>
    </xdr:to>
    <xdr:sp macro="" textlink="">
      <xdr:nvSpPr>
        <xdr:cNvPr id="42130" name="tp40c11c26size10color255routeb"/>
        <xdr:cNvSpPr/>
      </xdr:nvSpPr>
      <xdr:spPr>
        <a:xfrm>
          <a:off x="19929475" y="512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238125</xdr:colOff>
      <xdr:row>8</xdr:row>
      <xdr:rowOff>238125</xdr:rowOff>
    </xdr:from>
    <xdr:to>
      <xdr:col>40</xdr:col>
      <xdr:colOff>238125</xdr:colOff>
      <xdr:row>8</xdr:row>
      <xdr:rowOff>238125</xdr:rowOff>
    </xdr:to>
    <xdr:sp macro="" textlink="">
      <xdr:nvSpPr>
        <xdr:cNvPr id="42131" name="rteShptp40c11c26size10color255routeb"/>
        <xdr:cNvSpPr/>
      </xdr:nvSpPr>
      <xdr:spPr>
        <a:xfrm>
          <a:off x="19992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123825</xdr:colOff>
      <xdr:row>13</xdr:row>
      <xdr:rowOff>123825</xdr:rowOff>
    </xdr:from>
    <xdr:to>
      <xdr:col>40</xdr:col>
      <xdr:colOff>352425</xdr:colOff>
      <xdr:row>13</xdr:row>
      <xdr:rowOff>352425</xdr:rowOff>
    </xdr:to>
    <xdr:sp macro="" textlink="">
      <xdr:nvSpPr>
        <xdr:cNvPr id="42133" name="tp40c12c21size18color16777215route"/>
        <xdr:cNvSpPr/>
      </xdr:nvSpPr>
      <xdr:spPr>
        <a:xfrm>
          <a:off x="1987867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123825</xdr:colOff>
      <xdr:row>14</xdr:row>
      <xdr:rowOff>123825</xdr:rowOff>
    </xdr:from>
    <xdr:to>
      <xdr:col>40</xdr:col>
      <xdr:colOff>352425</xdr:colOff>
      <xdr:row>14</xdr:row>
      <xdr:rowOff>352425</xdr:rowOff>
    </xdr:to>
    <xdr:sp macro="" textlink="">
      <xdr:nvSpPr>
        <xdr:cNvPr id="42134" name="tp40c12c22size18color16777215route"/>
        <xdr:cNvSpPr/>
      </xdr:nvSpPr>
      <xdr:spPr>
        <a:xfrm>
          <a:off x="198786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123825</xdr:colOff>
      <xdr:row>15</xdr:row>
      <xdr:rowOff>123825</xdr:rowOff>
    </xdr:from>
    <xdr:to>
      <xdr:col>40</xdr:col>
      <xdr:colOff>352425</xdr:colOff>
      <xdr:row>15</xdr:row>
      <xdr:rowOff>352425</xdr:rowOff>
    </xdr:to>
    <xdr:sp macro="" textlink="">
      <xdr:nvSpPr>
        <xdr:cNvPr id="42135" name="tp40c12c23size18color16777215route"/>
        <xdr:cNvSpPr/>
      </xdr:nvSpPr>
      <xdr:spPr>
        <a:xfrm>
          <a:off x="1987867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123825</xdr:colOff>
      <xdr:row>16</xdr:row>
      <xdr:rowOff>123825</xdr:rowOff>
    </xdr:from>
    <xdr:to>
      <xdr:col>40</xdr:col>
      <xdr:colOff>352425</xdr:colOff>
      <xdr:row>16</xdr:row>
      <xdr:rowOff>352425</xdr:rowOff>
    </xdr:to>
    <xdr:sp macro="" textlink="">
      <xdr:nvSpPr>
        <xdr:cNvPr id="42136" name="tp40c12c24size18color16777215route"/>
        <xdr:cNvSpPr/>
      </xdr:nvSpPr>
      <xdr:spPr>
        <a:xfrm>
          <a:off x="1987867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123825</xdr:colOff>
      <xdr:row>17</xdr:row>
      <xdr:rowOff>123825</xdr:rowOff>
    </xdr:from>
    <xdr:to>
      <xdr:col>40</xdr:col>
      <xdr:colOff>352425</xdr:colOff>
      <xdr:row>17</xdr:row>
      <xdr:rowOff>352425</xdr:rowOff>
    </xdr:to>
    <xdr:sp macro="" textlink="">
      <xdr:nvSpPr>
        <xdr:cNvPr id="42137" name="tp40c12c25size18color16777215route"/>
        <xdr:cNvSpPr/>
      </xdr:nvSpPr>
      <xdr:spPr>
        <a:xfrm>
          <a:off x="1987867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123825</xdr:colOff>
      <xdr:row>18</xdr:row>
      <xdr:rowOff>123825</xdr:rowOff>
    </xdr:from>
    <xdr:to>
      <xdr:col>40</xdr:col>
      <xdr:colOff>352425</xdr:colOff>
      <xdr:row>18</xdr:row>
      <xdr:rowOff>352425</xdr:rowOff>
    </xdr:to>
    <xdr:sp macro="" textlink="">
      <xdr:nvSpPr>
        <xdr:cNvPr id="42138" name="tp40c12c26size18color16777215routevcb"/>
        <xdr:cNvSpPr/>
      </xdr:nvSpPr>
      <xdr:spPr>
        <a:xfrm>
          <a:off x="1987867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238125</xdr:colOff>
      <xdr:row>18</xdr:row>
      <xdr:rowOff>238125</xdr:rowOff>
    </xdr:from>
    <xdr:to>
      <xdr:col>40</xdr:col>
      <xdr:colOff>238125</xdr:colOff>
      <xdr:row>18</xdr:row>
      <xdr:rowOff>238125</xdr:rowOff>
    </xdr:to>
    <xdr:sp macro="" textlink="">
      <xdr:nvSpPr>
        <xdr:cNvPr id="42139" name="rteShptp40c12c26size18color16777215routevcb"/>
        <xdr:cNvSpPr/>
      </xdr:nvSpPr>
      <xdr:spPr>
        <a:xfrm>
          <a:off x="19992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123825</xdr:colOff>
      <xdr:row>19</xdr:row>
      <xdr:rowOff>123825</xdr:rowOff>
    </xdr:from>
    <xdr:to>
      <xdr:col>40</xdr:col>
      <xdr:colOff>352425</xdr:colOff>
      <xdr:row>19</xdr:row>
      <xdr:rowOff>352425</xdr:rowOff>
    </xdr:to>
    <xdr:sp macro="" textlink="">
      <xdr:nvSpPr>
        <xdr:cNvPr id="42143" name="tp40c12c27size18color16777215route"/>
        <xdr:cNvSpPr/>
      </xdr:nvSpPr>
      <xdr:spPr>
        <a:xfrm>
          <a:off x="1987867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123825</xdr:colOff>
      <xdr:row>20</xdr:row>
      <xdr:rowOff>123825</xdr:rowOff>
    </xdr:from>
    <xdr:to>
      <xdr:col>40</xdr:col>
      <xdr:colOff>352425</xdr:colOff>
      <xdr:row>20</xdr:row>
      <xdr:rowOff>352425</xdr:rowOff>
    </xdr:to>
    <xdr:sp macro="" textlink="">
      <xdr:nvSpPr>
        <xdr:cNvPr id="42144" name="tp40c12c28size18color16777215route"/>
        <xdr:cNvSpPr/>
      </xdr:nvSpPr>
      <xdr:spPr>
        <a:xfrm>
          <a:off x="1987867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123825</xdr:colOff>
      <xdr:row>23</xdr:row>
      <xdr:rowOff>123825</xdr:rowOff>
    </xdr:from>
    <xdr:to>
      <xdr:col>40</xdr:col>
      <xdr:colOff>352425</xdr:colOff>
      <xdr:row>23</xdr:row>
      <xdr:rowOff>352425</xdr:rowOff>
    </xdr:to>
    <xdr:sp macro="" textlink="">
      <xdr:nvSpPr>
        <xdr:cNvPr id="42145" name="tp40c13c21size18color16777215route"/>
        <xdr:cNvSpPr/>
      </xdr:nvSpPr>
      <xdr:spPr>
        <a:xfrm>
          <a:off x="198786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123825</xdr:colOff>
      <xdr:row>28</xdr:row>
      <xdr:rowOff>123825</xdr:rowOff>
    </xdr:from>
    <xdr:to>
      <xdr:col>40</xdr:col>
      <xdr:colOff>352425</xdr:colOff>
      <xdr:row>28</xdr:row>
      <xdr:rowOff>352425</xdr:rowOff>
    </xdr:to>
    <xdr:sp macro="" textlink="">
      <xdr:nvSpPr>
        <xdr:cNvPr id="42146" name="tp40c13c26size18color16777215routevcb"/>
        <xdr:cNvSpPr/>
      </xdr:nvSpPr>
      <xdr:spPr>
        <a:xfrm>
          <a:off x="198786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238125</xdr:colOff>
      <xdr:row>28</xdr:row>
      <xdr:rowOff>238125</xdr:rowOff>
    </xdr:from>
    <xdr:to>
      <xdr:col>40</xdr:col>
      <xdr:colOff>238125</xdr:colOff>
      <xdr:row>28</xdr:row>
      <xdr:rowOff>238125</xdr:rowOff>
    </xdr:to>
    <xdr:sp macro="" textlink="">
      <xdr:nvSpPr>
        <xdr:cNvPr id="42147" name="rteShptp40c13c26size18color16777215routevcb"/>
        <xdr:cNvSpPr/>
      </xdr:nvSpPr>
      <xdr:spPr>
        <a:xfrm>
          <a:off x="19992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3</xdr:row>
      <xdr:rowOff>123825</xdr:rowOff>
    </xdr:from>
    <xdr:to>
      <xdr:col>41</xdr:col>
      <xdr:colOff>352425</xdr:colOff>
      <xdr:row>3</xdr:row>
      <xdr:rowOff>352425</xdr:rowOff>
    </xdr:to>
    <xdr:sp macro="" textlink="">
      <xdr:nvSpPr>
        <xdr:cNvPr id="42151" name="tp41c11c21size18color16777215route"/>
        <xdr:cNvSpPr/>
      </xdr:nvSpPr>
      <xdr:spPr>
        <a:xfrm>
          <a:off x="203549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4</xdr:row>
      <xdr:rowOff>123825</xdr:rowOff>
    </xdr:from>
    <xdr:to>
      <xdr:col>41</xdr:col>
      <xdr:colOff>352425</xdr:colOff>
      <xdr:row>4</xdr:row>
      <xdr:rowOff>352425</xdr:rowOff>
    </xdr:to>
    <xdr:sp macro="" textlink="">
      <xdr:nvSpPr>
        <xdr:cNvPr id="42152" name="tp41c11c22size18color16777215routevc"/>
        <xdr:cNvSpPr/>
      </xdr:nvSpPr>
      <xdr:spPr>
        <a:xfrm>
          <a:off x="203549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238125</xdr:colOff>
      <xdr:row>4</xdr:row>
      <xdr:rowOff>238125</xdr:rowOff>
    </xdr:from>
    <xdr:to>
      <xdr:col>41</xdr:col>
      <xdr:colOff>238125</xdr:colOff>
      <xdr:row>4</xdr:row>
      <xdr:rowOff>238125</xdr:rowOff>
    </xdr:to>
    <xdr:sp macro="" textlink="">
      <xdr:nvSpPr>
        <xdr:cNvPr id="42153" name="rteShptp41c11c22size18color16777215routevc"/>
        <xdr:cNvSpPr/>
      </xdr:nvSpPr>
      <xdr:spPr>
        <a:xfrm>
          <a:off x="20469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5</xdr:row>
      <xdr:rowOff>123825</xdr:rowOff>
    </xdr:from>
    <xdr:to>
      <xdr:col>41</xdr:col>
      <xdr:colOff>352425</xdr:colOff>
      <xdr:row>5</xdr:row>
      <xdr:rowOff>352425</xdr:rowOff>
    </xdr:to>
    <xdr:sp macro="" textlink="">
      <xdr:nvSpPr>
        <xdr:cNvPr id="42156" name="tp41c11c23size18color16777215route"/>
        <xdr:cNvSpPr/>
      </xdr:nvSpPr>
      <xdr:spPr>
        <a:xfrm>
          <a:off x="203549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6</xdr:row>
      <xdr:rowOff>123825</xdr:rowOff>
    </xdr:from>
    <xdr:to>
      <xdr:col>41</xdr:col>
      <xdr:colOff>352425</xdr:colOff>
      <xdr:row>6</xdr:row>
      <xdr:rowOff>352425</xdr:rowOff>
    </xdr:to>
    <xdr:sp macro="" textlink="">
      <xdr:nvSpPr>
        <xdr:cNvPr id="42157" name="tp41c11c24size18color16777215route"/>
        <xdr:cNvSpPr/>
      </xdr:nvSpPr>
      <xdr:spPr>
        <a:xfrm>
          <a:off x="203549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7</xdr:row>
      <xdr:rowOff>123825</xdr:rowOff>
    </xdr:from>
    <xdr:to>
      <xdr:col>41</xdr:col>
      <xdr:colOff>352425</xdr:colOff>
      <xdr:row>7</xdr:row>
      <xdr:rowOff>352425</xdr:rowOff>
    </xdr:to>
    <xdr:sp macro="" textlink="">
      <xdr:nvSpPr>
        <xdr:cNvPr id="42158" name="tp41c11c25size18color16777215route"/>
        <xdr:cNvSpPr/>
      </xdr:nvSpPr>
      <xdr:spPr>
        <a:xfrm>
          <a:off x="203549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8</xdr:row>
      <xdr:rowOff>123825</xdr:rowOff>
    </xdr:from>
    <xdr:to>
      <xdr:col>41</xdr:col>
      <xdr:colOff>352425</xdr:colOff>
      <xdr:row>8</xdr:row>
      <xdr:rowOff>352425</xdr:rowOff>
    </xdr:to>
    <xdr:sp macro="" textlink="">
      <xdr:nvSpPr>
        <xdr:cNvPr id="42159" name="tp41c11c26size18color16777215routeb"/>
        <xdr:cNvSpPr/>
      </xdr:nvSpPr>
      <xdr:spPr>
        <a:xfrm>
          <a:off x="203549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238125</xdr:colOff>
      <xdr:row>8</xdr:row>
      <xdr:rowOff>238125</xdr:rowOff>
    </xdr:from>
    <xdr:to>
      <xdr:col>41</xdr:col>
      <xdr:colOff>238125</xdr:colOff>
      <xdr:row>8</xdr:row>
      <xdr:rowOff>238125</xdr:rowOff>
    </xdr:to>
    <xdr:sp macro="" textlink="">
      <xdr:nvSpPr>
        <xdr:cNvPr id="42160" name="rteShptp41c11c26size18color16777215routeb"/>
        <xdr:cNvSpPr/>
      </xdr:nvSpPr>
      <xdr:spPr>
        <a:xfrm>
          <a:off x="20469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9</xdr:row>
      <xdr:rowOff>123825</xdr:rowOff>
    </xdr:from>
    <xdr:to>
      <xdr:col>41</xdr:col>
      <xdr:colOff>352425</xdr:colOff>
      <xdr:row>9</xdr:row>
      <xdr:rowOff>352425</xdr:rowOff>
    </xdr:to>
    <xdr:sp macro="" textlink="">
      <xdr:nvSpPr>
        <xdr:cNvPr id="42162" name="tp41c11c27size18color16777215route"/>
        <xdr:cNvSpPr/>
      </xdr:nvSpPr>
      <xdr:spPr>
        <a:xfrm>
          <a:off x="203549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10</xdr:row>
      <xdr:rowOff>123825</xdr:rowOff>
    </xdr:from>
    <xdr:to>
      <xdr:col>41</xdr:col>
      <xdr:colOff>352425</xdr:colOff>
      <xdr:row>10</xdr:row>
      <xdr:rowOff>352425</xdr:rowOff>
    </xdr:to>
    <xdr:sp macro="" textlink="">
      <xdr:nvSpPr>
        <xdr:cNvPr id="42163" name="tp41c11c28size18color16777215route"/>
        <xdr:cNvSpPr/>
      </xdr:nvSpPr>
      <xdr:spPr>
        <a:xfrm>
          <a:off x="203549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13</xdr:row>
      <xdr:rowOff>123825</xdr:rowOff>
    </xdr:from>
    <xdr:to>
      <xdr:col>41</xdr:col>
      <xdr:colOff>352425</xdr:colOff>
      <xdr:row>13</xdr:row>
      <xdr:rowOff>352425</xdr:rowOff>
    </xdr:to>
    <xdr:sp macro="" textlink="">
      <xdr:nvSpPr>
        <xdr:cNvPr id="42164" name="tp41c12c21size18color16777215route"/>
        <xdr:cNvSpPr/>
      </xdr:nvSpPr>
      <xdr:spPr>
        <a:xfrm>
          <a:off x="2035492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14</xdr:row>
      <xdr:rowOff>123825</xdr:rowOff>
    </xdr:from>
    <xdr:to>
      <xdr:col>41</xdr:col>
      <xdr:colOff>352425</xdr:colOff>
      <xdr:row>14</xdr:row>
      <xdr:rowOff>352425</xdr:rowOff>
    </xdr:to>
    <xdr:sp macro="" textlink="">
      <xdr:nvSpPr>
        <xdr:cNvPr id="42165" name="tp41c12c22size18color16777215route"/>
        <xdr:cNvSpPr/>
      </xdr:nvSpPr>
      <xdr:spPr>
        <a:xfrm>
          <a:off x="2035492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15</xdr:row>
      <xdr:rowOff>123825</xdr:rowOff>
    </xdr:from>
    <xdr:to>
      <xdr:col>41</xdr:col>
      <xdr:colOff>352425</xdr:colOff>
      <xdr:row>15</xdr:row>
      <xdr:rowOff>352425</xdr:rowOff>
    </xdr:to>
    <xdr:sp macro="" textlink="">
      <xdr:nvSpPr>
        <xdr:cNvPr id="42166" name="tp41c12c23size18color16777215route"/>
        <xdr:cNvSpPr/>
      </xdr:nvSpPr>
      <xdr:spPr>
        <a:xfrm>
          <a:off x="2035492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16</xdr:row>
      <xdr:rowOff>123825</xdr:rowOff>
    </xdr:from>
    <xdr:to>
      <xdr:col>41</xdr:col>
      <xdr:colOff>352425</xdr:colOff>
      <xdr:row>16</xdr:row>
      <xdr:rowOff>352425</xdr:rowOff>
    </xdr:to>
    <xdr:sp macro="" textlink="">
      <xdr:nvSpPr>
        <xdr:cNvPr id="42167" name="tp41c12c24size18color16777215route"/>
        <xdr:cNvSpPr/>
      </xdr:nvSpPr>
      <xdr:spPr>
        <a:xfrm>
          <a:off x="2035492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17</xdr:row>
      <xdr:rowOff>123825</xdr:rowOff>
    </xdr:from>
    <xdr:to>
      <xdr:col>41</xdr:col>
      <xdr:colOff>352425</xdr:colOff>
      <xdr:row>17</xdr:row>
      <xdr:rowOff>352425</xdr:rowOff>
    </xdr:to>
    <xdr:sp macro="" textlink="">
      <xdr:nvSpPr>
        <xdr:cNvPr id="42168" name="tp41c12c25size18color16777215route"/>
        <xdr:cNvSpPr/>
      </xdr:nvSpPr>
      <xdr:spPr>
        <a:xfrm>
          <a:off x="2035492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18</xdr:row>
      <xdr:rowOff>123825</xdr:rowOff>
    </xdr:from>
    <xdr:to>
      <xdr:col>41</xdr:col>
      <xdr:colOff>352425</xdr:colOff>
      <xdr:row>18</xdr:row>
      <xdr:rowOff>352425</xdr:rowOff>
    </xdr:to>
    <xdr:sp macro="" textlink="">
      <xdr:nvSpPr>
        <xdr:cNvPr id="42169" name="tp41c12c26size18color16777215routevcb">
          <a:hlinkClick xmlns:r="http://schemas.openxmlformats.org/officeDocument/2006/relationships" r:id="" tooltip="Chris Shaw:&#10;set at application, cannot opt out"/>
        </xdr:cNvPr>
        <xdr:cNvSpPr/>
      </xdr:nvSpPr>
      <xdr:spPr>
        <a:xfrm>
          <a:off x="20354925" y="9839325"/>
          <a:ext cx="228600" cy="228600"/>
        </a:xfrm>
        <a:prstGeom prst="ellipse">
          <a:avLst/>
        </a:prstGeom>
        <a:solidFill>
          <a:srgbClr val="FFFFFF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238125</xdr:colOff>
      <xdr:row>18</xdr:row>
      <xdr:rowOff>238125</xdr:rowOff>
    </xdr:from>
    <xdr:to>
      <xdr:col>41</xdr:col>
      <xdr:colOff>238125</xdr:colOff>
      <xdr:row>18</xdr:row>
      <xdr:rowOff>238125</xdr:rowOff>
    </xdr:to>
    <xdr:sp macro="" textlink="">
      <xdr:nvSpPr>
        <xdr:cNvPr id="42170" name="rteShptp41c12c26size18color16777215routevcb"/>
        <xdr:cNvSpPr/>
      </xdr:nvSpPr>
      <xdr:spPr>
        <a:xfrm>
          <a:off x="20469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19</xdr:row>
      <xdr:rowOff>123825</xdr:rowOff>
    </xdr:from>
    <xdr:to>
      <xdr:col>41</xdr:col>
      <xdr:colOff>352425</xdr:colOff>
      <xdr:row>19</xdr:row>
      <xdr:rowOff>352425</xdr:rowOff>
    </xdr:to>
    <xdr:sp macro="" textlink="">
      <xdr:nvSpPr>
        <xdr:cNvPr id="42174" name="tp41c12c27size18color16777215route"/>
        <xdr:cNvSpPr/>
      </xdr:nvSpPr>
      <xdr:spPr>
        <a:xfrm>
          <a:off x="2035492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123825</xdr:colOff>
      <xdr:row>20</xdr:row>
      <xdr:rowOff>123825</xdr:rowOff>
    </xdr:from>
    <xdr:to>
      <xdr:col>41</xdr:col>
      <xdr:colOff>352425</xdr:colOff>
      <xdr:row>20</xdr:row>
      <xdr:rowOff>352425</xdr:rowOff>
    </xdr:to>
    <xdr:sp macro="" textlink="">
      <xdr:nvSpPr>
        <xdr:cNvPr id="42175" name="tp41c12c28size18color16777215route"/>
        <xdr:cNvSpPr/>
      </xdr:nvSpPr>
      <xdr:spPr>
        <a:xfrm>
          <a:off x="2035492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73025</xdr:colOff>
      <xdr:row>28</xdr:row>
      <xdr:rowOff>73025</xdr:rowOff>
    </xdr:from>
    <xdr:to>
      <xdr:col>41</xdr:col>
      <xdr:colOff>403225</xdr:colOff>
      <xdr:row>28</xdr:row>
      <xdr:rowOff>403225</xdr:rowOff>
    </xdr:to>
    <xdr:sp macro="" textlink="">
      <xdr:nvSpPr>
        <xdr:cNvPr id="42176" name="tp41c13c26size26color65280routevcb"/>
        <xdr:cNvSpPr/>
      </xdr:nvSpPr>
      <xdr:spPr>
        <a:xfrm>
          <a:off x="2030412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238125</xdr:colOff>
      <xdr:row>28</xdr:row>
      <xdr:rowOff>238125</xdr:rowOff>
    </xdr:from>
    <xdr:to>
      <xdr:col>41</xdr:col>
      <xdr:colOff>238125</xdr:colOff>
      <xdr:row>28</xdr:row>
      <xdr:rowOff>238125</xdr:rowOff>
    </xdr:to>
    <xdr:sp macro="" textlink="">
      <xdr:nvSpPr>
        <xdr:cNvPr id="42177" name="rteShptp41c13c26size26color65280routevcb"/>
        <xdr:cNvSpPr/>
      </xdr:nvSpPr>
      <xdr:spPr>
        <a:xfrm>
          <a:off x="20469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73025</xdr:colOff>
      <xdr:row>3</xdr:row>
      <xdr:rowOff>73025</xdr:rowOff>
    </xdr:from>
    <xdr:to>
      <xdr:col>42</xdr:col>
      <xdr:colOff>403225</xdr:colOff>
      <xdr:row>3</xdr:row>
      <xdr:rowOff>403225</xdr:rowOff>
    </xdr:to>
    <xdr:sp macro="" textlink="">
      <xdr:nvSpPr>
        <xdr:cNvPr id="42181" name="tp42c11c21size26color65280routevc"/>
        <xdr:cNvSpPr/>
      </xdr:nvSpPr>
      <xdr:spPr>
        <a:xfrm>
          <a:off x="20780375" y="26447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238125</xdr:colOff>
      <xdr:row>3</xdr:row>
      <xdr:rowOff>238125</xdr:rowOff>
    </xdr:from>
    <xdr:to>
      <xdr:col>42</xdr:col>
      <xdr:colOff>238125</xdr:colOff>
      <xdr:row>3</xdr:row>
      <xdr:rowOff>238125</xdr:rowOff>
    </xdr:to>
    <xdr:sp macro="" textlink="">
      <xdr:nvSpPr>
        <xdr:cNvPr id="42182" name="rteShptp42c11c21size26color65280routevc"/>
        <xdr:cNvSpPr/>
      </xdr:nvSpPr>
      <xdr:spPr>
        <a:xfrm>
          <a:off x="209454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174625</xdr:colOff>
      <xdr:row>8</xdr:row>
      <xdr:rowOff>174625</xdr:rowOff>
    </xdr:from>
    <xdr:to>
      <xdr:col>42</xdr:col>
      <xdr:colOff>301625</xdr:colOff>
      <xdr:row>8</xdr:row>
      <xdr:rowOff>301625</xdr:rowOff>
    </xdr:to>
    <xdr:sp macro="" textlink="">
      <xdr:nvSpPr>
        <xdr:cNvPr id="42185" name="tp42c11c26size10color65280routeb"/>
        <xdr:cNvSpPr/>
      </xdr:nvSpPr>
      <xdr:spPr>
        <a:xfrm>
          <a:off x="20881975" y="512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238125</xdr:colOff>
      <xdr:row>8</xdr:row>
      <xdr:rowOff>238125</xdr:rowOff>
    </xdr:from>
    <xdr:to>
      <xdr:col>42</xdr:col>
      <xdr:colOff>238125</xdr:colOff>
      <xdr:row>8</xdr:row>
      <xdr:rowOff>238125</xdr:rowOff>
    </xdr:to>
    <xdr:sp macro="" textlink="">
      <xdr:nvSpPr>
        <xdr:cNvPr id="42186" name="rteShptp42c11c26size10color65280routeb"/>
        <xdr:cNvSpPr/>
      </xdr:nvSpPr>
      <xdr:spPr>
        <a:xfrm>
          <a:off x="20945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174625</xdr:colOff>
      <xdr:row>13</xdr:row>
      <xdr:rowOff>174625</xdr:rowOff>
    </xdr:from>
    <xdr:to>
      <xdr:col>42</xdr:col>
      <xdr:colOff>301625</xdr:colOff>
      <xdr:row>13</xdr:row>
      <xdr:rowOff>301625</xdr:rowOff>
    </xdr:to>
    <xdr:sp macro="" textlink="">
      <xdr:nvSpPr>
        <xdr:cNvPr id="42188" name="tp42c12c21size10color65280route"/>
        <xdr:cNvSpPr/>
      </xdr:nvSpPr>
      <xdr:spPr>
        <a:xfrm>
          <a:off x="20881975" y="75088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73025</xdr:colOff>
      <xdr:row>18</xdr:row>
      <xdr:rowOff>73025</xdr:rowOff>
    </xdr:from>
    <xdr:to>
      <xdr:col>42</xdr:col>
      <xdr:colOff>403225</xdr:colOff>
      <xdr:row>18</xdr:row>
      <xdr:rowOff>403225</xdr:rowOff>
    </xdr:to>
    <xdr:sp macro="" textlink="">
      <xdr:nvSpPr>
        <xdr:cNvPr id="42189" name="tp42c12c26size26color65280routevcb"/>
        <xdr:cNvSpPr/>
      </xdr:nvSpPr>
      <xdr:spPr>
        <a:xfrm>
          <a:off x="2078037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238125</xdr:colOff>
      <xdr:row>18</xdr:row>
      <xdr:rowOff>238125</xdr:rowOff>
    </xdr:from>
    <xdr:to>
      <xdr:col>42</xdr:col>
      <xdr:colOff>238125</xdr:colOff>
      <xdr:row>18</xdr:row>
      <xdr:rowOff>238125</xdr:rowOff>
    </xdr:to>
    <xdr:sp macro="" textlink="">
      <xdr:nvSpPr>
        <xdr:cNvPr id="42190" name="rteShptp42c12c26size26color65280routevcb"/>
        <xdr:cNvSpPr/>
      </xdr:nvSpPr>
      <xdr:spPr>
        <a:xfrm>
          <a:off x="20945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123825</xdr:colOff>
      <xdr:row>23</xdr:row>
      <xdr:rowOff>123825</xdr:rowOff>
    </xdr:from>
    <xdr:to>
      <xdr:col>42</xdr:col>
      <xdr:colOff>352425</xdr:colOff>
      <xdr:row>23</xdr:row>
      <xdr:rowOff>352425</xdr:rowOff>
    </xdr:to>
    <xdr:sp macro="" textlink="">
      <xdr:nvSpPr>
        <xdr:cNvPr id="42194" name="tp42c13c21size18color65280route"/>
        <xdr:cNvSpPr/>
      </xdr:nvSpPr>
      <xdr:spPr>
        <a:xfrm>
          <a:off x="20831175" y="12220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123825</xdr:colOff>
      <xdr:row>28</xdr:row>
      <xdr:rowOff>123825</xdr:rowOff>
    </xdr:from>
    <xdr:to>
      <xdr:col>42</xdr:col>
      <xdr:colOff>352425</xdr:colOff>
      <xdr:row>28</xdr:row>
      <xdr:rowOff>352425</xdr:rowOff>
    </xdr:to>
    <xdr:sp macro="" textlink="">
      <xdr:nvSpPr>
        <xdr:cNvPr id="42195" name="tp42c13c26size18color65280routevcb"/>
        <xdr:cNvSpPr/>
      </xdr:nvSpPr>
      <xdr:spPr>
        <a:xfrm>
          <a:off x="20831175" y="14601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238125</xdr:colOff>
      <xdr:row>28</xdr:row>
      <xdr:rowOff>238125</xdr:rowOff>
    </xdr:from>
    <xdr:to>
      <xdr:col>42</xdr:col>
      <xdr:colOff>238125</xdr:colOff>
      <xdr:row>28</xdr:row>
      <xdr:rowOff>238125</xdr:rowOff>
    </xdr:to>
    <xdr:sp macro="" textlink="">
      <xdr:nvSpPr>
        <xdr:cNvPr id="42196" name="rteShptp42c13c26size18color65280routevcb"/>
        <xdr:cNvSpPr/>
      </xdr:nvSpPr>
      <xdr:spPr>
        <a:xfrm>
          <a:off x="20945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3</xdr:row>
      <xdr:rowOff>123825</xdr:rowOff>
    </xdr:from>
    <xdr:to>
      <xdr:col>43</xdr:col>
      <xdr:colOff>352425</xdr:colOff>
      <xdr:row>3</xdr:row>
      <xdr:rowOff>352425</xdr:rowOff>
    </xdr:to>
    <xdr:sp macro="" textlink="">
      <xdr:nvSpPr>
        <xdr:cNvPr id="42200" name="tp43c11c21size18color16777215routevc"/>
        <xdr:cNvSpPr/>
      </xdr:nvSpPr>
      <xdr:spPr>
        <a:xfrm>
          <a:off x="213074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238125</xdr:colOff>
      <xdr:row>3</xdr:row>
      <xdr:rowOff>238125</xdr:rowOff>
    </xdr:from>
    <xdr:to>
      <xdr:col>43</xdr:col>
      <xdr:colOff>238125</xdr:colOff>
      <xdr:row>3</xdr:row>
      <xdr:rowOff>238125</xdr:rowOff>
    </xdr:to>
    <xdr:sp macro="" textlink="">
      <xdr:nvSpPr>
        <xdr:cNvPr id="42201" name="rteShptp43c11c21size18color16777215routevc"/>
        <xdr:cNvSpPr/>
      </xdr:nvSpPr>
      <xdr:spPr>
        <a:xfrm>
          <a:off x="214217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4</xdr:row>
      <xdr:rowOff>123825</xdr:rowOff>
    </xdr:from>
    <xdr:to>
      <xdr:col>43</xdr:col>
      <xdr:colOff>352425</xdr:colOff>
      <xdr:row>4</xdr:row>
      <xdr:rowOff>352425</xdr:rowOff>
    </xdr:to>
    <xdr:sp macro="" textlink="">
      <xdr:nvSpPr>
        <xdr:cNvPr id="42204" name="tp43c11c22size18color16777215route"/>
        <xdr:cNvSpPr/>
      </xdr:nvSpPr>
      <xdr:spPr>
        <a:xfrm>
          <a:off x="213074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5</xdr:row>
      <xdr:rowOff>123825</xdr:rowOff>
    </xdr:from>
    <xdr:to>
      <xdr:col>43</xdr:col>
      <xdr:colOff>352425</xdr:colOff>
      <xdr:row>5</xdr:row>
      <xdr:rowOff>352425</xdr:rowOff>
    </xdr:to>
    <xdr:sp macro="" textlink="">
      <xdr:nvSpPr>
        <xdr:cNvPr id="42205" name="tp43c11c23size18color16777215route"/>
        <xdr:cNvSpPr/>
      </xdr:nvSpPr>
      <xdr:spPr>
        <a:xfrm>
          <a:off x="213074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6</xdr:row>
      <xdr:rowOff>123825</xdr:rowOff>
    </xdr:from>
    <xdr:to>
      <xdr:col>43</xdr:col>
      <xdr:colOff>352425</xdr:colOff>
      <xdr:row>6</xdr:row>
      <xdr:rowOff>352425</xdr:rowOff>
    </xdr:to>
    <xdr:sp macro="" textlink="">
      <xdr:nvSpPr>
        <xdr:cNvPr id="42206" name="tp43c11c24size18color16777215route"/>
        <xdr:cNvSpPr/>
      </xdr:nvSpPr>
      <xdr:spPr>
        <a:xfrm>
          <a:off x="213074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7</xdr:row>
      <xdr:rowOff>123825</xdr:rowOff>
    </xdr:from>
    <xdr:to>
      <xdr:col>43</xdr:col>
      <xdr:colOff>352425</xdr:colOff>
      <xdr:row>7</xdr:row>
      <xdr:rowOff>352425</xdr:rowOff>
    </xdr:to>
    <xdr:sp macro="" textlink="">
      <xdr:nvSpPr>
        <xdr:cNvPr id="42207" name="tp43c11c25size18color16777215route"/>
        <xdr:cNvSpPr/>
      </xdr:nvSpPr>
      <xdr:spPr>
        <a:xfrm>
          <a:off x="213074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8</xdr:row>
      <xdr:rowOff>123825</xdr:rowOff>
    </xdr:from>
    <xdr:to>
      <xdr:col>43</xdr:col>
      <xdr:colOff>352425</xdr:colOff>
      <xdr:row>8</xdr:row>
      <xdr:rowOff>352425</xdr:rowOff>
    </xdr:to>
    <xdr:sp macro="" textlink="">
      <xdr:nvSpPr>
        <xdr:cNvPr id="42208" name="tp43c11c26size18color16777215routeb">
          <a:hlinkClick xmlns:r="http://schemas.openxmlformats.org/officeDocument/2006/relationships" r:id="" tooltip="See # 27. will be replaced by OOB"/>
        </xdr:cNvPr>
        <xdr:cNvSpPr/>
      </xdr:nvSpPr>
      <xdr:spPr>
        <a:xfrm>
          <a:off x="21307425" y="5076825"/>
          <a:ext cx="228600" cy="228600"/>
        </a:xfrm>
        <a:prstGeom prst="ellipse">
          <a:avLst/>
        </a:prstGeom>
        <a:solidFill>
          <a:srgbClr val="FFFFFF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238125</xdr:colOff>
      <xdr:row>8</xdr:row>
      <xdr:rowOff>238125</xdr:rowOff>
    </xdr:from>
    <xdr:to>
      <xdr:col>43</xdr:col>
      <xdr:colOff>238125</xdr:colOff>
      <xdr:row>8</xdr:row>
      <xdr:rowOff>238125</xdr:rowOff>
    </xdr:to>
    <xdr:sp macro="" textlink="">
      <xdr:nvSpPr>
        <xdr:cNvPr id="42209" name="rteShptp43c11c26size18color16777215routeb"/>
        <xdr:cNvSpPr/>
      </xdr:nvSpPr>
      <xdr:spPr>
        <a:xfrm>
          <a:off x="21421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9</xdr:row>
      <xdr:rowOff>123825</xdr:rowOff>
    </xdr:from>
    <xdr:to>
      <xdr:col>43</xdr:col>
      <xdr:colOff>352425</xdr:colOff>
      <xdr:row>9</xdr:row>
      <xdr:rowOff>352425</xdr:rowOff>
    </xdr:to>
    <xdr:sp macro="" textlink="">
      <xdr:nvSpPr>
        <xdr:cNvPr id="42211" name="tp43c11c27size18color16777215route"/>
        <xdr:cNvSpPr/>
      </xdr:nvSpPr>
      <xdr:spPr>
        <a:xfrm>
          <a:off x="213074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10</xdr:row>
      <xdr:rowOff>123825</xdr:rowOff>
    </xdr:from>
    <xdr:to>
      <xdr:col>43</xdr:col>
      <xdr:colOff>352425</xdr:colOff>
      <xdr:row>10</xdr:row>
      <xdr:rowOff>352425</xdr:rowOff>
    </xdr:to>
    <xdr:sp macro="" textlink="">
      <xdr:nvSpPr>
        <xdr:cNvPr id="42212" name="tp43c11c28size18color16777215route"/>
        <xdr:cNvSpPr/>
      </xdr:nvSpPr>
      <xdr:spPr>
        <a:xfrm>
          <a:off x="213074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13</xdr:row>
      <xdr:rowOff>123825</xdr:rowOff>
    </xdr:from>
    <xdr:to>
      <xdr:col>43</xdr:col>
      <xdr:colOff>352425</xdr:colOff>
      <xdr:row>13</xdr:row>
      <xdr:rowOff>352425</xdr:rowOff>
    </xdr:to>
    <xdr:sp macro="" textlink="">
      <xdr:nvSpPr>
        <xdr:cNvPr id="42213" name="tp43c12c21size18color16777215route"/>
        <xdr:cNvSpPr/>
      </xdr:nvSpPr>
      <xdr:spPr>
        <a:xfrm>
          <a:off x="2130742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14</xdr:row>
      <xdr:rowOff>123825</xdr:rowOff>
    </xdr:from>
    <xdr:to>
      <xdr:col>43</xdr:col>
      <xdr:colOff>352425</xdr:colOff>
      <xdr:row>14</xdr:row>
      <xdr:rowOff>352425</xdr:rowOff>
    </xdr:to>
    <xdr:sp macro="" textlink="">
      <xdr:nvSpPr>
        <xdr:cNvPr id="42214" name="tp43c12c22size18color16777215route"/>
        <xdr:cNvSpPr/>
      </xdr:nvSpPr>
      <xdr:spPr>
        <a:xfrm>
          <a:off x="2130742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15</xdr:row>
      <xdr:rowOff>123825</xdr:rowOff>
    </xdr:from>
    <xdr:to>
      <xdr:col>43</xdr:col>
      <xdr:colOff>352425</xdr:colOff>
      <xdr:row>15</xdr:row>
      <xdr:rowOff>352425</xdr:rowOff>
    </xdr:to>
    <xdr:sp macro="" textlink="">
      <xdr:nvSpPr>
        <xdr:cNvPr id="42215" name="tp43c12c23size18color16777215route"/>
        <xdr:cNvSpPr/>
      </xdr:nvSpPr>
      <xdr:spPr>
        <a:xfrm>
          <a:off x="2130742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16</xdr:row>
      <xdr:rowOff>123825</xdr:rowOff>
    </xdr:from>
    <xdr:to>
      <xdr:col>43</xdr:col>
      <xdr:colOff>352425</xdr:colOff>
      <xdr:row>16</xdr:row>
      <xdr:rowOff>352425</xdr:rowOff>
    </xdr:to>
    <xdr:sp macro="" textlink="">
      <xdr:nvSpPr>
        <xdr:cNvPr id="42216" name="tp43c12c24size18color16777215route"/>
        <xdr:cNvSpPr/>
      </xdr:nvSpPr>
      <xdr:spPr>
        <a:xfrm>
          <a:off x="2130742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17</xdr:row>
      <xdr:rowOff>123825</xdr:rowOff>
    </xdr:from>
    <xdr:to>
      <xdr:col>43</xdr:col>
      <xdr:colOff>352425</xdr:colOff>
      <xdr:row>17</xdr:row>
      <xdr:rowOff>352425</xdr:rowOff>
    </xdr:to>
    <xdr:sp macro="" textlink="">
      <xdr:nvSpPr>
        <xdr:cNvPr id="42217" name="tp43c12c25size18color16777215route"/>
        <xdr:cNvSpPr/>
      </xdr:nvSpPr>
      <xdr:spPr>
        <a:xfrm>
          <a:off x="2130742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18</xdr:row>
      <xdr:rowOff>123825</xdr:rowOff>
    </xdr:from>
    <xdr:to>
      <xdr:col>43</xdr:col>
      <xdr:colOff>352425</xdr:colOff>
      <xdr:row>18</xdr:row>
      <xdr:rowOff>352425</xdr:rowOff>
    </xdr:to>
    <xdr:sp macro="" textlink="">
      <xdr:nvSpPr>
        <xdr:cNvPr id="42218" name="tp43c12c26size18color16777215routevcb"/>
        <xdr:cNvSpPr/>
      </xdr:nvSpPr>
      <xdr:spPr>
        <a:xfrm>
          <a:off x="2130742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238125</xdr:colOff>
      <xdr:row>18</xdr:row>
      <xdr:rowOff>238125</xdr:rowOff>
    </xdr:from>
    <xdr:to>
      <xdr:col>43</xdr:col>
      <xdr:colOff>238125</xdr:colOff>
      <xdr:row>18</xdr:row>
      <xdr:rowOff>238125</xdr:rowOff>
    </xdr:to>
    <xdr:sp macro="" textlink="">
      <xdr:nvSpPr>
        <xdr:cNvPr id="42219" name="rteShptp43c12c26size18color16777215routevcb"/>
        <xdr:cNvSpPr/>
      </xdr:nvSpPr>
      <xdr:spPr>
        <a:xfrm>
          <a:off x="2142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19</xdr:row>
      <xdr:rowOff>123825</xdr:rowOff>
    </xdr:from>
    <xdr:to>
      <xdr:col>43</xdr:col>
      <xdr:colOff>352425</xdr:colOff>
      <xdr:row>19</xdr:row>
      <xdr:rowOff>352425</xdr:rowOff>
    </xdr:to>
    <xdr:sp macro="" textlink="">
      <xdr:nvSpPr>
        <xdr:cNvPr id="42223" name="tp43c12c27size18color16777215route"/>
        <xdr:cNvSpPr/>
      </xdr:nvSpPr>
      <xdr:spPr>
        <a:xfrm>
          <a:off x="2130742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123825</xdr:colOff>
      <xdr:row>20</xdr:row>
      <xdr:rowOff>123825</xdr:rowOff>
    </xdr:from>
    <xdr:to>
      <xdr:col>43</xdr:col>
      <xdr:colOff>352425</xdr:colOff>
      <xdr:row>20</xdr:row>
      <xdr:rowOff>352425</xdr:rowOff>
    </xdr:to>
    <xdr:sp macro="" textlink="">
      <xdr:nvSpPr>
        <xdr:cNvPr id="42224" name="tp43c12c28size18color16777215route"/>
        <xdr:cNvSpPr/>
      </xdr:nvSpPr>
      <xdr:spPr>
        <a:xfrm>
          <a:off x="2130742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73025</xdr:colOff>
      <xdr:row>23</xdr:row>
      <xdr:rowOff>73025</xdr:rowOff>
    </xdr:from>
    <xdr:to>
      <xdr:col>43</xdr:col>
      <xdr:colOff>403225</xdr:colOff>
      <xdr:row>23</xdr:row>
      <xdr:rowOff>403225</xdr:rowOff>
    </xdr:to>
    <xdr:sp macro="" textlink="">
      <xdr:nvSpPr>
        <xdr:cNvPr id="42225" name="tp43c13c21size26color65280routevcb">
          <a:hlinkClick xmlns:r="http://schemas.openxmlformats.org/officeDocument/2006/relationships" r:id="" tooltip="Chris Shaw:&#10;going away OOB project&#10;&#10;see 27"/>
        </xdr:cNvPr>
        <xdr:cNvSpPr/>
      </xdr:nvSpPr>
      <xdr:spPr>
        <a:xfrm>
          <a:off x="21256625" y="12169775"/>
          <a:ext cx="330200" cy="3302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238125</xdr:colOff>
      <xdr:row>23</xdr:row>
      <xdr:rowOff>238125</xdr:rowOff>
    </xdr:from>
    <xdr:to>
      <xdr:col>43</xdr:col>
      <xdr:colOff>238125</xdr:colOff>
      <xdr:row>23</xdr:row>
      <xdr:rowOff>238125</xdr:rowOff>
    </xdr:to>
    <xdr:sp macro="" textlink="">
      <xdr:nvSpPr>
        <xdr:cNvPr id="42226" name="rteShptp43c13c21size26color65280routevcb"/>
        <xdr:cNvSpPr/>
      </xdr:nvSpPr>
      <xdr:spPr>
        <a:xfrm>
          <a:off x="214217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73025</xdr:colOff>
      <xdr:row>3</xdr:row>
      <xdr:rowOff>73025</xdr:rowOff>
    </xdr:from>
    <xdr:to>
      <xdr:col>44</xdr:col>
      <xdr:colOff>403225</xdr:colOff>
      <xdr:row>3</xdr:row>
      <xdr:rowOff>403225</xdr:rowOff>
    </xdr:to>
    <xdr:sp macro="" textlink="">
      <xdr:nvSpPr>
        <xdr:cNvPr id="42230" name="tp44c11c21size26color65280routevc"/>
        <xdr:cNvSpPr/>
      </xdr:nvSpPr>
      <xdr:spPr>
        <a:xfrm>
          <a:off x="21732875" y="26447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238125</xdr:colOff>
      <xdr:row>3</xdr:row>
      <xdr:rowOff>238125</xdr:rowOff>
    </xdr:from>
    <xdr:to>
      <xdr:col>44</xdr:col>
      <xdr:colOff>238125</xdr:colOff>
      <xdr:row>3</xdr:row>
      <xdr:rowOff>238125</xdr:rowOff>
    </xdr:to>
    <xdr:sp macro="" textlink="">
      <xdr:nvSpPr>
        <xdr:cNvPr id="42231" name="rteShptp44c11c21size26color65280routevc"/>
        <xdr:cNvSpPr/>
      </xdr:nvSpPr>
      <xdr:spPr>
        <a:xfrm>
          <a:off x="218979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174625</xdr:colOff>
      <xdr:row>8</xdr:row>
      <xdr:rowOff>174625</xdr:rowOff>
    </xdr:from>
    <xdr:to>
      <xdr:col>44</xdr:col>
      <xdr:colOff>301625</xdr:colOff>
      <xdr:row>8</xdr:row>
      <xdr:rowOff>301625</xdr:rowOff>
    </xdr:to>
    <xdr:sp macro="" textlink="">
      <xdr:nvSpPr>
        <xdr:cNvPr id="42234" name="tp44c11c26size10color65280routeb"/>
        <xdr:cNvSpPr/>
      </xdr:nvSpPr>
      <xdr:spPr>
        <a:xfrm>
          <a:off x="21834475" y="512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238125</xdr:colOff>
      <xdr:row>8</xdr:row>
      <xdr:rowOff>238125</xdr:rowOff>
    </xdr:from>
    <xdr:to>
      <xdr:col>44</xdr:col>
      <xdr:colOff>238125</xdr:colOff>
      <xdr:row>8</xdr:row>
      <xdr:rowOff>238125</xdr:rowOff>
    </xdr:to>
    <xdr:sp macro="" textlink="">
      <xdr:nvSpPr>
        <xdr:cNvPr id="42235" name="rteShptp44c11c26size10color65280routeb"/>
        <xdr:cNvSpPr/>
      </xdr:nvSpPr>
      <xdr:spPr>
        <a:xfrm>
          <a:off x="21897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174625</xdr:colOff>
      <xdr:row>13</xdr:row>
      <xdr:rowOff>174625</xdr:rowOff>
    </xdr:from>
    <xdr:to>
      <xdr:col>44</xdr:col>
      <xdr:colOff>301625</xdr:colOff>
      <xdr:row>13</xdr:row>
      <xdr:rowOff>301625</xdr:rowOff>
    </xdr:to>
    <xdr:sp macro="" textlink="">
      <xdr:nvSpPr>
        <xdr:cNvPr id="42237" name="tp44c12c21size10color65280route"/>
        <xdr:cNvSpPr/>
      </xdr:nvSpPr>
      <xdr:spPr>
        <a:xfrm>
          <a:off x="21834475" y="75088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174625</xdr:colOff>
      <xdr:row>16</xdr:row>
      <xdr:rowOff>174625</xdr:rowOff>
    </xdr:from>
    <xdr:to>
      <xdr:col>44</xdr:col>
      <xdr:colOff>301625</xdr:colOff>
      <xdr:row>16</xdr:row>
      <xdr:rowOff>301625</xdr:rowOff>
    </xdr:to>
    <xdr:sp macro="" textlink="">
      <xdr:nvSpPr>
        <xdr:cNvPr id="42238" name="tp44c12c24size10color65280route"/>
        <xdr:cNvSpPr/>
      </xdr:nvSpPr>
      <xdr:spPr>
        <a:xfrm>
          <a:off x="21834475" y="893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73025</xdr:colOff>
      <xdr:row>18</xdr:row>
      <xdr:rowOff>73025</xdr:rowOff>
    </xdr:from>
    <xdr:to>
      <xdr:col>44</xdr:col>
      <xdr:colOff>403225</xdr:colOff>
      <xdr:row>18</xdr:row>
      <xdr:rowOff>403225</xdr:rowOff>
    </xdr:to>
    <xdr:sp macro="" textlink="">
      <xdr:nvSpPr>
        <xdr:cNvPr id="42239" name="tp44c12c26size26color65280routevcb"/>
        <xdr:cNvSpPr/>
      </xdr:nvSpPr>
      <xdr:spPr>
        <a:xfrm>
          <a:off x="2173287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238125</xdr:colOff>
      <xdr:row>18</xdr:row>
      <xdr:rowOff>238125</xdr:rowOff>
    </xdr:from>
    <xdr:to>
      <xdr:col>44</xdr:col>
      <xdr:colOff>238125</xdr:colOff>
      <xdr:row>18</xdr:row>
      <xdr:rowOff>238125</xdr:rowOff>
    </xdr:to>
    <xdr:sp macro="" textlink="">
      <xdr:nvSpPr>
        <xdr:cNvPr id="42240" name="rteShptp44c12c26size26color65280routevcb"/>
        <xdr:cNvSpPr/>
      </xdr:nvSpPr>
      <xdr:spPr>
        <a:xfrm>
          <a:off x="2189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123825</xdr:colOff>
      <xdr:row>23</xdr:row>
      <xdr:rowOff>123825</xdr:rowOff>
    </xdr:from>
    <xdr:to>
      <xdr:col>44</xdr:col>
      <xdr:colOff>352425</xdr:colOff>
      <xdr:row>23</xdr:row>
      <xdr:rowOff>352425</xdr:rowOff>
    </xdr:to>
    <xdr:sp macro="" textlink="">
      <xdr:nvSpPr>
        <xdr:cNvPr id="42244" name="tp44c13c21size18color65280route"/>
        <xdr:cNvSpPr/>
      </xdr:nvSpPr>
      <xdr:spPr>
        <a:xfrm>
          <a:off x="21783675" y="12220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174625</xdr:colOff>
      <xdr:row>26</xdr:row>
      <xdr:rowOff>174625</xdr:rowOff>
    </xdr:from>
    <xdr:to>
      <xdr:col>44</xdr:col>
      <xdr:colOff>301625</xdr:colOff>
      <xdr:row>26</xdr:row>
      <xdr:rowOff>301625</xdr:rowOff>
    </xdr:to>
    <xdr:sp macro="" textlink="">
      <xdr:nvSpPr>
        <xdr:cNvPr id="42245" name="tp44c13c24size10color65280route"/>
        <xdr:cNvSpPr/>
      </xdr:nvSpPr>
      <xdr:spPr>
        <a:xfrm>
          <a:off x="21834475" y="13700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123825</xdr:colOff>
      <xdr:row>28</xdr:row>
      <xdr:rowOff>123825</xdr:rowOff>
    </xdr:from>
    <xdr:to>
      <xdr:col>44</xdr:col>
      <xdr:colOff>352425</xdr:colOff>
      <xdr:row>28</xdr:row>
      <xdr:rowOff>352425</xdr:rowOff>
    </xdr:to>
    <xdr:sp macro="" textlink="">
      <xdr:nvSpPr>
        <xdr:cNvPr id="42246" name="tp44c13c26size18color65280routevcb"/>
        <xdr:cNvSpPr/>
      </xdr:nvSpPr>
      <xdr:spPr>
        <a:xfrm>
          <a:off x="21783675" y="14601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238125</xdr:colOff>
      <xdr:row>28</xdr:row>
      <xdr:rowOff>238125</xdr:rowOff>
    </xdr:from>
    <xdr:to>
      <xdr:col>44</xdr:col>
      <xdr:colOff>238125</xdr:colOff>
      <xdr:row>28</xdr:row>
      <xdr:rowOff>238125</xdr:rowOff>
    </xdr:to>
    <xdr:sp macro="" textlink="">
      <xdr:nvSpPr>
        <xdr:cNvPr id="42247" name="rteShptp44c13c26size18color65280routevcb"/>
        <xdr:cNvSpPr/>
      </xdr:nvSpPr>
      <xdr:spPr>
        <a:xfrm>
          <a:off x="21897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123825</xdr:colOff>
      <xdr:row>3</xdr:row>
      <xdr:rowOff>123825</xdr:rowOff>
    </xdr:from>
    <xdr:to>
      <xdr:col>45</xdr:col>
      <xdr:colOff>352425</xdr:colOff>
      <xdr:row>3</xdr:row>
      <xdr:rowOff>352425</xdr:rowOff>
    </xdr:to>
    <xdr:sp macro="" textlink="">
      <xdr:nvSpPr>
        <xdr:cNvPr id="42251" name="tp45c11c21size18color255route"/>
        <xdr:cNvSpPr/>
      </xdr:nvSpPr>
      <xdr:spPr>
        <a:xfrm>
          <a:off x="22259925" y="269557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123825</xdr:colOff>
      <xdr:row>4</xdr:row>
      <xdr:rowOff>123825</xdr:rowOff>
    </xdr:from>
    <xdr:to>
      <xdr:col>45</xdr:col>
      <xdr:colOff>352425</xdr:colOff>
      <xdr:row>4</xdr:row>
      <xdr:rowOff>352425</xdr:rowOff>
    </xdr:to>
    <xdr:sp macro="" textlink="">
      <xdr:nvSpPr>
        <xdr:cNvPr id="42252" name="tp45c11c22size18color255routevc"/>
        <xdr:cNvSpPr/>
      </xdr:nvSpPr>
      <xdr:spPr>
        <a:xfrm>
          <a:off x="22259925" y="31718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238125</xdr:colOff>
      <xdr:row>4</xdr:row>
      <xdr:rowOff>238125</xdr:rowOff>
    </xdr:from>
    <xdr:to>
      <xdr:col>45</xdr:col>
      <xdr:colOff>238125</xdr:colOff>
      <xdr:row>4</xdr:row>
      <xdr:rowOff>238125</xdr:rowOff>
    </xdr:to>
    <xdr:sp macro="" textlink="">
      <xdr:nvSpPr>
        <xdr:cNvPr id="42253" name="rteShptp45c11c22size18color255routevc"/>
        <xdr:cNvSpPr/>
      </xdr:nvSpPr>
      <xdr:spPr>
        <a:xfrm>
          <a:off x="22374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174625</xdr:colOff>
      <xdr:row>8</xdr:row>
      <xdr:rowOff>174625</xdr:rowOff>
    </xdr:from>
    <xdr:to>
      <xdr:col>45</xdr:col>
      <xdr:colOff>301625</xdr:colOff>
      <xdr:row>8</xdr:row>
      <xdr:rowOff>301625</xdr:rowOff>
    </xdr:to>
    <xdr:sp macro="" textlink="">
      <xdr:nvSpPr>
        <xdr:cNvPr id="42256" name="tp45c11c26size10color255routeb"/>
        <xdr:cNvSpPr/>
      </xdr:nvSpPr>
      <xdr:spPr>
        <a:xfrm>
          <a:off x="22310725" y="512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238125</xdr:colOff>
      <xdr:row>8</xdr:row>
      <xdr:rowOff>238125</xdr:rowOff>
    </xdr:from>
    <xdr:to>
      <xdr:col>45</xdr:col>
      <xdr:colOff>238125</xdr:colOff>
      <xdr:row>8</xdr:row>
      <xdr:rowOff>238125</xdr:rowOff>
    </xdr:to>
    <xdr:sp macro="" textlink="">
      <xdr:nvSpPr>
        <xdr:cNvPr id="42257" name="rteShptp45c11c26size10color255routeb"/>
        <xdr:cNvSpPr/>
      </xdr:nvSpPr>
      <xdr:spPr>
        <a:xfrm>
          <a:off x="22374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174625</xdr:colOff>
      <xdr:row>10</xdr:row>
      <xdr:rowOff>174625</xdr:rowOff>
    </xdr:from>
    <xdr:to>
      <xdr:col>45</xdr:col>
      <xdr:colOff>301625</xdr:colOff>
      <xdr:row>10</xdr:row>
      <xdr:rowOff>301625</xdr:rowOff>
    </xdr:to>
    <xdr:sp macro="" textlink="">
      <xdr:nvSpPr>
        <xdr:cNvPr id="42259" name="tp45c11c28size10color255route"/>
        <xdr:cNvSpPr/>
      </xdr:nvSpPr>
      <xdr:spPr>
        <a:xfrm>
          <a:off x="22310725" y="6080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123825</xdr:colOff>
      <xdr:row>14</xdr:row>
      <xdr:rowOff>123825</xdr:rowOff>
    </xdr:from>
    <xdr:to>
      <xdr:col>45</xdr:col>
      <xdr:colOff>352425</xdr:colOff>
      <xdr:row>14</xdr:row>
      <xdr:rowOff>352425</xdr:rowOff>
    </xdr:to>
    <xdr:sp macro="" textlink="">
      <xdr:nvSpPr>
        <xdr:cNvPr id="42260" name="tp45c12c22size18color255route"/>
        <xdr:cNvSpPr/>
      </xdr:nvSpPr>
      <xdr:spPr>
        <a:xfrm>
          <a:off x="22259925" y="7934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174625</xdr:colOff>
      <xdr:row>16</xdr:row>
      <xdr:rowOff>174625</xdr:rowOff>
    </xdr:from>
    <xdr:to>
      <xdr:col>45</xdr:col>
      <xdr:colOff>301625</xdr:colOff>
      <xdr:row>16</xdr:row>
      <xdr:rowOff>301625</xdr:rowOff>
    </xdr:to>
    <xdr:sp macro="" textlink="">
      <xdr:nvSpPr>
        <xdr:cNvPr id="42261" name="tp45c12c24size10color255route"/>
        <xdr:cNvSpPr/>
      </xdr:nvSpPr>
      <xdr:spPr>
        <a:xfrm>
          <a:off x="22310725" y="893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123825</xdr:colOff>
      <xdr:row>18</xdr:row>
      <xdr:rowOff>123825</xdr:rowOff>
    </xdr:from>
    <xdr:to>
      <xdr:col>45</xdr:col>
      <xdr:colOff>352425</xdr:colOff>
      <xdr:row>18</xdr:row>
      <xdr:rowOff>352425</xdr:rowOff>
    </xdr:to>
    <xdr:sp macro="" textlink="">
      <xdr:nvSpPr>
        <xdr:cNvPr id="42262" name="tp45c12c26size18color255routevcb"/>
        <xdr:cNvSpPr/>
      </xdr:nvSpPr>
      <xdr:spPr>
        <a:xfrm>
          <a:off x="22259925" y="9839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238125</xdr:colOff>
      <xdr:row>18</xdr:row>
      <xdr:rowOff>238125</xdr:rowOff>
    </xdr:from>
    <xdr:to>
      <xdr:col>45</xdr:col>
      <xdr:colOff>238125</xdr:colOff>
      <xdr:row>18</xdr:row>
      <xdr:rowOff>238125</xdr:rowOff>
    </xdr:to>
    <xdr:sp macro="" textlink="">
      <xdr:nvSpPr>
        <xdr:cNvPr id="42263" name="rteShptp45c12c26size18color255routevcb"/>
        <xdr:cNvSpPr/>
      </xdr:nvSpPr>
      <xdr:spPr>
        <a:xfrm>
          <a:off x="2237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174625</xdr:colOff>
      <xdr:row>23</xdr:row>
      <xdr:rowOff>174625</xdr:rowOff>
    </xdr:from>
    <xdr:to>
      <xdr:col>45</xdr:col>
      <xdr:colOff>301625</xdr:colOff>
      <xdr:row>23</xdr:row>
      <xdr:rowOff>301625</xdr:rowOff>
    </xdr:to>
    <xdr:sp macro="" textlink="">
      <xdr:nvSpPr>
        <xdr:cNvPr id="42267" name="tp45c13c21size10color255route"/>
        <xdr:cNvSpPr/>
      </xdr:nvSpPr>
      <xdr:spPr>
        <a:xfrm>
          <a:off x="22310725" y="12271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123825</xdr:colOff>
      <xdr:row>24</xdr:row>
      <xdr:rowOff>123825</xdr:rowOff>
    </xdr:from>
    <xdr:to>
      <xdr:col>45</xdr:col>
      <xdr:colOff>352425</xdr:colOff>
      <xdr:row>24</xdr:row>
      <xdr:rowOff>352425</xdr:rowOff>
    </xdr:to>
    <xdr:sp macro="" textlink="">
      <xdr:nvSpPr>
        <xdr:cNvPr id="42268" name="tp45c13c22size18color255route"/>
        <xdr:cNvSpPr/>
      </xdr:nvSpPr>
      <xdr:spPr>
        <a:xfrm>
          <a:off x="22259925" y="126968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174625</xdr:colOff>
      <xdr:row>26</xdr:row>
      <xdr:rowOff>174625</xdr:rowOff>
    </xdr:from>
    <xdr:to>
      <xdr:col>45</xdr:col>
      <xdr:colOff>301625</xdr:colOff>
      <xdr:row>26</xdr:row>
      <xdr:rowOff>301625</xdr:rowOff>
    </xdr:to>
    <xdr:sp macro="" textlink="">
      <xdr:nvSpPr>
        <xdr:cNvPr id="42269" name="tp45c13c24size10color255route"/>
        <xdr:cNvSpPr/>
      </xdr:nvSpPr>
      <xdr:spPr>
        <a:xfrm>
          <a:off x="22310725" y="13700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73025</xdr:colOff>
      <xdr:row>28</xdr:row>
      <xdr:rowOff>73025</xdr:rowOff>
    </xdr:from>
    <xdr:to>
      <xdr:col>45</xdr:col>
      <xdr:colOff>403225</xdr:colOff>
      <xdr:row>28</xdr:row>
      <xdr:rowOff>403225</xdr:rowOff>
    </xdr:to>
    <xdr:sp macro="" textlink="">
      <xdr:nvSpPr>
        <xdr:cNvPr id="42270" name="tp45c13c26size26color255routevcb"/>
        <xdr:cNvSpPr/>
      </xdr:nvSpPr>
      <xdr:spPr>
        <a:xfrm>
          <a:off x="22209125" y="1455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238125</xdr:colOff>
      <xdr:row>28</xdr:row>
      <xdr:rowOff>238125</xdr:rowOff>
    </xdr:from>
    <xdr:to>
      <xdr:col>45</xdr:col>
      <xdr:colOff>238125</xdr:colOff>
      <xdr:row>28</xdr:row>
      <xdr:rowOff>238125</xdr:rowOff>
    </xdr:to>
    <xdr:sp macro="" textlink="">
      <xdr:nvSpPr>
        <xdr:cNvPr id="42271" name="rteShptp45c13c26size26color255routevcb"/>
        <xdr:cNvSpPr/>
      </xdr:nvSpPr>
      <xdr:spPr>
        <a:xfrm>
          <a:off x="22374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73025</xdr:colOff>
      <xdr:row>5</xdr:row>
      <xdr:rowOff>73025</xdr:rowOff>
    </xdr:from>
    <xdr:to>
      <xdr:col>46</xdr:col>
      <xdr:colOff>403225</xdr:colOff>
      <xdr:row>5</xdr:row>
      <xdr:rowOff>403225</xdr:rowOff>
    </xdr:to>
    <xdr:sp macro="" textlink="">
      <xdr:nvSpPr>
        <xdr:cNvPr id="42275" name="tp46c11c23size26color65280routev"/>
        <xdr:cNvSpPr/>
      </xdr:nvSpPr>
      <xdr:spPr>
        <a:xfrm>
          <a:off x="22685375" y="35972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238125</xdr:colOff>
      <xdr:row>5</xdr:row>
      <xdr:rowOff>238125</xdr:rowOff>
    </xdr:from>
    <xdr:to>
      <xdr:col>46</xdr:col>
      <xdr:colOff>238125</xdr:colOff>
      <xdr:row>5</xdr:row>
      <xdr:rowOff>238125</xdr:rowOff>
    </xdr:to>
    <xdr:sp macro="" textlink="">
      <xdr:nvSpPr>
        <xdr:cNvPr id="42276" name="rteShptp46c11c23size26color65280routev"/>
        <xdr:cNvSpPr/>
      </xdr:nvSpPr>
      <xdr:spPr>
        <a:xfrm>
          <a:off x="228504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238125</xdr:colOff>
      <xdr:row>6</xdr:row>
      <xdr:rowOff>238125</xdr:rowOff>
    </xdr:from>
    <xdr:to>
      <xdr:col>46</xdr:col>
      <xdr:colOff>238125</xdr:colOff>
      <xdr:row>6</xdr:row>
      <xdr:rowOff>238125</xdr:rowOff>
    </xdr:to>
    <xdr:sp macro="" textlink="">
      <xdr:nvSpPr>
        <xdr:cNvPr id="42278" name="rteShptp46c11c24size0color0routeb"/>
        <xdr:cNvSpPr/>
      </xdr:nvSpPr>
      <xdr:spPr>
        <a:xfrm>
          <a:off x="22850475" y="423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238125</xdr:colOff>
      <xdr:row>10</xdr:row>
      <xdr:rowOff>238125</xdr:rowOff>
    </xdr:from>
    <xdr:to>
      <xdr:col>46</xdr:col>
      <xdr:colOff>238125</xdr:colOff>
      <xdr:row>10</xdr:row>
      <xdr:rowOff>238125</xdr:rowOff>
    </xdr:to>
    <xdr:sp macro="" textlink="">
      <xdr:nvSpPr>
        <xdr:cNvPr id="42280" name="rteShptp46c11c28size0color0routec"/>
        <xdr:cNvSpPr/>
      </xdr:nvSpPr>
      <xdr:spPr>
        <a:xfrm>
          <a:off x="22850475" y="614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174625</xdr:colOff>
      <xdr:row>15</xdr:row>
      <xdr:rowOff>174625</xdr:rowOff>
    </xdr:from>
    <xdr:to>
      <xdr:col>46</xdr:col>
      <xdr:colOff>301625</xdr:colOff>
      <xdr:row>15</xdr:row>
      <xdr:rowOff>301625</xdr:rowOff>
    </xdr:to>
    <xdr:sp macro="" textlink="">
      <xdr:nvSpPr>
        <xdr:cNvPr id="42282" name="tp46c12c23size10color255route"/>
        <xdr:cNvSpPr/>
      </xdr:nvSpPr>
      <xdr:spPr>
        <a:xfrm>
          <a:off x="22786975" y="8461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73025</xdr:colOff>
      <xdr:row>16</xdr:row>
      <xdr:rowOff>73025</xdr:rowOff>
    </xdr:from>
    <xdr:to>
      <xdr:col>46</xdr:col>
      <xdr:colOff>403225</xdr:colOff>
      <xdr:row>16</xdr:row>
      <xdr:rowOff>403225</xdr:rowOff>
    </xdr:to>
    <xdr:sp macro="" textlink="">
      <xdr:nvSpPr>
        <xdr:cNvPr id="42283" name="tp46c12c24size26color65535routevcb"/>
        <xdr:cNvSpPr/>
      </xdr:nvSpPr>
      <xdr:spPr>
        <a:xfrm>
          <a:off x="22685375" y="8836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238125</xdr:colOff>
      <xdr:row>16</xdr:row>
      <xdr:rowOff>238125</xdr:rowOff>
    </xdr:from>
    <xdr:to>
      <xdr:col>46</xdr:col>
      <xdr:colOff>238125</xdr:colOff>
      <xdr:row>16</xdr:row>
      <xdr:rowOff>238125</xdr:rowOff>
    </xdr:to>
    <xdr:sp macro="" textlink="">
      <xdr:nvSpPr>
        <xdr:cNvPr id="42284" name="rteShptp46c12c24size26color65535routevcb"/>
        <xdr:cNvSpPr/>
      </xdr:nvSpPr>
      <xdr:spPr>
        <a:xfrm>
          <a:off x="22850475" y="900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123825</xdr:colOff>
      <xdr:row>25</xdr:row>
      <xdr:rowOff>123825</xdr:rowOff>
    </xdr:from>
    <xdr:to>
      <xdr:col>46</xdr:col>
      <xdr:colOff>352425</xdr:colOff>
      <xdr:row>25</xdr:row>
      <xdr:rowOff>352425</xdr:rowOff>
    </xdr:to>
    <xdr:sp macro="" textlink="">
      <xdr:nvSpPr>
        <xdr:cNvPr id="42288" name="tp46c13c23size18color65535routev"/>
        <xdr:cNvSpPr/>
      </xdr:nvSpPr>
      <xdr:spPr>
        <a:xfrm>
          <a:off x="22736175" y="131730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238125</xdr:colOff>
      <xdr:row>25</xdr:row>
      <xdr:rowOff>238125</xdr:rowOff>
    </xdr:from>
    <xdr:to>
      <xdr:col>46</xdr:col>
      <xdr:colOff>238125</xdr:colOff>
      <xdr:row>25</xdr:row>
      <xdr:rowOff>238125</xdr:rowOff>
    </xdr:to>
    <xdr:sp macro="" textlink="">
      <xdr:nvSpPr>
        <xdr:cNvPr id="42289" name="rteShptp46c13c23size18color65535routev"/>
        <xdr:cNvSpPr/>
      </xdr:nvSpPr>
      <xdr:spPr>
        <a:xfrm>
          <a:off x="22850475" y="1328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123825</xdr:colOff>
      <xdr:row>26</xdr:row>
      <xdr:rowOff>123825</xdr:rowOff>
    </xdr:from>
    <xdr:to>
      <xdr:col>46</xdr:col>
      <xdr:colOff>352425</xdr:colOff>
      <xdr:row>26</xdr:row>
      <xdr:rowOff>352425</xdr:rowOff>
    </xdr:to>
    <xdr:sp macro="" textlink="">
      <xdr:nvSpPr>
        <xdr:cNvPr id="42291" name="tp46c13c24size18color65535routecb"/>
        <xdr:cNvSpPr/>
      </xdr:nvSpPr>
      <xdr:spPr>
        <a:xfrm>
          <a:off x="22736175" y="1364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238125</xdr:colOff>
      <xdr:row>26</xdr:row>
      <xdr:rowOff>238125</xdr:rowOff>
    </xdr:from>
    <xdr:to>
      <xdr:col>46</xdr:col>
      <xdr:colOff>238125</xdr:colOff>
      <xdr:row>26</xdr:row>
      <xdr:rowOff>238125</xdr:rowOff>
    </xdr:to>
    <xdr:sp macro="" textlink="">
      <xdr:nvSpPr>
        <xdr:cNvPr id="42292" name="rteShptp46c13c24size18color65535routecb"/>
        <xdr:cNvSpPr/>
      </xdr:nvSpPr>
      <xdr:spPr>
        <a:xfrm>
          <a:off x="22850475" y="1376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238125</xdr:colOff>
      <xdr:row>5</xdr:row>
      <xdr:rowOff>238125</xdr:rowOff>
    </xdr:from>
    <xdr:to>
      <xdr:col>47</xdr:col>
      <xdr:colOff>238125</xdr:colOff>
      <xdr:row>5</xdr:row>
      <xdr:rowOff>238125</xdr:rowOff>
    </xdr:to>
    <xdr:sp macro="" textlink="">
      <xdr:nvSpPr>
        <xdr:cNvPr id="42295" name="rteShptp47c11c23size0color0routec"/>
        <xdr:cNvSpPr/>
      </xdr:nvSpPr>
      <xdr:spPr>
        <a:xfrm>
          <a:off x="2332672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174625</xdr:colOff>
      <xdr:row>6</xdr:row>
      <xdr:rowOff>174625</xdr:rowOff>
    </xdr:from>
    <xdr:to>
      <xdr:col>47</xdr:col>
      <xdr:colOff>301625</xdr:colOff>
      <xdr:row>6</xdr:row>
      <xdr:rowOff>301625</xdr:rowOff>
    </xdr:to>
    <xdr:sp macro="" textlink="">
      <xdr:nvSpPr>
        <xdr:cNvPr id="42297" name="tp47c11c24size10color65280route"/>
        <xdr:cNvSpPr/>
      </xdr:nvSpPr>
      <xdr:spPr>
        <a:xfrm>
          <a:off x="23263225" y="4175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73025</xdr:colOff>
      <xdr:row>8</xdr:row>
      <xdr:rowOff>73025</xdr:rowOff>
    </xdr:from>
    <xdr:to>
      <xdr:col>47</xdr:col>
      <xdr:colOff>403225</xdr:colOff>
      <xdr:row>8</xdr:row>
      <xdr:rowOff>403225</xdr:rowOff>
    </xdr:to>
    <xdr:sp macro="" textlink="">
      <xdr:nvSpPr>
        <xdr:cNvPr id="42298" name="tp47c11c26size26color65280routevb"/>
        <xdr:cNvSpPr/>
      </xdr:nvSpPr>
      <xdr:spPr>
        <a:xfrm>
          <a:off x="23161625" y="5026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238125</xdr:colOff>
      <xdr:row>8</xdr:row>
      <xdr:rowOff>238125</xdr:rowOff>
    </xdr:from>
    <xdr:to>
      <xdr:col>47</xdr:col>
      <xdr:colOff>238125</xdr:colOff>
      <xdr:row>8</xdr:row>
      <xdr:rowOff>238125</xdr:rowOff>
    </xdr:to>
    <xdr:sp macro="" textlink="">
      <xdr:nvSpPr>
        <xdr:cNvPr id="42299" name="rteShptp47c11c26size26color65280routevb"/>
        <xdr:cNvSpPr/>
      </xdr:nvSpPr>
      <xdr:spPr>
        <a:xfrm>
          <a:off x="23326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123825</xdr:colOff>
      <xdr:row>16</xdr:row>
      <xdr:rowOff>123825</xdr:rowOff>
    </xdr:from>
    <xdr:to>
      <xdr:col>47</xdr:col>
      <xdr:colOff>352425</xdr:colOff>
      <xdr:row>16</xdr:row>
      <xdr:rowOff>352425</xdr:rowOff>
    </xdr:to>
    <xdr:sp macro="" textlink="">
      <xdr:nvSpPr>
        <xdr:cNvPr id="42302" name="tp47c12c24size18color65280routec"/>
        <xdr:cNvSpPr/>
      </xdr:nvSpPr>
      <xdr:spPr>
        <a:xfrm>
          <a:off x="23212425" y="8886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238125</xdr:colOff>
      <xdr:row>16</xdr:row>
      <xdr:rowOff>238125</xdr:rowOff>
    </xdr:from>
    <xdr:to>
      <xdr:col>47</xdr:col>
      <xdr:colOff>238125</xdr:colOff>
      <xdr:row>16</xdr:row>
      <xdr:rowOff>238125</xdr:rowOff>
    </xdr:to>
    <xdr:sp macro="" textlink="">
      <xdr:nvSpPr>
        <xdr:cNvPr id="42303" name="rteShptp47c12c24size18color65280routec"/>
        <xdr:cNvSpPr/>
      </xdr:nvSpPr>
      <xdr:spPr>
        <a:xfrm>
          <a:off x="23326725" y="900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73025</xdr:colOff>
      <xdr:row>18</xdr:row>
      <xdr:rowOff>73025</xdr:rowOff>
    </xdr:from>
    <xdr:to>
      <xdr:col>47</xdr:col>
      <xdr:colOff>403225</xdr:colOff>
      <xdr:row>18</xdr:row>
      <xdr:rowOff>403225</xdr:rowOff>
    </xdr:to>
    <xdr:sp macro="" textlink="">
      <xdr:nvSpPr>
        <xdr:cNvPr id="42305" name="tp47c12c26size26color65280routevb"/>
        <xdr:cNvSpPr/>
      </xdr:nvSpPr>
      <xdr:spPr>
        <a:xfrm>
          <a:off x="2316162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238125</xdr:colOff>
      <xdr:row>18</xdr:row>
      <xdr:rowOff>238125</xdr:rowOff>
    </xdr:from>
    <xdr:to>
      <xdr:col>47</xdr:col>
      <xdr:colOff>238125</xdr:colOff>
      <xdr:row>18</xdr:row>
      <xdr:rowOff>238125</xdr:rowOff>
    </xdr:to>
    <xdr:sp macro="" textlink="">
      <xdr:nvSpPr>
        <xdr:cNvPr id="42306" name="rteShptp47c12c26size26color65280routevb"/>
        <xdr:cNvSpPr/>
      </xdr:nvSpPr>
      <xdr:spPr>
        <a:xfrm>
          <a:off x="23326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174625</xdr:colOff>
      <xdr:row>26</xdr:row>
      <xdr:rowOff>174625</xdr:rowOff>
    </xdr:from>
    <xdr:to>
      <xdr:col>47</xdr:col>
      <xdr:colOff>301625</xdr:colOff>
      <xdr:row>26</xdr:row>
      <xdr:rowOff>301625</xdr:rowOff>
    </xdr:to>
    <xdr:sp macro="" textlink="">
      <xdr:nvSpPr>
        <xdr:cNvPr id="42309" name="tp47c13c24size10color65280route"/>
        <xdr:cNvSpPr/>
      </xdr:nvSpPr>
      <xdr:spPr>
        <a:xfrm>
          <a:off x="23263225" y="13700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73025</xdr:colOff>
      <xdr:row>28</xdr:row>
      <xdr:rowOff>73025</xdr:rowOff>
    </xdr:from>
    <xdr:to>
      <xdr:col>47</xdr:col>
      <xdr:colOff>403225</xdr:colOff>
      <xdr:row>28</xdr:row>
      <xdr:rowOff>403225</xdr:rowOff>
    </xdr:to>
    <xdr:sp macro="" textlink="">
      <xdr:nvSpPr>
        <xdr:cNvPr id="42310" name="tp47c13c26size26color65280routevcb"/>
        <xdr:cNvSpPr/>
      </xdr:nvSpPr>
      <xdr:spPr>
        <a:xfrm>
          <a:off x="2316162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238125</xdr:colOff>
      <xdr:row>28</xdr:row>
      <xdr:rowOff>238125</xdr:rowOff>
    </xdr:from>
    <xdr:to>
      <xdr:col>47</xdr:col>
      <xdr:colOff>238125</xdr:colOff>
      <xdr:row>28</xdr:row>
      <xdr:rowOff>238125</xdr:rowOff>
    </xdr:to>
    <xdr:sp macro="" textlink="">
      <xdr:nvSpPr>
        <xdr:cNvPr id="42311" name="rteShptp47c13c26size26color65280routevcb"/>
        <xdr:cNvSpPr/>
      </xdr:nvSpPr>
      <xdr:spPr>
        <a:xfrm>
          <a:off x="23326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174625</xdr:colOff>
      <xdr:row>4</xdr:row>
      <xdr:rowOff>174625</xdr:rowOff>
    </xdr:from>
    <xdr:to>
      <xdr:col>48</xdr:col>
      <xdr:colOff>301625</xdr:colOff>
      <xdr:row>4</xdr:row>
      <xdr:rowOff>301625</xdr:rowOff>
    </xdr:to>
    <xdr:sp macro="" textlink="">
      <xdr:nvSpPr>
        <xdr:cNvPr id="42315" name="tp48c11c22size10color65535route"/>
        <xdr:cNvSpPr/>
      </xdr:nvSpPr>
      <xdr:spPr>
        <a:xfrm>
          <a:off x="23739475" y="3222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73025</xdr:colOff>
      <xdr:row>5</xdr:row>
      <xdr:rowOff>73025</xdr:rowOff>
    </xdr:from>
    <xdr:to>
      <xdr:col>48</xdr:col>
      <xdr:colOff>403225</xdr:colOff>
      <xdr:row>5</xdr:row>
      <xdr:rowOff>403225</xdr:rowOff>
    </xdr:to>
    <xdr:sp macro="" textlink="">
      <xdr:nvSpPr>
        <xdr:cNvPr id="42316" name="tp48c11c23size26color65280routevc"/>
        <xdr:cNvSpPr/>
      </xdr:nvSpPr>
      <xdr:spPr>
        <a:xfrm>
          <a:off x="23637875" y="35972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238125</xdr:colOff>
      <xdr:row>5</xdr:row>
      <xdr:rowOff>238125</xdr:rowOff>
    </xdr:from>
    <xdr:to>
      <xdr:col>48</xdr:col>
      <xdr:colOff>238125</xdr:colOff>
      <xdr:row>5</xdr:row>
      <xdr:rowOff>238125</xdr:rowOff>
    </xdr:to>
    <xdr:sp macro="" textlink="">
      <xdr:nvSpPr>
        <xdr:cNvPr id="42317" name="rteShptp48c11c23size26color65280routevc"/>
        <xdr:cNvSpPr/>
      </xdr:nvSpPr>
      <xdr:spPr>
        <a:xfrm>
          <a:off x="238029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174625</xdr:colOff>
      <xdr:row>6</xdr:row>
      <xdr:rowOff>174625</xdr:rowOff>
    </xdr:from>
    <xdr:to>
      <xdr:col>48</xdr:col>
      <xdr:colOff>301625</xdr:colOff>
      <xdr:row>6</xdr:row>
      <xdr:rowOff>301625</xdr:rowOff>
    </xdr:to>
    <xdr:sp macro="" textlink="">
      <xdr:nvSpPr>
        <xdr:cNvPr id="42320" name="tp48c11c24size10color65280route"/>
        <xdr:cNvSpPr/>
      </xdr:nvSpPr>
      <xdr:spPr>
        <a:xfrm>
          <a:off x="23739475" y="4175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123825</xdr:colOff>
      <xdr:row>7</xdr:row>
      <xdr:rowOff>123825</xdr:rowOff>
    </xdr:from>
    <xdr:to>
      <xdr:col>48</xdr:col>
      <xdr:colOff>352425</xdr:colOff>
      <xdr:row>7</xdr:row>
      <xdr:rowOff>352425</xdr:rowOff>
    </xdr:to>
    <xdr:sp macro="" textlink="">
      <xdr:nvSpPr>
        <xdr:cNvPr id="42321" name="tp48c11c25size18color65280route"/>
        <xdr:cNvSpPr/>
      </xdr:nvSpPr>
      <xdr:spPr>
        <a:xfrm>
          <a:off x="23688675" y="4600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174625</xdr:colOff>
      <xdr:row>8</xdr:row>
      <xdr:rowOff>174625</xdr:rowOff>
    </xdr:from>
    <xdr:to>
      <xdr:col>48</xdr:col>
      <xdr:colOff>301625</xdr:colOff>
      <xdr:row>8</xdr:row>
      <xdr:rowOff>301625</xdr:rowOff>
    </xdr:to>
    <xdr:sp macro="" textlink="">
      <xdr:nvSpPr>
        <xdr:cNvPr id="42322" name="tp48c11c26size10color65280routeb"/>
        <xdr:cNvSpPr/>
      </xdr:nvSpPr>
      <xdr:spPr>
        <a:xfrm>
          <a:off x="23739475" y="512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238125</xdr:colOff>
      <xdr:row>8</xdr:row>
      <xdr:rowOff>238125</xdr:rowOff>
    </xdr:from>
    <xdr:to>
      <xdr:col>48</xdr:col>
      <xdr:colOff>238125</xdr:colOff>
      <xdr:row>8</xdr:row>
      <xdr:rowOff>238125</xdr:rowOff>
    </xdr:to>
    <xdr:sp macro="" textlink="">
      <xdr:nvSpPr>
        <xdr:cNvPr id="42323" name="rteShptp48c11c26size10color65280routeb"/>
        <xdr:cNvSpPr/>
      </xdr:nvSpPr>
      <xdr:spPr>
        <a:xfrm>
          <a:off x="23802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174625</xdr:colOff>
      <xdr:row>14</xdr:row>
      <xdr:rowOff>174625</xdr:rowOff>
    </xdr:from>
    <xdr:to>
      <xdr:col>48</xdr:col>
      <xdr:colOff>301625</xdr:colOff>
      <xdr:row>14</xdr:row>
      <xdr:rowOff>301625</xdr:rowOff>
    </xdr:to>
    <xdr:sp macro="" textlink="">
      <xdr:nvSpPr>
        <xdr:cNvPr id="42325" name="tp48c12c22size10color255route"/>
        <xdr:cNvSpPr/>
      </xdr:nvSpPr>
      <xdr:spPr>
        <a:xfrm>
          <a:off x="23739475" y="798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123825</xdr:colOff>
      <xdr:row>16</xdr:row>
      <xdr:rowOff>123825</xdr:rowOff>
    </xdr:from>
    <xdr:to>
      <xdr:col>48</xdr:col>
      <xdr:colOff>352425</xdr:colOff>
      <xdr:row>16</xdr:row>
      <xdr:rowOff>352425</xdr:rowOff>
    </xdr:to>
    <xdr:sp macro="" textlink="">
      <xdr:nvSpPr>
        <xdr:cNvPr id="42326" name="tp48c12c24size18color65535routec"/>
        <xdr:cNvSpPr/>
      </xdr:nvSpPr>
      <xdr:spPr>
        <a:xfrm>
          <a:off x="23688675" y="888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238125</xdr:colOff>
      <xdr:row>16</xdr:row>
      <xdr:rowOff>238125</xdr:rowOff>
    </xdr:from>
    <xdr:to>
      <xdr:col>48</xdr:col>
      <xdr:colOff>238125</xdr:colOff>
      <xdr:row>16</xdr:row>
      <xdr:rowOff>238125</xdr:rowOff>
    </xdr:to>
    <xdr:sp macro="" textlink="">
      <xdr:nvSpPr>
        <xdr:cNvPr id="42327" name="rteShptp48c12c24size18color65535routec"/>
        <xdr:cNvSpPr/>
      </xdr:nvSpPr>
      <xdr:spPr>
        <a:xfrm>
          <a:off x="23802975" y="900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174625</xdr:colOff>
      <xdr:row>17</xdr:row>
      <xdr:rowOff>174625</xdr:rowOff>
    </xdr:from>
    <xdr:to>
      <xdr:col>48</xdr:col>
      <xdr:colOff>301625</xdr:colOff>
      <xdr:row>17</xdr:row>
      <xdr:rowOff>301625</xdr:rowOff>
    </xdr:to>
    <xdr:sp macro="" textlink="">
      <xdr:nvSpPr>
        <xdr:cNvPr id="42329" name="tp48c12c25size10color255route"/>
        <xdr:cNvSpPr/>
      </xdr:nvSpPr>
      <xdr:spPr>
        <a:xfrm>
          <a:off x="23739475" y="9413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73025</xdr:colOff>
      <xdr:row>18</xdr:row>
      <xdr:rowOff>73025</xdr:rowOff>
    </xdr:from>
    <xdr:to>
      <xdr:col>48</xdr:col>
      <xdr:colOff>403225</xdr:colOff>
      <xdr:row>18</xdr:row>
      <xdr:rowOff>403225</xdr:rowOff>
    </xdr:to>
    <xdr:sp macro="" textlink="">
      <xdr:nvSpPr>
        <xdr:cNvPr id="42330" name="tp48c12c26size26color65535routevcb"/>
        <xdr:cNvSpPr/>
      </xdr:nvSpPr>
      <xdr:spPr>
        <a:xfrm>
          <a:off x="2363787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238125</xdr:colOff>
      <xdr:row>18</xdr:row>
      <xdr:rowOff>238125</xdr:rowOff>
    </xdr:from>
    <xdr:to>
      <xdr:col>48</xdr:col>
      <xdr:colOff>238125</xdr:colOff>
      <xdr:row>18</xdr:row>
      <xdr:rowOff>238125</xdr:rowOff>
    </xdr:to>
    <xdr:sp macro="" textlink="">
      <xdr:nvSpPr>
        <xdr:cNvPr id="42331" name="rteShptp48c12c26size26color65535routevcb"/>
        <xdr:cNvSpPr/>
      </xdr:nvSpPr>
      <xdr:spPr>
        <a:xfrm>
          <a:off x="23802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174625</xdr:colOff>
      <xdr:row>24</xdr:row>
      <xdr:rowOff>174625</xdr:rowOff>
    </xdr:from>
    <xdr:to>
      <xdr:col>48</xdr:col>
      <xdr:colOff>301625</xdr:colOff>
      <xdr:row>24</xdr:row>
      <xdr:rowOff>301625</xdr:rowOff>
    </xdr:to>
    <xdr:sp macro="" textlink="">
      <xdr:nvSpPr>
        <xdr:cNvPr id="42335" name="tp48c13c22size10color65280route"/>
        <xdr:cNvSpPr/>
      </xdr:nvSpPr>
      <xdr:spPr>
        <a:xfrm>
          <a:off x="23739475" y="1274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123825</xdr:colOff>
      <xdr:row>25</xdr:row>
      <xdr:rowOff>123825</xdr:rowOff>
    </xdr:from>
    <xdr:to>
      <xdr:col>48</xdr:col>
      <xdr:colOff>352425</xdr:colOff>
      <xdr:row>25</xdr:row>
      <xdr:rowOff>352425</xdr:rowOff>
    </xdr:to>
    <xdr:sp macro="" textlink="">
      <xdr:nvSpPr>
        <xdr:cNvPr id="42336" name="tp48c13c23size18color65280route"/>
        <xdr:cNvSpPr/>
      </xdr:nvSpPr>
      <xdr:spPr>
        <a:xfrm>
          <a:off x="23688675" y="131730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174625</xdr:colOff>
      <xdr:row>26</xdr:row>
      <xdr:rowOff>174625</xdr:rowOff>
    </xdr:from>
    <xdr:to>
      <xdr:col>48</xdr:col>
      <xdr:colOff>301625</xdr:colOff>
      <xdr:row>26</xdr:row>
      <xdr:rowOff>301625</xdr:rowOff>
    </xdr:to>
    <xdr:sp macro="" textlink="">
      <xdr:nvSpPr>
        <xdr:cNvPr id="42337" name="tp48c13c24size10color65280route"/>
        <xdr:cNvSpPr/>
      </xdr:nvSpPr>
      <xdr:spPr>
        <a:xfrm>
          <a:off x="23739475" y="13700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174625</xdr:colOff>
      <xdr:row>27</xdr:row>
      <xdr:rowOff>174625</xdr:rowOff>
    </xdr:from>
    <xdr:to>
      <xdr:col>48</xdr:col>
      <xdr:colOff>301625</xdr:colOff>
      <xdr:row>27</xdr:row>
      <xdr:rowOff>301625</xdr:rowOff>
    </xdr:to>
    <xdr:sp macro="" textlink="">
      <xdr:nvSpPr>
        <xdr:cNvPr id="42338" name="tp48c13c25size10color65280route"/>
        <xdr:cNvSpPr/>
      </xdr:nvSpPr>
      <xdr:spPr>
        <a:xfrm>
          <a:off x="23739475" y="141763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123825</xdr:colOff>
      <xdr:row>28</xdr:row>
      <xdr:rowOff>123825</xdr:rowOff>
    </xdr:from>
    <xdr:to>
      <xdr:col>48</xdr:col>
      <xdr:colOff>352425</xdr:colOff>
      <xdr:row>28</xdr:row>
      <xdr:rowOff>352425</xdr:rowOff>
    </xdr:to>
    <xdr:sp macro="" textlink="">
      <xdr:nvSpPr>
        <xdr:cNvPr id="42339" name="tp48c13c26size18color65280routevcb">
          <a:hlinkClick xmlns:r="http://schemas.openxmlformats.org/officeDocument/2006/relationships" r:id="" tooltip="Chris Shaw:&#10;online easier [than mobile] and data shows this is customer's current choice"/>
        </xdr:cNvPr>
        <xdr:cNvSpPr/>
      </xdr:nvSpPr>
      <xdr:spPr>
        <a:xfrm>
          <a:off x="23688675" y="14601825"/>
          <a:ext cx="228600" cy="2286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238125</xdr:colOff>
      <xdr:row>28</xdr:row>
      <xdr:rowOff>238125</xdr:rowOff>
    </xdr:from>
    <xdr:to>
      <xdr:col>48</xdr:col>
      <xdr:colOff>238125</xdr:colOff>
      <xdr:row>28</xdr:row>
      <xdr:rowOff>238125</xdr:rowOff>
    </xdr:to>
    <xdr:sp macro="" textlink="">
      <xdr:nvSpPr>
        <xdr:cNvPr id="42340" name="rteShptp48c13c26size18color65280routevcb"/>
        <xdr:cNvSpPr/>
      </xdr:nvSpPr>
      <xdr:spPr>
        <a:xfrm>
          <a:off x="23802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174625</xdr:colOff>
      <xdr:row>3</xdr:row>
      <xdr:rowOff>174625</xdr:rowOff>
    </xdr:from>
    <xdr:to>
      <xdr:col>49</xdr:col>
      <xdr:colOff>301625</xdr:colOff>
      <xdr:row>3</xdr:row>
      <xdr:rowOff>301625</xdr:rowOff>
    </xdr:to>
    <xdr:sp macro="" textlink="">
      <xdr:nvSpPr>
        <xdr:cNvPr id="42344" name="tp49c11c21size10color65535route"/>
        <xdr:cNvSpPr/>
      </xdr:nvSpPr>
      <xdr:spPr>
        <a:xfrm>
          <a:off x="24215725" y="27463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123825</xdr:colOff>
      <xdr:row>4</xdr:row>
      <xdr:rowOff>123825</xdr:rowOff>
    </xdr:from>
    <xdr:to>
      <xdr:col>49</xdr:col>
      <xdr:colOff>352425</xdr:colOff>
      <xdr:row>4</xdr:row>
      <xdr:rowOff>352425</xdr:rowOff>
    </xdr:to>
    <xdr:sp macro="" textlink="">
      <xdr:nvSpPr>
        <xdr:cNvPr id="42345" name="tp49c11c22size18color65535routev"/>
        <xdr:cNvSpPr/>
      </xdr:nvSpPr>
      <xdr:spPr>
        <a:xfrm>
          <a:off x="24164925" y="3171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238125</xdr:colOff>
      <xdr:row>4</xdr:row>
      <xdr:rowOff>238125</xdr:rowOff>
    </xdr:from>
    <xdr:to>
      <xdr:col>49</xdr:col>
      <xdr:colOff>238125</xdr:colOff>
      <xdr:row>4</xdr:row>
      <xdr:rowOff>238125</xdr:rowOff>
    </xdr:to>
    <xdr:sp macro="" textlink="">
      <xdr:nvSpPr>
        <xdr:cNvPr id="42346" name="rteShptp49c11c22size18color65535routev"/>
        <xdr:cNvSpPr/>
      </xdr:nvSpPr>
      <xdr:spPr>
        <a:xfrm>
          <a:off x="24279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174625</xdr:colOff>
      <xdr:row>5</xdr:row>
      <xdr:rowOff>174625</xdr:rowOff>
    </xdr:from>
    <xdr:to>
      <xdr:col>49</xdr:col>
      <xdr:colOff>301625</xdr:colOff>
      <xdr:row>5</xdr:row>
      <xdr:rowOff>301625</xdr:rowOff>
    </xdr:to>
    <xdr:sp macro="" textlink="">
      <xdr:nvSpPr>
        <xdr:cNvPr id="42348" name="tp49c11c23size10color255routec"/>
        <xdr:cNvSpPr/>
      </xdr:nvSpPr>
      <xdr:spPr>
        <a:xfrm>
          <a:off x="24215725" y="3698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238125</xdr:colOff>
      <xdr:row>5</xdr:row>
      <xdr:rowOff>238125</xdr:rowOff>
    </xdr:from>
    <xdr:to>
      <xdr:col>49</xdr:col>
      <xdr:colOff>238125</xdr:colOff>
      <xdr:row>5</xdr:row>
      <xdr:rowOff>238125</xdr:rowOff>
    </xdr:to>
    <xdr:sp macro="" textlink="">
      <xdr:nvSpPr>
        <xdr:cNvPr id="42349" name="rteShptp49c11c23size10color255routec"/>
        <xdr:cNvSpPr/>
      </xdr:nvSpPr>
      <xdr:spPr>
        <a:xfrm>
          <a:off x="2427922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174625</xdr:colOff>
      <xdr:row>8</xdr:row>
      <xdr:rowOff>174625</xdr:rowOff>
    </xdr:from>
    <xdr:to>
      <xdr:col>49</xdr:col>
      <xdr:colOff>301625</xdr:colOff>
      <xdr:row>8</xdr:row>
      <xdr:rowOff>301625</xdr:rowOff>
    </xdr:to>
    <xdr:sp macro="" textlink="">
      <xdr:nvSpPr>
        <xdr:cNvPr id="42351" name="tp49c11c26size10color65535routeb"/>
        <xdr:cNvSpPr/>
      </xdr:nvSpPr>
      <xdr:spPr>
        <a:xfrm>
          <a:off x="24215725" y="512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238125</xdr:colOff>
      <xdr:row>8</xdr:row>
      <xdr:rowOff>238125</xdr:rowOff>
    </xdr:from>
    <xdr:to>
      <xdr:col>49</xdr:col>
      <xdr:colOff>238125</xdr:colOff>
      <xdr:row>8</xdr:row>
      <xdr:rowOff>238125</xdr:rowOff>
    </xdr:to>
    <xdr:sp macro="" textlink="">
      <xdr:nvSpPr>
        <xdr:cNvPr id="42352" name="rteShptp49c11c26size10color65535routeb"/>
        <xdr:cNvSpPr/>
      </xdr:nvSpPr>
      <xdr:spPr>
        <a:xfrm>
          <a:off x="24279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123825</xdr:colOff>
      <xdr:row>13</xdr:row>
      <xdr:rowOff>123825</xdr:rowOff>
    </xdr:from>
    <xdr:to>
      <xdr:col>49</xdr:col>
      <xdr:colOff>352425</xdr:colOff>
      <xdr:row>13</xdr:row>
      <xdr:rowOff>352425</xdr:rowOff>
    </xdr:to>
    <xdr:sp macro="" textlink="">
      <xdr:nvSpPr>
        <xdr:cNvPr id="42354" name="tp49c12c21size18color65535route"/>
        <xdr:cNvSpPr/>
      </xdr:nvSpPr>
      <xdr:spPr>
        <a:xfrm>
          <a:off x="24164925" y="74580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123825</xdr:colOff>
      <xdr:row>18</xdr:row>
      <xdr:rowOff>123825</xdr:rowOff>
    </xdr:from>
    <xdr:to>
      <xdr:col>49</xdr:col>
      <xdr:colOff>352425</xdr:colOff>
      <xdr:row>18</xdr:row>
      <xdr:rowOff>352425</xdr:rowOff>
    </xdr:to>
    <xdr:sp macro="" textlink="">
      <xdr:nvSpPr>
        <xdr:cNvPr id="42355" name="tp49c12c26size18color65535routecb"/>
        <xdr:cNvSpPr/>
      </xdr:nvSpPr>
      <xdr:spPr>
        <a:xfrm>
          <a:off x="2416492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238125</xdr:colOff>
      <xdr:row>18</xdr:row>
      <xdr:rowOff>238125</xdr:rowOff>
    </xdr:from>
    <xdr:to>
      <xdr:col>49</xdr:col>
      <xdr:colOff>238125</xdr:colOff>
      <xdr:row>18</xdr:row>
      <xdr:rowOff>238125</xdr:rowOff>
    </xdr:to>
    <xdr:sp macro="" textlink="">
      <xdr:nvSpPr>
        <xdr:cNvPr id="42356" name="rteShptp49c12c26size18color65535routecb"/>
        <xdr:cNvSpPr/>
      </xdr:nvSpPr>
      <xdr:spPr>
        <a:xfrm>
          <a:off x="24279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123825</xdr:colOff>
      <xdr:row>20</xdr:row>
      <xdr:rowOff>123825</xdr:rowOff>
    </xdr:from>
    <xdr:to>
      <xdr:col>49</xdr:col>
      <xdr:colOff>352425</xdr:colOff>
      <xdr:row>20</xdr:row>
      <xdr:rowOff>352425</xdr:rowOff>
    </xdr:to>
    <xdr:sp macro="" textlink="">
      <xdr:nvSpPr>
        <xdr:cNvPr id="42359" name="tp49c12c28size18color65535routev">
          <a:hlinkClick xmlns:r="http://schemas.openxmlformats.org/officeDocument/2006/relationships" r:id="" tooltip="Chris Shaw:&#10;checkbook"/>
        </xdr:cNvPr>
        <xdr:cNvSpPr/>
      </xdr:nvSpPr>
      <xdr:spPr>
        <a:xfrm>
          <a:off x="24164925" y="10791825"/>
          <a:ext cx="228600" cy="228600"/>
        </a:xfrm>
        <a:prstGeom prst="ellipse">
          <a:avLst/>
        </a:prstGeom>
        <a:solidFill>
          <a:srgbClr val="FF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238125</xdr:colOff>
      <xdr:row>20</xdr:row>
      <xdr:rowOff>238125</xdr:rowOff>
    </xdr:from>
    <xdr:to>
      <xdr:col>49</xdr:col>
      <xdr:colOff>238125</xdr:colOff>
      <xdr:row>20</xdr:row>
      <xdr:rowOff>238125</xdr:rowOff>
    </xdr:to>
    <xdr:sp macro="" textlink="">
      <xdr:nvSpPr>
        <xdr:cNvPr id="42360" name="rteShptp49c12c28size18color65535routev"/>
        <xdr:cNvSpPr/>
      </xdr:nvSpPr>
      <xdr:spPr>
        <a:xfrm>
          <a:off x="24279225" y="1090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73025</xdr:colOff>
      <xdr:row>23</xdr:row>
      <xdr:rowOff>73025</xdr:rowOff>
    </xdr:from>
    <xdr:to>
      <xdr:col>49</xdr:col>
      <xdr:colOff>403225</xdr:colOff>
      <xdr:row>23</xdr:row>
      <xdr:rowOff>403225</xdr:rowOff>
    </xdr:to>
    <xdr:sp macro="" textlink="">
      <xdr:nvSpPr>
        <xdr:cNvPr id="42362" name="tp49c13c21size26color65535routevcb"/>
        <xdr:cNvSpPr/>
      </xdr:nvSpPr>
      <xdr:spPr>
        <a:xfrm>
          <a:off x="24114125" y="121697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238125</xdr:colOff>
      <xdr:row>23</xdr:row>
      <xdr:rowOff>238125</xdr:rowOff>
    </xdr:from>
    <xdr:to>
      <xdr:col>49</xdr:col>
      <xdr:colOff>238125</xdr:colOff>
      <xdr:row>23</xdr:row>
      <xdr:rowOff>238125</xdr:rowOff>
    </xdr:to>
    <xdr:sp macro="" textlink="">
      <xdr:nvSpPr>
        <xdr:cNvPr id="42363" name="rteShptp49c13c21size26color65535routevcb"/>
        <xdr:cNvSpPr/>
      </xdr:nvSpPr>
      <xdr:spPr>
        <a:xfrm>
          <a:off x="242792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174625</xdr:colOff>
      <xdr:row>24</xdr:row>
      <xdr:rowOff>174625</xdr:rowOff>
    </xdr:from>
    <xdr:to>
      <xdr:col>49</xdr:col>
      <xdr:colOff>301625</xdr:colOff>
      <xdr:row>24</xdr:row>
      <xdr:rowOff>301625</xdr:rowOff>
    </xdr:to>
    <xdr:sp macro="" textlink="">
      <xdr:nvSpPr>
        <xdr:cNvPr id="42367" name="tp49c13c22size10color65535route">
          <a:hlinkClick xmlns:r="http://schemas.openxmlformats.org/officeDocument/2006/relationships" r:id="" tooltip="Chris Shaw:&#10;no need to log in with pub site"/>
        </xdr:cNvPr>
        <xdr:cNvSpPr/>
      </xdr:nvSpPr>
      <xdr:spPr>
        <a:xfrm>
          <a:off x="24215725" y="12747625"/>
          <a:ext cx="127000" cy="127000"/>
        </a:xfrm>
        <a:prstGeom prst="ellipse">
          <a:avLst/>
        </a:prstGeom>
        <a:solidFill>
          <a:srgbClr val="FF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174625</xdr:colOff>
      <xdr:row>25</xdr:row>
      <xdr:rowOff>174625</xdr:rowOff>
    </xdr:from>
    <xdr:to>
      <xdr:col>49</xdr:col>
      <xdr:colOff>301625</xdr:colOff>
      <xdr:row>25</xdr:row>
      <xdr:rowOff>301625</xdr:rowOff>
    </xdr:to>
    <xdr:sp macro="" textlink="">
      <xdr:nvSpPr>
        <xdr:cNvPr id="42368" name="tp49c13c23size10color255route"/>
        <xdr:cNvSpPr/>
      </xdr:nvSpPr>
      <xdr:spPr>
        <a:xfrm>
          <a:off x="24215725" y="13223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123825</xdr:colOff>
      <xdr:row>28</xdr:row>
      <xdr:rowOff>123825</xdr:rowOff>
    </xdr:from>
    <xdr:to>
      <xdr:col>49</xdr:col>
      <xdr:colOff>352425</xdr:colOff>
      <xdr:row>28</xdr:row>
      <xdr:rowOff>352425</xdr:rowOff>
    </xdr:to>
    <xdr:sp macro="" textlink="">
      <xdr:nvSpPr>
        <xdr:cNvPr id="42369" name="tp49c13c26size18color65535route"/>
        <xdr:cNvSpPr/>
      </xdr:nvSpPr>
      <xdr:spPr>
        <a:xfrm>
          <a:off x="24164925" y="14601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174625</xdr:colOff>
      <xdr:row>4</xdr:row>
      <xdr:rowOff>174625</xdr:rowOff>
    </xdr:from>
    <xdr:to>
      <xdr:col>50</xdr:col>
      <xdr:colOff>301625</xdr:colOff>
      <xdr:row>4</xdr:row>
      <xdr:rowOff>301625</xdr:rowOff>
    </xdr:to>
    <xdr:sp macro="" textlink="">
      <xdr:nvSpPr>
        <xdr:cNvPr id="42370" name="tp50c11c22size10color65535route"/>
        <xdr:cNvSpPr/>
      </xdr:nvSpPr>
      <xdr:spPr>
        <a:xfrm>
          <a:off x="24691975" y="3222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73025</xdr:colOff>
      <xdr:row>5</xdr:row>
      <xdr:rowOff>73025</xdr:rowOff>
    </xdr:from>
    <xdr:to>
      <xdr:col>50</xdr:col>
      <xdr:colOff>403225</xdr:colOff>
      <xdr:row>5</xdr:row>
      <xdr:rowOff>403225</xdr:rowOff>
    </xdr:to>
    <xdr:sp macro="" textlink="">
      <xdr:nvSpPr>
        <xdr:cNvPr id="42371" name="tp50c11c23size26color65535routevc"/>
        <xdr:cNvSpPr/>
      </xdr:nvSpPr>
      <xdr:spPr>
        <a:xfrm>
          <a:off x="24590375" y="3597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238125</xdr:colOff>
      <xdr:row>5</xdr:row>
      <xdr:rowOff>238125</xdr:rowOff>
    </xdr:from>
    <xdr:to>
      <xdr:col>50</xdr:col>
      <xdr:colOff>238125</xdr:colOff>
      <xdr:row>5</xdr:row>
      <xdr:rowOff>238125</xdr:rowOff>
    </xdr:to>
    <xdr:sp macro="" textlink="">
      <xdr:nvSpPr>
        <xdr:cNvPr id="42372" name="rteShptp50c11c23size26color65535routevc"/>
        <xdr:cNvSpPr/>
      </xdr:nvSpPr>
      <xdr:spPr>
        <a:xfrm>
          <a:off x="247554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174625</xdr:colOff>
      <xdr:row>8</xdr:row>
      <xdr:rowOff>174625</xdr:rowOff>
    </xdr:from>
    <xdr:to>
      <xdr:col>50</xdr:col>
      <xdr:colOff>301625</xdr:colOff>
      <xdr:row>8</xdr:row>
      <xdr:rowOff>301625</xdr:rowOff>
    </xdr:to>
    <xdr:sp macro="" textlink="">
      <xdr:nvSpPr>
        <xdr:cNvPr id="42375" name="tp50c11c26size10color255routeb">
          <a:hlinkClick xmlns:r="http://schemas.openxmlformats.org/officeDocument/2006/relationships" r:id="" tooltip="Chris Shaw:&#10;Can you view full acct # in AC? Possibly broken."/>
        </xdr:cNvPr>
        <xdr:cNvSpPr/>
      </xdr:nvSpPr>
      <xdr:spPr>
        <a:xfrm>
          <a:off x="24691975" y="5127625"/>
          <a:ext cx="127000" cy="127000"/>
        </a:xfrm>
        <a:prstGeom prst="ellipse">
          <a:avLst/>
        </a:prstGeom>
        <a:solidFill>
          <a:srgbClr val="FF00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238125</xdr:colOff>
      <xdr:row>8</xdr:row>
      <xdr:rowOff>238125</xdr:rowOff>
    </xdr:from>
    <xdr:to>
      <xdr:col>50</xdr:col>
      <xdr:colOff>238125</xdr:colOff>
      <xdr:row>8</xdr:row>
      <xdr:rowOff>238125</xdr:rowOff>
    </xdr:to>
    <xdr:sp macro="" textlink="">
      <xdr:nvSpPr>
        <xdr:cNvPr id="42376" name="rteShptp50c11c26size10color255routeb"/>
        <xdr:cNvSpPr/>
      </xdr:nvSpPr>
      <xdr:spPr>
        <a:xfrm>
          <a:off x="24755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123825</xdr:colOff>
      <xdr:row>18</xdr:row>
      <xdr:rowOff>123825</xdr:rowOff>
    </xdr:from>
    <xdr:to>
      <xdr:col>50</xdr:col>
      <xdr:colOff>352425</xdr:colOff>
      <xdr:row>18</xdr:row>
      <xdr:rowOff>352425</xdr:rowOff>
    </xdr:to>
    <xdr:sp macro="" textlink="">
      <xdr:nvSpPr>
        <xdr:cNvPr id="42378" name="tp50c12c26size18color65535routecb"/>
        <xdr:cNvSpPr/>
      </xdr:nvSpPr>
      <xdr:spPr>
        <a:xfrm>
          <a:off x="2464117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238125</xdr:colOff>
      <xdr:row>18</xdr:row>
      <xdr:rowOff>238125</xdr:rowOff>
    </xdr:from>
    <xdr:to>
      <xdr:col>50</xdr:col>
      <xdr:colOff>238125</xdr:colOff>
      <xdr:row>18</xdr:row>
      <xdr:rowOff>238125</xdr:rowOff>
    </xdr:to>
    <xdr:sp macro="" textlink="">
      <xdr:nvSpPr>
        <xdr:cNvPr id="42379" name="rteShptp50c12c26size18color65535routecb"/>
        <xdr:cNvSpPr/>
      </xdr:nvSpPr>
      <xdr:spPr>
        <a:xfrm>
          <a:off x="24755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123825</xdr:colOff>
      <xdr:row>20</xdr:row>
      <xdr:rowOff>123825</xdr:rowOff>
    </xdr:from>
    <xdr:to>
      <xdr:col>50</xdr:col>
      <xdr:colOff>352425</xdr:colOff>
      <xdr:row>20</xdr:row>
      <xdr:rowOff>352425</xdr:rowOff>
    </xdr:to>
    <xdr:sp macro="" textlink="">
      <xdr:nvSpPr>
        <xdr:cNvPr id="42382" name="tp50c12c28size18color65535routev">
          <a:hlinkClick xmlns:r="http://schemas.openxmlformats.org/officeDocument/2006/relationships" r:id="" tooltip="Chris Shaw:&#10;checkbook"/>
        </xdr:cNvPr>
        <xdr:cNvSpPr/>
      </xdr:nvSpPr>
      <xdr:spPr>
        <a:xfrm>
          <a:off x="24641175" y="10791825"/>
          <a:ext cx="228600" cy="228600"/>
        </a:xfrm>
        <a:prstGeom prst="ellipse">
          <a:avLst/>
        </a:prstGeom>
        <a:solidFill>
          <a:srgbClr val="FF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238125</xdr:colOff>
      <xdr:row>20</xdr:row>
      <xdr:rowOff>238125</xdr:rowOff>
    </xdr:from>
    <xdr:to>
      <xdr:col>50</xdr:col>
      <xdr:colOff>238125</xdr:colOff>
      <xdr:row>20</xdr:row>
      <xdr:rowOff>238125</xdr:rowOff>
    </xdr:to>
    <xdr:sp macro="" textlink="">
      <xdr:nvSpPr>
        <xdr:cNvPr id="42383" name="rteShptp50c12c28size18color65535routev"/>
        <xdr:cNvSpPr/>
      </xdr:nvSpPr>
      <xdr:spPr>
        <a:xfrm>
          <a:off x="24755475" y="1090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174625</xdr:colOff>
      <xdr:row>24</xdr:row>
      <xdr:rowOff>174625</xdr:rowOff>
    </xdr:from>
    <xdr:to>
      <xdr:col>50</xdr:col>
      <xdr:colOff>301625</xdr:colOff>
      <xdr:row>24</xdr:row>
      <xdr:rowOff>301625</xdr:rowOff>
    </xdr:to>
    <xdr:sp macro="" textlink="">
      <xdr:nvSpPr>
        <xdr:cNvPr id="42385" name="tp50c13c22size10color65280route"/>
        <xdr:cNvSpPr/>
      </xdr:nvSpPr>
      <xdr:spPr>
        <a:xfrm>
          <a:off x="24691975" y="1274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123825</xdr:colOff>
      <xdr:row>25</xdr:row>
      <xdr:rowOff>123825</xdr:rowOff>
    </xdr:from>
    <xdr:to>
      <xdr:col>50</xdr:col>
      <xdr:colOff>352425</xdr:colOff>
      <xdr:row>25</xdr:row>
      <xdr:rowOff>352425</xdr:rowOff>
    </xdr:to>
    <xdr:sp macro="" textlink="">
      <xdr:nvSpPr>
        <xdr:cNvPr id="42386" name="tp50c13c23size18color65280route"/>
        <xdr:cNvSpPr/>
      </xdr:nvSpPr>
      <xdr:spPr>
        <a:xfrm>
          <a:off x="24641175" y="131730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73025</xdr:colOff>
      <xdr:row>28</xdr:row>
      <xdr:rowOff>73025</xdr:rowOff>
    </xdr:from>
    <xdr:to>
      <xdr:col>50</xdr:col>
      <xdr:colOff>403225</xdr:colOff>
      <xdr:row>28</xdr:row>
      <xdr:rowOff>403225</xdr:rowOff>
    </xdr:to>
    <xdr:sp macro="" textlink="">
      <xdr:nvSpPr>
        <xdr:cNvPr id="42387" name="tp50c13c26size26color65280routevcb">
          <a:hlinkClick xmlns:r="http://schemas.openxmlformats.org/officeDocument/2006/relationships" r:id="" tooltip="Chris Shaw:&#10;online easier [than mobile, currently] and more secure."/>
        </xdr:cNvPr>
        <xdr:cNvSpPr/>
      </xdr:nvSpPr>
      <xdr:spPr>
        <a:xfrm>
          <a:off x="24590375" y="14551025"/>
          <a:ext cx="330200" cy="3302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238125</xdr:colOff>
      <xdr:row>28</xdr:row>
      <xdr:rowOff>238125</xdr:rowOff>
    </xdr:from>
    <xdr:to>
      <xdr:col>50</xdr:col>
      <xdr:colOff>238125</xdr:colOff>
      <xdr:row>28</xdr:row>
      <xdr:rowOff>238125</xdr:rowOff>
    </xdr:to>
    <xdr:sp macro="" textlink="">
      <xdr:nvSpPr>
        <xdr:cNvPr id="42388" name="rteShptp50c13c26size26color65280routevcb"/>
        <xdr:cNvSpPr/>
      </xdr:nvSpPr>
      <xdr:spPr>
        <a:xfrm>
          <a:off x="24755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123825</xdr:colOff>
      <xdr:row>4</xdr:row>
      <xdr:rowOff>123825</xdr:rowOff>
    </xdr:from>
    <xdr:to>
      <xdr:col>51</xdr:col>
      <xdr:colOff>352425</xdr:colOff>
      <xdr:row>4</xdr:row>
      <xdr:rowOff>352425</xdr:rowOff>
    </xdr:to>
    <xdr:sp macro="" textlink="">
      <xdr:nvSpPr>
        <xdr:cNvPr id="42392" name="tp51c11c22size18color255routevc"/>
        <xdr:cNvSpPr/>
      </xdr:nvSpPr>
      <xdr:spPr>
        <a:xfrm>
          <a:off x="25117425" y="31718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238125</xdr:colOff>
      <xdr:row>4</xdr:row>
      <xdr:rowOff>238125</xdr:rowOff>
    </xdr:from>
    <xdr:to>
      <xdr:col>51</xdr:col>
      <xdr:colOff>238125</xdr:colOff>
      <xdr:row>4</xdr:row>
      <xdr:rowOff>238125</xdr:rowOff>
    </xdr:to>
    <xdr:sp macro="" textlink="">
      <xdr:nvSpPr>
        <xdr:cNvPr id="42393" name="rteShptp51c11c22size18color255routevc"/>
        <xdr:cNvSpPr/>
      </xdr:nvSpPr>
      <xdr:spPr>
        <a:xfrm>
          <a:off x="25231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123825</xdr:colOff>
      <xdr:row>5</xdr:row>
      <xdr:rowOff>123825</xdr:rowOff>
    </xdr:from>
    <xdr:to>
      <xdr:col>51</xdr:col>
      <xdr:colOff>352425</xdr:colOff>
      <xdr:row>5</xdr:row>
      <xdr:rowOff>352425</xdr:rowOff>
    </xdr:to>
    <xdr:sp macro="" textlink="">
      <xdr:nvSpPr>
        <xdr:cNvPr id="42396" name="tp51c11c23size18color255routev"/>
        <xdr:cNvSpPr/>
      </xdr:nvSpPr>
      <xdr:spPr>
        <a:xfrm>
          <a:off x="25117425" y="364807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238125</xdr:colOff>
      <xdr:row>5</xdr:row>
      <xdr:rowOff>238125</xdr:rowOff>
    </xdr:from>
    <xdr:to>
      <xdr:col>51</xdr:col>
      <xdr:colOff>238125</xdr:colOff>
      <xdr:row>5</xdr:row>
      <xdr:rowOff>238125</xdr:rowOff>
    </xdr:to>
    <xdr:sp macro="" textlink="">
      <xdr:nvSpPr>
        <xdr:cNvPr id="42397" name="rteShptp51c11c23size18color255routev"/>
        <xdr:cNvSpPr/>
      </xdr:nvSpPr>
      <xdr:spPr>
        <a:xfrm>
          <a:off x="2523172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238125</xdr:colOff>
      <xdr:row>8</xdr:row>
      <xdr:rowOff>238125</xdr:rowOff>
    </xdr:from>
    <xdr:to>
      <xdr:col>51</xdr:col>
      <xdr:colOff>238125</xdr:colOff>
      <xdr:row>8</xdr:row>
      <xdr:rowOff>238125</xdr:rowOff>
    </xdr:to>
    <xdr:sp macro="" textlink="">
      <xdr:nvSpPr>
        <xdr:cNvPr id="42399" name="rteShptp51c11c26size0color0routeb"/>
        <xdr:cNvSpPr/>
      </xdr:nvSpPr>
      <xdr:spPr>
        <a:xfrm>
          <a:off x="25231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174625</xdr:colOff>
      <xdr:row>10</xdr:row>
      <xdr:rowOff>174625</xdr:rowOff>
    </xdr:from>
    <xdr:to>
      <xdr:col>51</xdr:col>
      <xdr:colOff>301625</xdr:colOff>
      <xdr:row>10</xdr:row>
      <xdr:rowOff>301625</xdr:rowOff>
    </xdr:to>
    <xdr:sp macro="" textlink="">
      <xdr:nvSpPr>
        <xdr:cNvPr id="42401" name="tp51c11c28size10color65280route"/>
        <xdr:cNvSpPr/>
      </xdr:nvSpPr>
      <xdr:spPr>
        <a:xfrm>
          <a:off x="25168225" y="6080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174625</xdr:colOff>
      <xdr:row>14</xdr:row>
      <xdr:rowOff>174625</xdr:rowOff>
    </xdr:from>
    <xdr:to>
      <xdr:col>51</xdr:col>
      <xdr:colOff>301625</xdr:colOff>
      <xdr:row>14</xdr:row>
      <xdr:rowOff>301625</xdr:rowOff>
    </xdr:to>
    <xdr:sp macro="" textlink="">
      <xdr:nvSpPr>
        <xdr:cNvPr id="42402" name="tp51c12c22size10color65535route"/>
        <xdr:cNvSpPr/>
      </xdr:nvSpPr>
      <xdr:spPr>
        <a:xfrm>
          <a:off x="25168225" y="7985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123825</xdr:colOff>
      <xdr:row>16</xdr:row>
      <xdr:rowOff>123825</xdr:rowOff>
    </xdr:from>
    <xdr:to>
      <xdr:col>51</xdr:col>
      <xdr:colOff>352425</xdr:colOff>
      <xdr:row>16</xdr:row>
      <xdr:rowOff>352425</xdr:rowOff>
    </xdr:to>
    <xdr:sp macro="" textlink="">
      <xdr:nvSpPr>
        <xdr:cNvPr id="42403" name="tp51c12c24size18color65280route"/>
        <xdr:cNvSpPr/>
      </xdr:nvSpPr>
      <xdr:spPr>
        <a:xfrm>
          <a:off x="25117425" y="8886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73025</xdr:colOff>
      <xdr:row>18</xdr:row>
      <xdr:rowOff>73025</xdr:rowOff>
    </xdr:from>
    <xdr:to>
      <xdr:col>51</xdr:col>
      <xdr:colOff>403225</xdr:colOff>
      <xdr:row>18</xdr:row>
      <xdr:rowOff>403225</xdr:rowOff>
    </xdr:to>
    <xdr:sp macro="" textlink="">
      <xdr:nvSpPr>
        <xdr:cNvPr id="42404" name="tp51c12c26size26color65280routevcb"/>
        <xdr:cNvSpPr/>
      </xdr:nvSpPr>
      <xdr:spPr>
        <a:xfrm>
          <a:off x="2506662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238125</xdr:colOff>
      <xdr:row>18</xdr:row>
      <xdr:rowOff>238125</xdr:rowOff>
    </xdr:from>
    <xdr:to>
      <xdr:col>51</xdr:col>
      <xdr:colOff>238125</xdr:colOff>
      <xdr:row>18</xdr:row>
      <xdr:rowOff>238125</xdr:rowOff>
    </xdr:to>
    <xdr:sp macro="" textlink="">
      <xdr:nvSpPr>
        <xdr:cNvPr id="42405" name="rteShptp51c12c26size26color65280routevcb"/>
        <xdr:cNvSpPr/>
      </xdr:nvSpPr>
      <xdr:spPr>
        <a:xfrm>
          <a:off x="2523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174625</xdr:colOff>
      <xdr:row>24</xdr:row>
      <xdr:rowOff>174625</xdr:rowOff>
    </xdr:from>
    <xdr:to>
      <xdr:col>51</xdr:col>
      <xdr:colOff>301625</xdr:colOff>
      <xdr:row>24</xdr:row>
      <xdr:rowOff>301625</xdr:rowOff>
    </xdr:to>
    <xdr:sp macro="" textlink="">
      <xdr:nvSpPr>
        <xdr:cNvPr id="42409" name="tp51c13c22size10color255route"/>
        <xdr:cNvSpPr/>
      </xdr:nvSpPr>
      <xdr:spPr>
        <a:xfrm>
          <a:off x="25168225" y="1274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123825</xdr:colOff>
      <xdr:row>26</xdr:row>
      <xdr:rowOff>123825</xdr:rowOff>
    </xdr:from>
    <xdr:to>
      <xdr:col>51</xdr:col>
      <xdr:colOff>352425</xdr:colOff>
      <xdr:row>26</xdr:row>
      <xdr:rowOff>352425</xdr:rowOff>
    </xdr:to>
    <xdr:sp macro="" textlink="">
      <xdr:nvSpPr>
        <xdr:cNvPr id="42410" name="tp51c13c24size18color65535route"/>
        <xdr:cNvSpPr/>
      </xdr:nvSpPr>
      <xdr:spPr>
        <a:xfrm>
          <a:off x="25117425" y="1364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73025</xdr:colOff>
      <xdr:row>28</xdr:row>
      <xdr:rowOff>73025</xdr:rowOff>
    </xdr:from>
    <xdr:to>
      <xdr:col>51</xdr:col>
      <xdr:colOff>403225</xdr:colOff>
      <xdr:row>28</xdr:row>
      <xdr:rowOff>403225</xdr:rowOff>
    </xdr:to>
    <xdr:sp macro="" textlink="">
      <xdr:nvSpPr>
        <xdr:cNvPr id="42411" name="tp51c13c26size26color65535routevcb"/>
        <xdr:cNvSpPr/>
      </xdr:nvSpPr>
      <xdr:spPr>
        <a:xfrm>
          <a:off x="25066625" y="1455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238125</xdr:colOff>
      <xdr:row>28</xdr:row>
      <xdr:rowOff>238125</xdr:rowOff>
    </xdr:from>
    <xdr:to>
      <xdr:col>51</xdr:col>
      <xdr:colOff>238125</xdr:colOff>
      <xdr:row>28</xdr:row>
      <xdr:rowOff>238125</xdr:rowOff>
    </xdr:to>
    <xdr:sp macro="" textlink="">
      <xdr:nvSpPr>
        <xdr:cNvPr id="42412" name="rteShptp51c13c26size26color65535routevcb"/>
        <xdr:cNvSpPr/>
      </xdr:nvSpPr>
      <xdr:spPr>
        <a:xfrm>
          <a:off x="25231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3</xdr:row>
      <xdr:rowOff>123825</xdr:rowOff>
    </xdr:from>
    <xdr:to>
      <xdr:col>52</xdr:col>
      <xdr:colOff>352425</xdr:colOff>
      <xdr:row>3</xdr:row>
      <xdr:rowOff>352425</xdr:rowOff>
    </xdr:to>
    <xdr:sp macro="" textlink="">
      <xdr:nvSpPr>
        <xdr:cNvPr id="42416" name="tp52c11c21size18color16777215route"/>
        <xdr:cNvSpPr/>
      </xdr:nvSpPr>
      <xdr:spPr>
        <a:xfrm>
          <a:off x="2559367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4</xdr:row>
      <xdr:rowOff>123825</xdr:rowOff>
    </xdr:from>
    <xdr:to>
      <xdr:col>52</xdr:col>
      <xdr:colOff>352425</xdr:colOff>
      <xdr:row>4</xdr:row>
      <xdr:rowOff>352425</xdr:rowOff>
    </xdr:to>
    <xdr:sp macro="" textlink="">
      <xdr:nvSpPr>
        <xdr:cNvPr id="42417" name="tp52c11c22size18color16777215routevc"/>
        <xdr:cNvSpPr/>
      </xdr:nvSpPr>
      <xdr:spPr>
        <a:xfrm>
          <a:off x="2559367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238125</xdr:colOff>
      <xdr:row>4</xdr:row>
      <xdr:rowOff>238125</xdr:rowOff>
    </xdr:from>
    <xdr:to>
      <xdr:col>52</xdr:col>
      <xdr:colOff>238125</xdr:colOff>
      <xdr:row>4</xdr:row>
      <xdr:rowOff>238125</xdr:rowOff>
    </xdr:to>
    <xdr:sp macro="" textlink="">
      <xdr:nvSpPr>
        <xdr:cNvPr id="42418" name="rteShptp52c11c22size18color16777215routevc"/>
        <xdr:cNvSpPr/>
      </xdr:nvSpPr>
      <xdr:spPr>
        <a:xfrm>
          <a:off x="25707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5</xdr:row>
      <xdr:rowOff>123825</xdr:rowOff>
    </xdr:from>
    <xdr:to>
      <xdr:col>52</xdr:col>
      <xdr:colOff>352425</xdr:colOff>
      <xdr:row>5</xdr:row>
      <xdr:rowOff>352425</xdr:rowOff>
    </xdr:to>
    <xdr:sp macro="" textlink="">
      <xdr:nvSpPr>
        <xdr:cNvPr id="42421" name="tp52c11c23size18color16777215route"/>
        <xdr:cNvSpPr/>
      </xdr:nvSpPr>
      <xdr:spPr>
        <a:xfrm>
          <a:off x="2559367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6</xdr:row>
      <xdr:rowOff>123825</xdr:rowOff>
    </xdr:from>
    <xdr:to>
      <xdr:col>52</xdr:col>
      <xdr:colOff>352425</xdr:colOff>
      <xdr:row>6</xdr:row>
      <xdr:rowOff>352425</xdr:rowOff>
    </xdr:to>
    <xdr:sp macro="" textlink="">
      <xdr:nvSpPr>
        <xdr:cNvPr id="42422" name="tp52c11c24size18color16777215route"/>
        <xdr:cNvSpPr/>
      </xdr:nvSpPr>
      <xdr:spPr>
        <a:xfrm>
          <a:off x="2559367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7</xdr:row>
      <xdr:rowOff>123825</xdr:rowOff>
    </xdr:from>
    <xdr:to>
      <xdr:col>52</xdr:col>
      <xdr:colOff>352425</xdr:colOff>
      <xdr:row>7</xdr:row>
      <xdr:rowOff>352425</xdr:rowOff>
    </xdr:to>
    <xdr:sp macro="" textlink="">
      <xdr:nvSpPr>
        <xdr:cNvPr id="42423" name="tp52c11c25size18color16777215route"/>
        <xdr:cNvSpPr/>
      </xdr:nvSpPr>
      <xdr:spPr>
        <a:xfrm>
          <a:off x="2559367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8</xdr:row>
      <xdr:rowOff>123825</xdr:rowOff>
    </xdr:from>
    <xdr:to>
      <xdr:col>52</xdr:col>
      <xdr:colOff>352425</xdr:colOff>
      <xdr:row>8</xdr:row>
      <xdr:rowOff>352425</xdr:rowOff>
    </xdr:to>
    <xdr:sp macro="" textlink="">
      <xdr:nvSpPr>
        <xdr:cNvPr id="42424" name="tp52c11c26size18color16777215routeb"/>
        <xdr:cNvSpPr/>
      </xdr:nvSpPr>
      <xdr:spPr>
        <a:xfrm>
          <a:off x="2559367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238125</xdr:colOff>
      <xdr:row>8</xdr:row>
      <xdr:rowOff>238125</xdr:rowOff>
    </xdr:from>
    <xdr:to>
      <xdr:col>52</xdr:col>
      <xdr:colOff>238125</xdr:colOff>
      <xdr:row>8</xdr:row>
      <xdr:rowOff>238125</xdr:rowOff>
    </xdr:to>
    <xdr:sp macro="" textlink="">
      <xdr:nvSpPr>
        <xdr:cNvPr id="42425" name="rteShptp52c11c26size18color16777215routeb"/>
        <xdr:cNvSpPr/>
      </xdr:nvSpPr>
      <xdr:spPr>
        <a:xfrm>
          <a:off x="25707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9</xdr:row>
      <xdr:rowOff>123825</xdr:rowOff>
    </xdr:from>
    <xdr:to>
      <xdr:col>52</xdr:col>
      <xdr:colOff>352425</xdr:colOff>
      <xdr:row>9</xdr:row>
      <xdr:rowOff>352425</xdr:rowOff>
    </xdr:to>
    <xdr:sp macro="" textlink="">
      <xdr:nvSpPr>
        <xdr:cNvPr id="42427" name="tp52c11c27size18color16777215route"/>
        <xdr:cNvSpPr/>
      </xdr:nvSpPr>
      <xdr:spPr>
        <a:xfrm>
          <a:off x="2559367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10</xdr:row>
      <xdr:rowOff>123825</xdr:rowOff>
    </xdr:from>
    <xdr:to>
      <xdr:col>52</xdr:col>
      <xdr:colOff>352425</xdr:colOff>
      <xdr:row>10</xdr:row>
      <xdr:rowOff>352425</xdr:rowOff>
    </xdr:to>
    <xdr:sp macro="" textlink="">
      <xdr:nvSpPr>
        <xdr:cNvPr id="42428" name="tp52c11c28size18color16777215route"/>
        <xdr:cNvSpPr/>
      </xdr:nvSpPr>
      <xdr:spPr>
        <a:xfrm>
          <a:off x="2559367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73025</xdr:colOff>
      <xdr:row>20</xdr:row>
      <xdr:rowOff>73025</xdr:rowOff>
    </xdr:from>
    <xdr:to>
      <xdr:col>52</xdr:col>
      <xdr:colOff>403225</xdr:colOff>
      <xdr:row>20</xdr:row>
      <xdr:rowOff>403225</xdr:rowOff>
    </xdr:to>
    <xdr:sp macro="" textlink="">
      <xdr:nvSpPr>
        <xdr:cNvPr id="42429" name="tp52c12c28size26color65535routevcb">
          <a:hlinkClick xmlns:r="http://schemas.openxmlformats.org/officeDocument/2006/relationships" r:id="" tooltip="Chris Shaw:&#10;* external accounts&#10;* checks&#10;* debit card"/>
        </xdr:cNvPr>
        <xdr:cNvSpPr/>
      </xdr:nvSpPr>
      <xdr:spPr>
        <a:xfrm>
          <a:off x="25542875" y="10741025"/>
          <a:ext cx="330200" cy="330200"/>
        </a:xfrm>
        <a:prstGeom prst="ellipse">
          <a:avLst/>
        </a:prstGeom>
        <a:solidFill>
          <a:srgbClr val="FF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238125</xdr:colOff>
      <xdr:row>20</xdr:row>
      <xdr:rowOff>238125</xdr:rowOff>
    </xdr:from>
    <xdr:to>
      <xdr:col>52</xdr:col>
      <xdr:colOff>238125</xdr:colOff>
      <xdr:row>20</xdr:row>
      <xdr:rowOff>238125</xdr:rowOff>
    </xdr:to>
    <xdr:sp macro="" textlink="">
      <xdr:nvSpPr>
        <xdr:cNvPr id="42430" name="rteShptp52c12c28size26color65535routevcb"/>
        <xdr:cNvSpPr/>
      </xdr:nvSpPr>
      <xdr:spPr>
        <a:xfrm>
          <a:off x="25707975" y="1090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23</xdr:row>
      <xdr:rowOff>123825</xdr:rowOff>
    </xdr:from>
    <xdr:to>
      <xdr:col>52</xdr:col>
      <xdr:colOff>352425</xdr:colOff>
      <xdr:row>23</xdr:row>
      <xdr:rowOff>352425</xdr:rowOff>
    </xdr:to>
    <xdr:sp macro="" textlink="">
      <xdr:nvSpPr>
        <xdr:cNvPr id="42434" name="tp52c13c21size18color16777215route"/>
        <xdr:cNvSpPr/>
      </xdr:nvSpPr>
      <xdr:spPr>
        <a:xfrm>
          <a:off x="255936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24</xdr:row>
      <xdr:rowOff>123825</xdr:rowOff>
    </xdr:from>
    <xdr:to>
      <xdr:col>52</xdr:col>
      <xdr:colOff>352425</xdr:colOff>
      <xdr:row>24</xdr:row>
      <xdr:rowOff>352425</xdr:rowOff>
    </xdr:to>
    <xdr:sp macro="" textlink="">
      <xdr:nvSpPr>
        <xdr:cNvPr id="42435" name="tp52c13c22size18color16777215route"/>
        <xdr:cNvSpPr/>
      </xdr:nvSpPr>
      <xdr:spPr>
        <a:xfrm>
          <a:off x="2559367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25</xdr:row>
      <xdr:rowOff>123825</xdr:rowOff>
    </xdr:from>
    <xdr:to>
      <xdr:col>52</xdr:col>
      <xdr:colOff>352425</xdr:colOff>
      <xdr:row>25</xdr:row>
      <xdr:rowOff>352425</xdr:rowOff>
    </xdr:to>
    <xdr:sp macro="" textlink="">
      <xdr:nvSpPr>
        <xdr:cNvPr id="42436" name="tp52c13c23size18color16777215route"/>
        <xdr:cNvSpPr/>
      </xdr:nvSpPr>
      <xdr:spPr>
        <a:xfrm>
          <a:off x="2559367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26</xdr:row>
      <xdr:rowOff>123825</xdr:rowOff>
    </xdr:from>
    <xdr:to>
      <xdr:col>52</xdr:col>
      <xdr:colOff>352425</xdr:colOff>
      <xdr:row>26</xdr:row>
      <xdr:rowOff>352425</xdr:rowOff>
    </xdr:to>
    <xdr:sp macro="" textlink="">
      <xdr:nvSpPr>
        <xdr:cNvPr id="42437" name="tp52c13c24size18color16777215route"/>
        <xdr:cNvSpPr/>
      </xdr:nvSpPr>
      <xdr:spPr>
        <a:xfrm>
          <a:off x="2559367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27</xdr:row>
      <xdr:rowOff>123825</xdr:rowOff>
    </xdr:from>
    <xdr:to>
      <xdr:col>52</xdr:col>
      <xdr:colOff>352425</xdr:colOff>
      <xdr:row>27</xdr:row>
      <xdr:rowOff>352425</xdr:rowOff>
    </xdr:to>
    <xdr:sp macro="" textlink="">
      <xdr:nvSpPr>
        <xdr:cNvPr id="42438" name="tp52c13c25size18color16777215route"/>
        <xdr:cNvSpPr/>
      </xdr:nvSpPr>
      <xdr:spPr>
        <a:xfrm>
          <a:off x="2559367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28</xdr:row>
      <xdr:rowOff>123825</xdr:rowOff>
    </xdr:from>
    <xdr:to>
      <xdr:col>52</xdr:col>
      <xdr:colOff>352425</xdr:colOff>
      <xdr:row>28</xdr:row>
      <xdr:rowOff>352425</xdr:rowOff>
    </xdr:to>
    <xdr:sp macro="" textlink="">
      <xdr:nvSpPr>
        <xdr:cNvPr id="42439" name="tp52c13c26size18color16777215routevcb"/>
        <xdr:cNvSpPr/>
      </xdr:nvSpPr>
      <xdr:spPr>
        <a:xfrm>
          <a:off x="255936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238125</xdr:colOff>
      <xdr:row>28</xdr:row>
      <xdr:rowOff>238125</xdr:rowOff>
    </xdr:from>
    <xdr:to>
      <xdr:col>52</xdr:col>
      <xdr:colOff>238125</xdr:colOff>
      <xdr:row>28</xdr:row>
      <xdr:rowOff>238125</xdr:rowOff>
    </xdr:to>
    <xdr:sp macro="" textlink="">
      <xdr:nvSpPr>
        <xdr:cNvPr id="42440" name="rteShptp52c13c26size18color16777215routevcb"/>
        <xdr:cNvSpPr/>
      </xdr:nvSpPr>
      <xdr:spPr>
        <a:xfrm>
          <a:off x="25707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29</xdr:row>
      <xdr:rowOff>123825</xdr:rowOff>
    </xdr:from>
    <xdr:to>
      <xdr:col>52</xdr:col>
      <xdr:colOff>352425</xdr:colOff>
      <xdr:row>29</xdr:row>
      <xdr:rowOff>352425</xdr:rowOff>
    </xdr:to>
    <xdr:sp macro="" textlink="">
      <xdr:nvSpPr>
        <xdr:cNvPr id="42444" name="tp52c13c27size18color16777215route"/>
        <xdr:cNvSpPr/>
      </xdr:nvSpPr>
      <xdr:spPr>
        <a:xfrm>
          <a:off x="2559367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123825</xdr:colOff>
      <xdr:row>30</xdr:row>
      <xdr:rowOff>123825</xdr:rowOff>
    </xdr:from>
    <xdr:to>
      <xdr:col>52</xdr:col>
      <xdr:colOff>352425</xdr:colOff>
      <xdr:row>30</xdr:row>
      <xdr:rowOff>352425</xdr:rowOff>
    </xdr:to>
    <xdr:sp macro="" textlink="">
      <xdr:nvSpPr>
        <xdr:cNvPr id="42445" name="tp52c13c28size18color16777215route"/>
        <xdr:cNvSpPr/>
      </xdr:nvSpPr>
      <xdr:spPr>
        <a:xfrm>
          <a:off x="2559367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3</xdr:row>
      <xdr:rowOff>123825</xdr:rowOff>
    </xdr:from>
    <xdr:to>
      <xdr:col>53</xdr:col>
      <xdr:colOff>352425</xdr:colOff>
      <xdr:row>3</xdr:row>
      <xdr:rowOff>352425</xdr:rowOff>
    </xdr:to>
    <xdr:sp macro="" textlink="">
      <xdr:nvSpPr>
        <xdr:cNvPr id="42446" name="tp53c11c21size18color16777215route"/>
        <xdr:cNvSpPr/>
      </xdr:nvSpPr>
      <xdr:spPr>
        <a:xfrm>
          <a:off x="260699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4</xdr:row>
      <xdr:rowOff>123825</xdr:rowOff>
    </xdr:from>
    <xdr:to>
      <xdr:col>53</xdr:col>
      <xdr:colOff>352425</xdr:colOff>
      <xdr:row>4</xdr:row>
      <xdr:rowOff>352425</xdr:rowOff>
    </xdr:to>
    <xdr:sp macro="" textlink="">
      <xdr:nvSpPr>
        <xdr:cNvPr id="42447" name="tp53c11c22size18color16777215routevc"/>
        <xdr:cNvSpPr/>
      </xdr:nvSpPr>
      <xdr:spPr>
        <a:xfrm>
          <a:off x="260699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238125</xdr:colOff>
      <xdr:row>4</xdr:row>
      <xdr:rowOff>238125</xdr:rowOff>
    </xdr:from>
    <xdr:to>
      <xdr:col>53</xdr:col>
      <xdr:colOff>238125</xdr:colOff>
      <xdr:row>4</xdr:row>
      <xdr:rowOff>238125</xdr:rowOff>
    </xdr:to>
    <xdr:sp macro="" textlink="">
      <xdr:nvSpPr>
        <xdr:cNvPr id="42448" name="rteShptp53c11c22size18color16777215routevc"/>
        <xdr:cNvSpPr/>
      </xdr:nvSpPr>
      <xdr:spPr>
        <a:xfrm>
          <a:off x="26184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5</xdr:row>
      <xdr:rowOff>123825</xdr:rowOff>
    </xdr:from>
    <xdr:to>
      <xdr:col>53</xdr:col>
      <xdr:colOff>352425</xdr:colOff>
      <xdr:row>5</xdr:row>
      <xdr:rowOff>352425</xdr:rowOff>
    </xdr:to>
    <xdr:sp macro="" textlink="">
      <xdr:nvSpPr>
        <xdr:cNvPr id="42451" name="tp53c11c23size18color16777215route"/>
        <xdr:cNvSpPr/>
      </xdr:nvSpPr>
      <xdr:spPr>
        <a:xfrm>
          <a:off x="260699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6</xdr:row>
      <xdr:rowOff>123825</xdr:rowOff>
    </xdr:from>
    <xdr:to>
      <xdr:col>53</xdr:col>
      <xdr:colOff>352425</xdr:colOff>
      <xdr:row>6</xdr:row>
      <xdr:rowOff>352425</xdr:rowOff>
    </xdr:to>
    <xdr:sp macro="" textlink="">
      <xdr:nvSpPr>
        <xdr:cNvPr id="42452" name="tp53c11c24size18color16777215route"/>
        <xdr:cNvSpPr/>
      </xdr:nvSpPr>
      <xdr:spPr>
        <a:xfrm>
          <a:off x="260699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7</xdr:row>
      <xdr:rowOff>123825</xdr:rowOff>
    </xdr:from>
    <xdr:to>
      <xdr:col>53</xdr:col>
      <xdr:colOff>352425</xdr:colOff>
      <xdr:row>7</xdr:row>
      <xdr:rowOff>352425</xdr:rowOff>
    </xdr:to>
    <xdr:sp macro="" textlink="">
      <xdr:nvSpPr>
        <xdr:cNvPr id="42453" name="tp53c11c25size18color16777215route"/>
        <xdr:cNvSpPr/>
      </xdr:nvSpPr>
      <xdr:spPr>
        <a:xfrm>
          <a:off x="260699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8</xdr:row>
      <xdr:rowOff>123825</xdr:rowOff>
    </xdr:from>
    <xdr:to>
      <xdr:col>53</xdr:col>
      <xdr:colOff>352425</xdr:colOff>
      <xdr:row>8</xdr:row>
      <xdr:rowOff>352425</xdr:rowOff>
    </xdr:to>
    <xdr:sp macro="" textlink="">
      <xdr:nvSpPr>
        <xdr:cNvPr id="42454" name="tp53c11c26size18color16777215routeb"/>
        <xdr:cNvSpPr/>
      </xdr:nvSpPr>
      <xdr:spPr>
        <a:xfrm>
          <a:off x="260699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238125</xdr:colOff>
      <xdr:row>8</xdr:row>
      <xdr:rowOff>238125</xdr:rowOff>
    </xdr:from>
    <xdr:to>
      <xdr:col>53</xdr:col>
      <xdr:colOff>238125</xdr:colOff>
      <xdr:row>8</xdr:row>
      <xdr:rowOff>238125</xdr:rowOff>
    </xdr:to>
    <xdr:sp macro="" textlink="">
      <xdr:nvSpPr>
        <xdr:cNvPr id="42455" name="rteShptp53c11c26size18color16777215routeb"/>
        <xdr:cNvSpPr/>
      </xdr:nvSpPr>
      <xdr:spPr>
        <a:xfrm>
          <a:off x="26184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9</xdr:row>
      <xdr:rowOff>123825</xdr:rowOff>
    </xdr:from>
    <xdr:to>
      <xdr:col>53</xdr:col>
      <xdr:colOff>352425</xdr:colOff>
      <xdr:row>9</xdr:row>
      <xdr:rowOff>352425</xdr:rowOff>
    </xdr:to>
    <xdr:sp macro="" textlink="">
      <xdr:nvSpPr>
        <xdr:cNvPr id="42457" name="tp53c11c27size18color16777215route"/>
        <xdr:cNvSpPr/>
      </xdr:nvSpPr>
      <xdr:spPr>
        <a:xfrm>
          <a:off x="260699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10</xdr:row>
      <xdr:rowOff>123825</xdr:rowOff>
    </xdr:from>
    <xdr:to>
      <xdr:col>53</xdr:col>
      <xdr:colOff>352425</xdr:colOff>
      <xdr:row>10</xdr:row>
      <xdr:rowOff>352425</xdr:rowOff>
    </xdr:to>
    <xdr:sp macro="" textlink="">
      <xdr:nvSpPr>
        <xdr:cNvPr id="42458" name="tp53c11c28size18color16777215route"/>
        <xdr:cNvSpPr/>
      </xdr:nvSpPr>
      <xdr:spPr>
        <a:xfrm>
          <a:off x="260699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174625</xdr:colOff>
      <xdr:row>16</xdr:row>
      <xdr:rowOff>174625</xdr:rowOff>
    </xdr:from>
    <xdr:to>
      <xdr:col>53</xdr:col>
      <xdr:colOff>301625</xdr:colOff>
      <xdr:row>16</xdr:row>
      <xdr:rowOff>301625</xdr:rowOff>
    </xdr:to>
    <xdr:sp macro="" textlink="">
      <xdr:nvSpPr>
        <xdr:cNvPr id="42459" name="tp53c12c24size10color65535route"/>
        <xdr:cNvSpPr/>
      </xdr:nvSpPr>
      <xdr:spPr>
        <a:xfrm>
          <a:off x="26120725" y="893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73025</xdr:colOff>
      <xdr:row>18</xdr:row>
      <xdr:rowOff>73025</xdr:rowOff>
    </xdr:from>
    <xdr:to>
      <xdr:col>53</xdr:col>
      <xdr:colOff>403225</xdr:colOff>
      <xdr:row>18</xdr:row>
      <xdr:rowOff>403225</xdr:rowOff>
    </xdr:to>
    <xdr:sp macro="" textlink="">
      <xdr:nvSpPr>
        <xdr:cNvPr id="42460" name="tp53c12c26size26color65535routevcb"/>
        <xdr:cNvSpPr/>
      </xdr:nvSpPr>
      <xdr:spPr>
        <a:xfrm>
          <a:off x="2601912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238125</xdr:colOff>
      <xdr:row>18</xdr:row>
      <xdr:rowOff>238125</xdr:rowOff>
    </xdr:from>
    <xdr:to>
      <xdr:col>53</xdr:col>
      <xdr:colOff>238125</xdr:colOff>
      <xdr:row>18</xdr:row>
      <xdr:rowOff>238125</xdr:rowOff>
    </xdr:to>
    <xdr:sp macro="" textlink="">
      <xdr:nvSpPr>
        <xdr:cNvPr id="42461" name="rteShptp53c12c26size26color65535routevcb"/>
        <xdr:cNvSpPr/>
      </xdr:nvSpPr>
      <xdr:spPr>
        <a:xfrm>
          <a:off x="2618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20</xdr:row>
      <xdr:rowOff>123825</xdr:rowOff>
    </xdr:from>
    <xdr:to>
      <xdr:col>53</xdr:col>
      <xdr:colOff>352425</xdr:colOff>
      <xdr:row>20</xdr:row>
      <xdr:rowOff>352425</xdr:rowOff>
    </xdr:to>
    <xdr:sp macro="" textlink="">
      <xdr:nvSpPr>
        <xdr:cNvPr id="42465" name="tp53c12c28size18color65280route"/>
        <xdr:cNvSpPr/>
      </xdr:nvSpPr>
      <xdr:spPr>
        <a:xfrm>
          <a:off x="26069925" y="10791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23</xdr:row>
      <xdr:rowOff>123825</xdr:rowOff>
    </xdr:from>
    <xdr:to>
      <xdr:col>53</xdr:col>
      <xdr:colOff>352425</xdr:colOff>
      <xdr:row>23</xdr:row>
      <xdr:rowOff>352425</xdr:rowOff>
    </xdr:to>
    <xdr:sp macro="" textlink="">
      <xdr:nvSpPr>
        <xdr:cNvPr id="42466" name="tp53c13c21size18color16777215route"/>
        <xdr:cNvSpPr/>
      </xdr:nvSpPr>
      <xdr:spPr>
        <a:xfrm>
          <a:off x="2606992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24</xdr:row>
      <xdr:rowOff>123825</xdr:rowOff>
    </xdr:from>
    <xdr:to>
      <xdr:col>53</xdr:col>
      <xdr:colOff>352425</xdr:colOff>
      <xdr:row>24</xdr:row>
      <xdr:rowOff>352425</xdr:rowOff>
    </xdr:to>
    <xdr:sp macro="" textlink="">
      <xdr:nvSpPr>
        <xdr:cNvPr id="42467" name="tp53c13c22size18color16777215route"/>
        <xdr:cNvSpPr/>
      </xdr:nvSpPr>
      <xdr:spPr>
        <a:xfrm>
          <a:off x="2606992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25</xdr:row>
      <xdr:rowOff>123825</xdr:rowOff>
    </xdr:from>
    <xdr:to>
      <xdr:col>53</xdr:col>
      <xdr:colOff>352425</xdr:colOff>
      <xdr:row>25</xdr:row>
      <xdr:rowOff>352425</xdr:rowOff>
    </xdr:to>
    <xdr:sp macro="" textlink="">
      <xdr:nvSpPr>
        <xdr:cNvPr id="42468" name="tp53c13c23size18color16777215route"/>
        <xdr:cNvSpPr/>
      </xdr:nvSpPr>
      <xdr:spPr>
        <a:xfrm>
          <a:off x="2606992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26</xdr:row>
      <xdr:rowOff>123825</xdr:rowOff>
    </xdr:from>
    <xdr:to>
      <xdr:col>53</xdr:col>
      <xdr:colOff>352425</xdr:colOff>
      <xdr:row>26</xdr:row>
      <xdr:rowOff>352425</xdr:rowOff>
    </xdr:to>
    <xdr:sp macro="" textlink="">
      <xdr:nvSpPr>
        <xdr:cNvPr id="42469" name="tp53c13c24size18color16777215route"/>
        <xdr:cNvSpPr/>
      </xdr:nvSpPr>
      <xdr:spPr>
        <a:xfrm>
          <a:off x="2606992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27</xdr:row>
      <xdr:rowOff>123825</xdr:rowOff>
    </xdr:from>
    <xdr:to>
      <xdr:col>53</xdr:col>
      <xdr:colOff>352425</xdr:colOff>
      <xdr:row>27</xdr:row>
      <xdr:rowOff>352425</xdr:rowOff>
    </xdr:to>
    <xdr:sp macro="" textlink="">
      <xdr:nvSpPr>
        <xdr:cNvPr id="42470" name="tp53c13c25size18color16777215route"/>
        <xdr:cNvSpPr/>
      </xdr:nvSpPr>
      <xdr:spPr>
        <a:xfrm>
          <a:off x="2606992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28</xdr:row>
      <xdr:rowOff>123825</xdr:rowOff>
    </xdr:from>
    <xdr:to>
      <xdr:col>53</xdr:col>
      <xdr:colOff>352425</xdr:colOff>
      <xdr:row>28</xdr:row>
      <xdr:rowOff>352425</xdr:rowOff>
    </xdr:to>
    <xdr:sp macro="" textlink="">
      <xdr:nvSpPr>
        <xdr:cNvPr id="42471" name="tp53c13c26size18color16777215routevcb"/>
        <xdr:cNvSpPr/>
      </xdr:nvSpPr>
      <xdr:spPr>
        <a:xfrm>
          <a:off x="2606992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238125</xdr:colOff>
      <xdr:row>28</xdr:row>
      <xdr:rowOff>238125</xdr:rowOff>
    </xdr:from>
    <xdr:to>
      <xdr:col>53</xdr:col>
      <xdr:colOff>238125</xdr:colOff>
      <xdr:row>28</xdr:row>
      <xdr:rowOff>238125</xdr:rowOff>
    </xdr:to>
    <xdr:sp macro="" textlink="">
      <xdr:nvSpPr>
        <xdr:cNvPr id="42472" name="rteShptp53c13c26size18color16777215routevcb"/>
        <xdr:cNvSpPr/>
      </xdr:nvSpPr>
      <xdr:spPr>
        <a:xfrm>
          <a:off x="26184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29</xdr:row>
      <xdr:rowOff>123825</xdr:rowOff>
    </xdr:from>
    <xdr:to>
      <xdr:col>53</xdr:col>
      <xdr:colOff>352425</xdr:colOff>
      <xdr:row>29</xdr:row>
      <xdr:rowOff>352425</xdr:rowOff>
    </xdr:to>
    <xdr:sp macro="" textlink="">
      <xdr:nvSpPr>
        <xdr:cNvPr id="42476" name="tp53c13c27size18color16777215route"/>
        <xdr:cNvSpPr/>
      </xdr:nvSpPr>
      <xdr:spPr>
        <a:xfrm>
          <a:off x="2606992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123825</xdr:colOff>
      <xdr:row>30</xdr:row>
      <xdr:rowOff>123825</xdr:rowOff>
    </xdr:from>
    <xdr:to>
      <xdr:col>53</xdr:col>
      <xdr:colOff>352425</xdr:colOff>
      <xdr:row>30</xdr:row>
      <xdr:rowOff>352425</xdr:rowOff>
    </xdr:to>
    <xdr:sp macro="" textlink="">
      <xdr:nvSpPr>
        <xdr:cNvPr id="42477" name="tp53c13c28size18color16777215route"/>
        <xdr:cNvSpPr/>
      </xdr:nvSpPr>
      <xdr:spPr>
        <a:xfrm>
          <a:off x="2606992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174625</xdr:colOff>
      <xdr:row>4</xdr:row>
      <xdr:rowOff>174625</xdr:rowOff>
    </xdr:from>
    <xdr:to>
      <xdr:col>54</xdr:col>
      <xdr:colOff>301625</xdr:colOff>
      <xdr:row>4</xdr:row>
      <xdr:rowOff>301625</xdr:rowOff>
    </xdr:to>
    <xdr:sp macro="" textlink="">
      <xdr:nvSpPr>
        <xdr:cNvPr id="42478" name="tp54c11c22size10color65535route"/>
        <xdr:cNvSpPr/>
      </xdr:nvSpPr>
      <xdr:spPr>
        <a:xfrm>
          <a:off x="26596975" y="3222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73025</xdr:colOff>
      <xdr:row>5</xdr:row>
      <xdr:rowOff>73025</xdr:rowOff>
    </xdr:from>
    <xdr:to>
      <xdr:col>54</xdr:col>
      <xdr:colOff>403225</xdr:colOff>
      <xdr:row>5</xdr:row>
      <xdr:rowOff>403225</xdr:rowOff>
    </xdr:to>
    <xdr:sp macro="" textlink="">
      <xdr:nvSpPr>
        <xdr:cNvPr id="42479" name="tp54c11c23size26color65280routevc"/>
        <xdr:cNvSpPr/>
      </xdr:nvSpPr>
      <xdr:spPr>
        <a:xfrm>
          <a:off x="26495375" y="35972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238125</xdr:colOff>
      <xdr:row>5</xdr:row>
      <xdr:rowOff>238125</xdr:rowOff>
    </xdr:from>
    <xdr:to>
      <xdr:col>54</xdr:col>
      <xdr:colOff>238125</xdr:colOff>
      <xdr:row>5</xdr:row>
      <xdr:rowOff>238125</xdr:rowOff>
    </xdr:to>
    <xdr:sp macro="" textlink="">
      <xdr:nvSpPr>
        <xdr:cNvPr id="42480" name="rteShptp54c11c23size26color65280routevc"/>
        <xdr:cNvSpPr/>
      </xdr:nvSpPr>
      <xdr:spPr>
        <a:xfrm>
          <a:off x="266604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174625</xdr:colOff>
      <xdr:row>6</xdr:row>
      <xdr:rowOff>174625</xdr:rowOff>
    </xdr:from>
    <xdr:to>
      <xdr:col>54</xdr:col>
      <xdr:colOff>301625</xdr:colOff>
      <xdr:row>6</xdr:row>
      <xdr:rowOff>301625</xdr:rowOff>
    </xdr:to>
    <xdr:sp macro="" textlink="">
      <xdr:nvSpPr>
        <xdr:cNvPr id="42483" name="tp54c11c24size10color65280route"/>
        <xdr:cNvSpPr/>
      </xdr:nvSpPr>
      <xdr:spPr>
        <a:xfrm>
          <a:off x="26596975" y="4175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123825</xdr:colOff>
      <xdr:row>7</xdr:row>
      <xdr:rowOff>123825</xdr:rowOff>
    </xdr:from>
    <xdr:to>
      <xdr:col>54</xdr:col>
      <xdr:colOff>352425</xdr:colOff>
      <xdr:row>7</xdr:row>
      <xdr:rowOff>352425</xdr:rowOff>
    </xdr:to>
    <xdr:sp macro="" textlink="">
      <xdr:nvSpPr>
        <xdr:cNvPr id="42484" name="tp54c11c25size18color65280route"/>
        <xdr:cNvSpPr/>
      </xdr:nvSpPr>
      <xdr:spPr>
        <a:xfrm>
          <a:off x="26546175" y="4600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174625</xdr:colOff>
      <xdr:row>8</xdr:row>
      <xdr:rowOff>174625</xdr:rowOff>
    </xdr:from>
    <xdr:to>
      <xdr:col>54</xdr:col>
      <xdr:colOff>301625</xdr:colOff>
      <xdr:row>8</xdr:row>
      <xdr:rowOff>301625</xdr:rowOff>
    </xdr:to>
    <xdr:sp macro="" textlink="">
      <xdr:nvSpPr>
        <xdr:cNvPr id="42485" name="tp54c11c26size10color65280routeb"/>
        <xdr:cNvSpPr/>
      </xdr:nvSpPr>
      <xdr:spPr>
        <a:xfrm>
          <a:off x="26596975" y="512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238125</xdr:colOff>
      <xdr:row>8</xdr:row>
      <xdr:rowOff>238125</xdr:rowOff>
    </xdr:from>
    <xdr:to>
      <xdr:col>54</xdr:col>
      <xdr:colOff>238125</xdr:colOff>
      <xdr:row>8</xdr:row>
      <xdr:rowOff>238125</xdr:rowOff>
    </xdr:to>
    <xdr:sp macro="" textlink="">
      <xdr:nvSpPr>
        <xdr:cNvPr id="42486" name="rteShptp54c11c26size10color65280routeb"/>
        <xdr:cNvSpPr/>
      </xdr:nvSpPr>
      <xdr:spPr>
        <a:xfrm>
          <a:off x="26660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174625</xdr:colOff>
      <xdr:row>14</xdr:row>
      <xdr:rowOff>174625</xdr:rowOff>
    </xdr:from>
    <xdr:to>
      <xdr:col>54</xdr:col>
      <xdr:colOff>301625</xdr:colOff>
      <xdr:row>14</xdr:row>
      <xdr:rowOff>301625</xdr:rowOff>
    </xdr:to>
    <xdr:sp macro="" textlink="">
      <xdr:nvSpPr>
        <xdr:cNvPr id="42488" name="tp54c12c22size10color255route"/>
        <xdr:cNvSpPr/>
      </xdr:nvSpPr>
      <xdr:spPr>
        <a:xfrm>
          <a:off x="26596975" y="798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123825</xdr:colOff>
      <xdr:row>16</xdr:row>
      <xdr:rowOff>123825</xdr:rowOff>
    </xdr:from>
    <xdr:to>
      <xdr:col>54</xdr:col>
      <xdr:colOff>352425</xdr:colOff>
      <xdr:row>16</xdr:row>
      <xdr:rowOff>352425</xdr:rowOff>
    </xdr:to>
    <xdr:sp macro="" textlink="">
      <xdr:nvSpPr>
        <xdr:cNvPr id="42489" name="tp54c12c24size18color65535route"/>
        <xdr:cNvSpPr/>
      </xdr:nvSpPr>
      <xdr:spPr>
        <a:xfrm>
          <a:off x="26546175" y="888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174625</xdr:colOff>
      <xdr:row>17</xdr:row>
      <xdr:rowOff>174625</xdr:rowOff>
    </xdr:from>
    <xdr:to>
      <xdr:col>54</xdr:col>
      <xdr:colOff>301625</xdr:colOff>
      <xdr:row>17</xdr:row>
      <xdr:rowOff>301625</xdr:rowOff>
    </xdr:to>
    <xdr:sp macro="" textlink="">
      <xdr:nvSpPr>
        <xdr:cNvPr id="42490" name="tp54c12c25size10color65535route"/>
        <xdr:cNvSpPr/>
      </xdr:nvSpPr>
      <xdr:spPr>
        <a:xfrm>
          <a:off x="26596975" y="94138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73025</xdr:colOff>
      <xdr:row>18</xdr:row>
      <xdr:rowOff>73025</xdr:rowOff>
    </xdr:from>
    <xdr:to>
      <xdr:col>54</xdr:col>
      <xdr:colOff>403225</xdr:colOff>
      <xdr:row>18</xdr:row>
      <xdr:rowOff>403225</xdr:rowOff>
    </xdr:to>
    <xdr:sp macro="" textlink="">
      <xdr:nvSpPr>
        <xdr:cNvPr id="42491" name="tp54c12c26size26color65535routevcb"/>
        <xdr:cNvSpPr/>
      </xdr:nvSpPr>
      <xdr:spPr>
        <a:xfrm>
          <a:off x="2649537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238125</xdr:colOff>
      <xdr:row>18</xdr:row>
      <xdr:rowOff>238125</xdr:rowOff>
    </xdr:from>
    <xdr:to>
      <xdr:col>54</xdr:col>
      <xdr:colOff>238125</xdr:colOff>
      <xdr:row>18</xdr:row>
      <xdr:rowOff>238125</xdr:rowOff>
    </xdr:to>
    <xdr:sp macro="" textlink="">
      <xdr:nvSpPr>
        <xdr:cNvPr id="42492" name="rteShptp54c12c26size26color65535routevcb"/>
        <xdr:cNvSpPr/>
      </xdr:nvSpPr>
      <xdr:spPr>
        <a:xfrm>
          <a:off x="2666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174625</xdr:colOff>
      <xdr:row>24</xdr:row>
      <xdr:rowOff>174625</xdr:rowOff>
    </xdr:from>
    <xdr:to>
      <xdr:col>54</xdr:col>
      <xdr:colOff>301625</xdr:colOff>
      <xdr:row>24</xdr:row>
      <xdr:rowOff>301625</xdr:rowOff>
    </xdr:to>
    <xdr:sp macro="" textlink="">
      <xdr:nvSpPr>
        <xdr:cNvPr id="42496" name="tp54c13c22size10color65535route"/>
        <xdr:cNvSpPr/>
      </xdr:nvSpPr>
      <xdr:spPr>
        <a:xfrm>
          <a:off x="26596975" y="1274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123825</xdr:colOff>
      <xdr:row>25</xdr:row>
      <xdr:rowOff>123825</xdr:rowOff>
    </xdr:from>
    <xdr:to>
      <xdr:col>54</xdr:col>
      <xdr:colOff>352425</xdr:colOff>
      <xdr:row>25</xdr:row>
      <xdr:rowOff>352425</xdr:rowOff>
    </xdr:to>
    <xdr:sp macro="" textlink="">
      <xdr:nvSpPr>
        <xdr:cNvPr id="42497" name="tp54c13c23size18color65280route"/>
        <xdr:cNvSpPr/>
      </xdr:nvSpPr>
      <xdr:spPr>
        <a:xfrm>
          <a:off x="26546175" y="131730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174625</xdr:colOff>
      <xdr:row>26</xdr:row>
      <xdr:rowOff>174625</xdr:rowOff>
    </xdr:from>
    <xdr:to>
      <xdr:col>54</xdr:col>
      <xdr:colOff>301625</xdr:colOff>
      <xdr:row>26</xdr:row>
      <xdr:rowOff>301625</xdr:rowOff>
    </xdr:to>
    <xdr:sp macro="" textlink="">
      <xdr:nvSpPr>
        <xdr:cNvPr id="42498" name="tp54c13c24size10color65280route"/>
        <xdr:cNvSpPr/>
      </xdr:nvSpPr>
      <xdr:spPr>
        <a:xfrm>
          <a:off x="26596975" y="13700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73025</xdr:colOff>
      <xdr:row>28</xdr:row>
      <xdr:rowOff>73025</xdr:rowOff>
    </xdr:from>
    <xdr:to>
      <xdr:col>54</xdr:col>
      <xdr:colOff>403225</xdr:colOff>
      <xdr:row>28</xdr:row>
      <xdr:rowOff>403225</xdr:rowOff>
    </xdr:to>
    <xdr:sp macro="" textlink="">
      <xdr:nvSpPr>
        <xdr:cNvPr id="42499" name="tp54c13c26size26color65280routevcb"/>
        <xdr:cNvSpPr/>
      </xdr:nvSpPr>
      <xdr:spPr>
        <a:xfrm>
          <a:off x="2649537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238125</xdr:colOff>
      <xdr:row>28</xdr:row>
      <xdr:rowOff>238125</xdr:rowOff>
    </xdr:from>
    <xdr:to>
      <xdr:col>54</xdr:col>
      <xdr:colOff>238125</xdr:colOff>
      <xdr:row>28</xdr:row>
      <xdr:rowOff>238125</xdr:rowOff>
    </xdr:to>
    <xdr:sp macro="" textlink="">
      <xdr:nvSpPr>
        <xdr:cNvPr id="42500" name="rteShptp54c13c26size26color65280routevcb"/>
        <xdr:cNvSpPr/>
      </xdr:nvSpPr>
      <xdr:spPr>
        <a:xfrm>
          <a:off x="26660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73025</xdr:colOff>
      <xdr:row>4</xdr:row>
      <xdr:rowOff>73025</xdr:rowOff>
    </xdr:from>
    <xdr:to>
      <xdr:col>55</xdr:col>
      <xdr:colOff>403225</xdr:colOff>
      <xdr:row>4</xdr:row>
      <xdr:rowOff>403225</xdr:rowOff>
    </xdr:to>
    <xdr:sp macro="" textlink="">
      <xdr:nvSpPr>
        <xdr:cNvPr id="42504" name="tp55c11c22size26color255routevc"/>
        <xdr:cNvSpPr/>
      </xdr:nvSpPr>
      <xdr:spPr>
        <a:xfrm>
          <a:off x="2697162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238125</xdr:colOff>
      <xdr:row>4</xdr:row>
      <xdr:rowOff>238125</xdr:rowOff>
    </xdr:from>
    <xdr:to>
      <xdr:col>55</xdr:col>
      <xdr:colOff>238125</xdr:colOff>
      <xdr:row>4</xdr:row>
      <xdr:rowOff>238125</xdr:rowOff>
    </xdr:to>
    <xdr:sp macro="" textlink="">
      <xdr:nvSpPr>
        <xdr:cNvPr id="42505" name="rteShptp55c11c22size26color255routevc"/>
        <xdr:cNvSpPr/>
      </xdr:nvSpPr>
      <xdr:spPr>
        <a:xfrm>
          <a:off x="27136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238125</xdr:colOff>
      <xdr:row>8</xdr:row>
      <xdr:rowOff>238125</xdr:rowOff>
    </xdr:from>
    <xdr:to>
      <xdr:col>55</xdr:col>
      <xdr:colOff>238125</xdr:colOff>
      <xdr:row>8</xdr:row>
      <xdr:rowOff>238125</xdr:rowOff>
    </xdr:to>
    <xdr:sp macro="" textlink="">
      <xdr:nvSpPr>
        <xdr:cNvPr id="42508" name="rteShptp55c11c26size0color0routeb"/>
        <xdr:cNvSpPr/>
      </xdr:nvSpPr>
      <xdr:spPr>
        <a:xfrm>
          <a:off x="27136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73025</xdr:colOff>
      <xdr:row>14</xdr:row>
      <xdr:rowOff>73025</xdr:rowOff>
    </xdr:from>
    <xdr:to>
      <xdr:col>55</xdr:col>
      <xdr:colOff>403225</xdr:colOff>
      <xdr:row>14</xdr:row>
      <xdr:rowOff>403225</xdr:rowOff>
    </xdr:to>
    <xdr:sp macro="" textlink="">
      <xdr:nvSpPr>
        <xdr:cNvPr id="42510" name="tp55c12c22size26color255routevc"/>
        <xdr:cNvSpPr/>
      </xdr:nvSpPr>
      <xdr:spPr>
        <a:xfrm>
          <a:off x="2697162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238125</xdr:colOff>
      <xdr:row>14</xdr:row>
      <xdr:rowOff>238125</xdr:rowOff>
    </xdr:from>
    <xdr:to>
      <xdr:col>55</xdr:col>
      <xdr:colOff>238125</xdr:colOff>
      <xdr:row>14</xdr:row>
      <xdr:rowOff>238125</xdr:rowOff>
    </xdr:to>
    <xdr:sp macro="" textlink="">
      <xdr:nvSpPr>
        <xdr:cNvPr id="42511" name="rteShptp55c12c22size26color255routevc"/>
        <xdr:cNvSpPr/>
      </xdr:nvSpPr>
      <xdr:spPr>
        <a:xfrm>
          <a:off x="271367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238125</xdr:colOff>
      <xdr:row>18</xdr:row>
      <xdr:rowOff>238125</xdr:rowOff>
    </xdr:from>
    <xdr:to>
      <xdr:col>55</xdr:col>
      <xdr:colOff>238125</xdr:colOff>
      <xdr:row>18</xdr:row>
      <xdr:rowOff>238125</xdr:rowOff>
    </xdr:to>
    <xdr:sp macro="" textlink="">
      <xdr:nvSpPr>
        <xdr:cNvPr id="42514" name="rteShptp55c12c26size0color0routeb"/>
        <xdr:cNvSpPr/>
      </xdr:nvSpPr>
      <xdr:spPr>
        <a:xfrm>
          <a:off x="27136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73025</xdr:colOff>
      <xdr:row>24</xdr:row>
      <xdr:rowOff>73025</xdr:rowOff>
    </xdr:from>
    <xdr:to>
      <xdr:col>55</xdr:col>
      <xdr:colOff>403225</xdr:colOff>
      <xdr:row>24</xdr:row>
      <xdr:rowOff>403225</xdr:rowOff>
    </xdr:to>
    <xdr:sp macro="" textlink="">
      <xdr:nvSpPr>
        <xdr:cNvPr id="42516" name="tp55c13c22size26color255routevc">
          <a:hlinkClick xmlns:r="http://schemas.openxmlformats.org/officeDocument/2006/relationships" r:id="" tooltip="Chris Shaw:&#10;more urgent, want to call"/>
        </xdr:cNvPr>
        <xdr:cNvSpPr/>
      </xdr:nvSpPr>
      <xdr:spPr>
        <a:xfrm>
          <a:off x="26971625" y="12646025"/>
          <a:ext cx="330200" cy="330200"/>
        </a:xfrm>
        <a:prstGeom prst="ellipse">
          <a:avLst/>
        </a:prstGeom>
        <a:solidFill>
          <a:srgbClr val="FF00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238125</xdr:colOff>
      <xdr:row>24</xdr:row>
      <xdr:rowOff>238125</xdr:rowOff>
    </xdr:from>
    <xdr:to>
      <xdr:col>55</xdr:col>
      <xdr:colOff>238125</xdr:colOff>
      <xdr:row>24</xdr:row>
      <xdr:rowOff>238125</xdr:rowOff>
    </xdr:to>
    <xdr:sp macro="" textlink="">
      <xdr:nvSpPr>
        <xdr:cNvPr id="42517" name="rteShptp55c13c22size26color255routevc"/>
        <xdr:cNvSpPr/>
      </xdr:nvSpPr>
      <xdr:spPr>
        <a:xfrm>
          <a:off x="27136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238125</xdr:colOff>
      <xdr:row>28</xdr:row>
      <xdr:rowOff>238125</xdr:rowOff>
    </xdr:from>
    <xdr:to>
      <xdr:col>55</xdr:col>
      <xdr:colOff>238125</xdr:colOff>
      <xdr:row>28</xdr:row>
      <xdr:rowOff>238125</xdr:rowOff>
    </xdr:to>
    <xdr:sp macro="" textlink="">
      <xdr:nvSpPr>
        <xdr:cNvPr id="42520" name="rteShptp55c13c26size0color0routeb"/>
        <xdr:cNvSpPr/>
      </xdr:nvSpPr>
      <xdr:spPr>
        <a:xfrm>
          <a:off x="27136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73025</xdr:colOff>
      <xdr:row>4</xdr:row>
      <xdr:rowOff>73025</xdr:rowOff>
    </xdr:from>
    <xdr:to>
      <xdr:col>56</xdr:col>
      <xdr:colOff>403225</xdr:colOff>
      <xdr:row>4</xdr:row>
      <xdr:rowOff>403225</xdr:rowOff>
    </xdr:to>
    <xdr:sp macro="" textlink="">
      <xdr:nvSpPr>
        <xdr:cNvPr id="42522" name="tp56c11c22size26color65535routevc"/>
        <xdr:cNvSpPr/>
      </xdr:nvSpPr>
      <xdr:spPr>
        <a:xfrm>
          <a:off x="2744787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238125</xdr:colOff>
      <xdr:row>4</xdr:row>
      <xdr:rowOff>238125</xdr:rowOff>
    </xdr:from>
    <xdr:to>
      <xdr:col>56</xdr:col>
      <xdr:colOff>238125</xdr:colOff>
      <xdr:row>4</xdr:row>
      <xdr:rowOff>238125</xdr:rowOff>
    </xdr:to>
    <xdr:sp macro="" textlink="">
      <xdr:nvSpPr>
        <xdr:cNvPr id="42523" name="rteShptp56c11c22size26color65535routevc"/>
        <xdr:cNvSpPr/>
      </xdr:nvSpPr>
      <xdr:spPr>
        <a:xfrm>
          <a:off x="2761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174625</xdr:colOff>
      <xdr:row>8</xdr:row>
      <xdr:rowOff>174625</xdr:rowOff>
    </xdr:from>
    <xdr:to>
      <xdr:col>56</xdr:col>
      <xdr:colOff>301625</xdr:colOff>
      <xdr:row>8</xdr:row>
      <xdr:rowOff>301625</xdr:rowOff>
    </xdr:to>
    <xdr:sp macro="" textlink="">
      <xdr:nvSpPr>
        <xdr:cNvPr id="42526" name="tp56c11c26size10color65535routeb"/>
        <xdr:cNvSpPr/>
      </xdr:nvSpPr>
      <xdr:spPr>
        <a:xfrm>
          <a:off x="27549475" y="512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238125</xdr:colOff>
      <xdr:row>8</xdr:row>
      <xdr:rowOff>238125</xdr:rowOff>
    </xdr:from>
    <xdr:to>
      <xdr:col>56</xdr:col>
      <xdr:colOff>238125</xdr:colOff>
      <xdr:row>8</xdr:row>
      <xdr:rowOff>238125</xdr:rowOff>
    </xdr:to>
    <xdr:sp macro="" textlink="">
      <xdr:nvSpPr>
        <xdr:cNvPr id="42527" name="rteShptp56c11c26size10color65535routeb"/>
        <xdr:cNvSpPr/>
      </xdr:nvSpPr>
      <xdr:spPr>
        <a:xfrm>
          <a:off x="27612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13</xdr:row>
      <xdr:rowOff>123825</xdr:rowOff>
    </xdr:from>
    <xdr:to>
      <xdr:col>56</xdr:col>
      <xdr:colOff>352425</xdr:colOff>
      <xdr:row>13</xdr:row>
      <xdr:rowOff>352425</xdr:rowOff>
    </xdr:to>
    <xdr:sp macro="" textlink="">
      <xdr:nvSpPr>
        <xdr:cNvPr id="42529" name="tp56c12c21size18color16777215route"/>
        <xdr:cNvSpPr/>
      </xdr:nvSpPr>
      <xdr:spPr>
        <a:xfrm>
          <a:off x="2749867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14</xdr:row>
      <xdr:rowOff>123825</xdr:rowOff>
    </xdr:from>
    <xdr:to>
      <xdr:col>56</xdr:col>
      <xdr:colOff>352425</xdr:colOff>
      <xdr:row>14</xdr:row>
      <xdr:rowOff>352425</xdr:rowOff>
    </xdr:to>
    <xdr:sp macro="" textlink="">
      <xdr:nvSpPr>
        <xdr:cNvPr id="42530" name="tp56c12c22size18color16777215routevc"/>
        <xdr:cNvSpPr/>
      </xdr:nvSpPr>
      <xdr:spPr>
        <a:xfrm>
          <a:off x="274986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238125</xdr:colOff>
      <xdr:row>14</xdr:row>
      <xdr:rowOff>238125</xdr:rowOff>
    </xdr:from>
    <xdr:to>
      <xdr:col>56</xdr:col>
      <xdr:colOff>238125</xdr:colOff>
      <xdr:row>14</xdr:row>
      <xdr:rowOff>238125</xdr:rowOff>
    </xdr:to>
    <xdr:sp macro="" textlink="">
      <xdr:nvSpPr>
        <xdr:cNvPr id="42531" name="rteShptp56c12c22size18color16777215routevc"/>
        <xdr:cNvSpPr/>
      </xdr:nvSpPr>
      <xdr:spPr>
        <a:xfrm>
          <a:off x="276129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15</xdr:row>
      <xdr:rowOff>123825</xdr:rowOff>
    </xdr:from>
    <xdr:to>
      <xdr:col>56</xdr:col>
      <xdr:colOff>352425</xdr:colOff>
      <xdr:row>15</xdr:row>
      <xdr:rowOff>352425</xdr:rowOff>
    </xdr:to>
    <xdr:sp macro="" textlink="">
      <xdr:nvSpPr>
        <xdr:cNvPr id="42534" name="tp56c12c23size18color16777215route"/>
        <xdr:cNvSpPr/>
      </xdr:nvSpPr>
      <xdr:spPr>
        <a:xfrm>
          <a:off x="2749867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16</xdr:row>
      <xdr:rowOff>123825</xdr:rowOff>
    </xdr:from>
    <xdr:to>
      <xdr:col>56</xdr:col>
      <xdr:colOff>352425</xdr:colOff>
      <xdr:row>16</xdr:row>
      <xdr:rowOff>352425</xdr:rowOff>
    </xdr:to>
    <xdr:sp macro="" textlink="">
      <xdr:nvSpPr>
        <xdr:cNvPr id="42535" name="tp56c12c24size18color16777215route"/>
        <xdr:cNvSpPr/>
      </xdr:nvSpPr>
      <xdr:spPr>
        <a:xfrm>
          <a:off x="2749867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17</xdr:row>
      <xdr:rowOff>123825</xdr:rowOff>
    </xdr:from>
    <xdr:to>
      <xdr:col>56</xdr:col>
      <xdr:colOff>352425</xdr:colOff>
      <xdr:row>17</xdr:row>
      <xdr:rowOff>352425</xdr:rowOff>
    </xdr:to>
    <xdr:sp macro="" textlink="">
      <xdr:nvSpPr>
        <xdr:cNvPr id="42536" name="tp56c12c25size18color16777215route"/>
        <xdr:cNvSpPr/>
      </xdr:nvSpPr>
      <xdr:spPr>
        <a:xfrm>
          <a:off x="2749867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18</xdr:row>
      <xdr:rowOff>123825</xdr:rowOff>
    </xdr:from>
    <xdr:to>
      <xdr:col>56</xdr:col>
      <xdr:colOff>352425</xdr:colOff>
      <xdr:row>18</xdr:row>
      <xdr:rowOff>352425</xdr:rowOff>
    </xdr:to>
    <xdr:sp macro="" textlink="">
      <xdr:nvSpPr>
        <xdr:cNvPr id="42537" name="tp56c12c26size18color16777215routeb"/>
        <xdr:cNvSpPr/>
      </xdr:nvSpPr>
      <xdr:spPr>
        <a:xfrm>
          <a:off x="2749867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238125</xdr:colOff>
      <xdr:row>18</xdr:row>
      <xdr:rowOff>238125</xdr:rowOff>
    </xdr:from>
    <xdr:to>
      <xdr:col>56</xdr:col>
      <xdr:colOff>238125</xdr:colOff>
      <xdr:row>18</xdr:row>
      <xdr:rowOff>238125</xdr:rowOff>
    </xdr:to>
    <xdr:sp macro="" textlink="">
      <xdr:nvSpPr>
        <xdr:cNvPr id="42538" name="rteShptp56c12c26size18color16777215routeb"/>
        <xdr:cNvSpPr/>
      </xdr:nvSpPr>
      <xdr:spPr>
        <a:xfrm>
          <a:off x="27612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19</xdr:row>
      <xdr:rowOff>123825</xdr:rowOff>
    </xdr:from>
    <xdr:to>
      <xdr:col>56</xdr:col>
      <xdr:colOff>352425</xdr:colOff>
      <xdr:row>19</xdr:row>
      <xdr:rowOff>352425</xdr:rowOff>
    </xdr:to>
    <xdr:sp macro="" textlink="">
      <xdr:nvSpPr>
        <xdr:cNvPr id="42540" name="tp56c12c27size18color16777215route"/>
        <xdr:cNvSpPr/>
      </xdr:nvSpPr>
      <xdr:spPr>
        <a:xfrm>
          <a:off x="2749867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20</xdr:row>
      <xdr:rowOff>123825</xdr:rowOff>
    </xdr:from>
    <xdr:to>
      <xdr:col>56</xdr:col>
      <xdr:colOff>352425</xdr:colOff>
      <xdr:row>20</xdr:row>
      <xdr:rowOff>352425</xdr:rowOff>
    </xdr:to>
    <xdr:sp macro="" textlink="">
      <xdr:nvSpPr>
        <xdr:cNvPr id="42541" name="tp56c12c28size18color16777215route"/>
        <xdr:cNvSpPr/>
      </xdr:nvSpPr>
      <xdr:spPr>
        <a:xfrm>
          <a:off x="2749867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23</xdr:row>
      <xdr:rowOff>123825</xdr:rowOff>
    </xdr:from>
    <xdr:to>
      <xdr:col>56</xdr:col>
      <xdr:colOff>352425</xdr:colOff>
      <xdr:row>23</xdr:row>
      <xdr:rowOff>352425</xdr:rowOff>
    </xdr:to>
    <xdr:sp macro="" textlink="">
      <xdr:nvSpPr>
        <xdr:cNvPr id="42542" name="tp56c13c21size18color16777215route"/>
        <xdr:cNvSpPr/>
      </xdr:nvSpPr>
      <xdr:spPr>
        <a:xfrm>
          <a:off x="274986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24</xdr:row>
      <xdr:rowOff>123825</xdr:rowOff>
    </xdr:from>
    <xdr:to>
      <xdr:col>56</xdr:col>
      <xdr:colOff>352425</xdr:colOff>
      <xdr:row>24</xdr:row>
      <xdr:rowOff>352425</xdr:rowOff>
    </xdr:to>
    <xdr:sp macro="" textlink="">
      <xdr:nvSpPr>
        <xdr:cNvPr id="42543" name="tp56c13c22size18color16777215routevc"/>
        <xdr:cNvSpPr/>
      </xdr:nvSpPr>
      <xdr:spPr>
        <a:xfrm>
          <a:off x="2749867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238125</xdr:colOff>
      <xdr:row>24</xdr:row>
      <xdr:rowOff>238125</xdr:rowOff>
    </xdr:from>
    <xdr:to>
      <xdr:col>56</xdr:col>
      <xdr:colOff>238125</xdr:colOff>
      <xdr:row>24</xdr:row>
      <xdr:rowOff>238125</xdr:rowOff>
    </xdr:to>
    <xdr:sp macro="" textlink="">
      <xdr:nvSpPr>
        <xdr:cNvPr id="42544" name="rteShptp56c13c22size18color16777215routevc"/>
        <xdr:cNvSpPr/>
      </xdr:nvSpPr>
      <xdr:spPr>
        <a:xfrm>
          <a:off x="276129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25</xdr:row>
      <xdr:rowOff>123825</xdr:rowOff>
    </xdr:from>
    <xdr:to>
      <xdr:col>56</xdr:col>
      <xdr:colOff>352425</xdr:colOff>
      <xdr:row>25</xdr:row>
      <xdr:rowOff>352425</xdr:rowOff>
    </xdr:to>
    <xdr:sp macro="" textlink="">
      <xdr:nvSpPr>
        <xdr:cNvPr id="42547" name="tp56c13c23size18color16777215route"/>
        <xdr:cNvSpPr/>
      </xdr:nvSpPr>
      <xdr:spPr>
        <a:xfrm>
          <a:off x="2749867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26</xdr:row>
      <xdr:rowOff>123825</xdr:rowOff>
    </xdr:from>
    <xdr:to>
      <xdr:col>56</xdr:col>
      <xdr:colOff>352425</xdr:colOff>
      <xdr:row>26</xdr:row>
      <xdr:rowOff>352425</xdr:rowOff>
    </xdr:to>
    <xdr:sp macro="" textlink="">
      <xdr:nvSpPr>
        <xdr:cNvPr id="42548" name="tp56c13c24size18color16777215route"/>
        <xdr:cNvSpPr/>
      </xdr:nvSpPr>
      <xdr:spPr>
        <a:xfrm>
          <a:off x="2749867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27</xdr:row>
      <xdr:rowOff>123825</xdr:rowOff>
    </xdr:from>
    <xdr:to>
      <xdr:col>56</xdr:col>
      <xdr:colOff>352425</xdr:colOff>
      <xdr:row>27</xdr:row>
      <xdr:rowOff>352425</xdr:rowOff>
    </xdr:to>
    <xdr:sp macro="" textlink="">
      <xdr:nvSpPr>
        <xdr:cNvPr id="42549" name="tp56c13c25size18color16777215route"/>
        <xdr:cNvSpPr/>
      </xdr:nvSpPr>
      <xdr:spPr>
        <a:xfrm>
          <a:off x="2749867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28</xdr:row>
      <xdr:rowOff>123825</xdr:rowOff>
    </xdr:from>
    <xdr:to>
      <xdr:col>56</xdr:col>
      <xdr:colOff>352425</xdr:colOff>
      <xdr:row>28</xdr:row>
      <xdr:rowOff>352425</xdr:rowOff>
    </xdr:to>
    <xdr:sp macro="" textlink="">
      <xdr:nvSpPr>
        <xdr:cNvPr id="42550" name="tp56c13c26size18color16777215routeb"/>
        <xdr:cNvSpPr/>
      </xdr:nvSpPr>
      <xdr:spPr>
        <a:xfrm>
          <a:off x="274986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238125</xdr:colOff>
      <xdr:row>28</xdr:row>
      <xdr:rowOff>238125</xdr:rowOff>
    </xdr:from>
    <xdr:to>
      <xdr:col>56</xdr:col>
      <xdr:colOff>238125</xdr:colOff>
      <xdr:row>28</xdr:row>
      <xdr:rowOff>238125</xdr:rowOff>
    </xdr:to>
    <xdr:sp macro="" textlink="">
      <xdr:nvSpPr>
        <xdr:cNvPr id="42551" name="rteShptp56c13c26size18color16777215routeb"/>
        <xdr:cNvSpPr/>
      </xdr:nvSpPr>
      <xdr:spPr>
        <a:xfrm>
          <a:off x="27612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29</xdr:row>
      <xdr:rowOff>123825</xdr:rowOff>
    </xdr:from>
    <xdr:to>
      <xdr:col>56</xdr:col>
      <xdr:colOff>352425</xdr:colOff>
      <xdr:row>29</xdr:row>
      <xdr:rowOff>352425</xdr:rowOff>
    </xdr:to>
    <xdr:sp macro="" textlink="">
      <xdr:nvSpPr>
        <xdr:cNvPr id="42553" name="tp56c13c27size18color16777215route"/>
        <xdr:cNvSpPr/>
      </xdr:nvSpPr>
      <xdr:spPr>
        <a:xfrm>
          <a:off x="2749867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123825</xdr:colOff>
      <xdr:row>30</xdr:row>
      <xdr:rowOff>123825</xdr:rowOff>
    </xdr:from>
    <xdr:to>
      <xdr:col>56</xdr:col>
      <xdr:colOff>352425</xdr:colOff>
      <xdr:row>30</xdr:row>
      <xdr:rowOff>352425</xdr:rowOff>
    </xdr:to>
    <xdr:sp macro="" textlink="">
      <xdr:nvSpPr>
        <xdr:cNvPr id="42554" name="tp56c13c28size18color16777215route"/>
        <xdr:cNvSpPr/>
      </xdr:nvSpPr>
      <xdr:spPr>
        <a:xfrm>
          <a:off x="2749867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73025</xdr:colOff>
      <xdr:row>4</xdr:row>
      <xdr:rowOff>73025</xdr:rowOff>
    </xdr:from>
    <xdr:to>
      <xdr:col>57</xdr:col>
      <xdr:colOff>403225</xdr:colOff>
      <xdr:row>4</xdr:row>
      <xdr:rowOff>403225</xdr:rowOff>
    </xdr:to>
    <xdr:sp macro="" textlink="">
      <xdr:nvSpPr>
        <xdr:cNvPr id="42555" name="tp57c11c22size26color65535routevc"/>
        <xdr:cNvSpPr/>
      </xdr:nvSpPr>
      <xdr:spPr>
        <a:xfrm>
          <a:off x="2792412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238125</xdr:colOff>
      <xdr:row>4</xdr:row>
      <xdr:rowOff>238125</xdr:rowOff>
    </xdr:from>
    <xdr:to>
      <xdr:col>57</xdr:col>
      <xdr:colOff>238125</xdr:colOff>
      <xdr:row>4</xdr:row>
      <xdr:rowOff>238125</xdr:rowOff>
    </xdr:to>
    <xdr:sp macro="" textlink="">
      <xdr:nvSpPr>
        <xdr:cNvPr id="42556" name="rteShptp57c11c22size26color65535routevc"/>
        <xdr:cNvSpPr/>
      </xdr:nvSpPr>
      <xdr:spPr>
        <a:xfrm>
          <a:off x="28089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238125</xdr:colOff>
      <xdr:row>8</xdr:row>
      <xdr:rowOff>238125</xdr:rowOff>
    </xdr:from>
    <xdr:to>
      <xdr:col>57</xdr:col>
      <xdr:colOff>238125</xdr:colOff>
      <xdr:row>8</xdr:row>
      <xdr:rowOff>238125</xdr:rowOff>
    </xdr:to>
    <xdr:sp macro="" textlink="">
      <xdr:nvSpPr>
        <xdr:cNvPr id="42559" name="rteShptp57c11c26size0color0routeb"/>
        <xdr:cNvSpPr/>
      </xdr:nvSpPr>
      <xdr:spPr>
        <a:xfrm>
          <a:off x="28089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73025</xdr:colOff>
      <xdr:row>19</xdr:row>
      <xdr:rowOff>73025</xdr:rowOff>
    </xdr:from>
    <xdr:to>
      <xdr:col>57</xdr:col>
      <xdr:colOff>403225</xdr:colOff>
      <xdr:row>19</xdr:row>
      <xdr:rowOff>403225</xdr:rowOff>
    </xdr:to>
    <xdr:sp macro="" textlink="">
      <xdr:nvSpPr>
        <xdr:cNvPr id="42561" name="tp57c12c27size26color65535routevcb"/>
        <xdr:cNvSpPr/>
      </xdr:nvSpPr>
      <xdr:spPr>
        <a:xfrm>
          <a:off x="27924125" y="102647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238125</xdr:colOff>
      <xdr:row>19</xdr:row>
      <xdr:rowOff>238125</xdr:rowOff>
    </xdr:from>
    <xdr:to>
      <xdr:col>57</xdr:col>
      <xdr:colOff>238125</xdr:colOff>
      <xdr:row>19</xdr:row>
      <xdr:rowOff>238125</xdr:rowOff>
    </xdr:to>
    <xdr:sp macro="" textlink="">
      <xdr:nvSpPr>
        <xdr:cNvPr id="42562" name="rteShptp57c12c27size26color65535routevcb"/>
        <xdr:cNvSpPr/>
      </xdr:nvSpPr>
      <xdr:spPr>
        <a:xfrm>
          <a:off x="28089225" y="1042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123825</xdr:colOff>
      <xdr:row>20</xdr:row>
      <xdr:rowOff>123825</xdr:rowOff>
    </xdr:from>
    <xdr:to>
      <xdr:col>57</xdr:col>
      <xdr:colOff>352425</xdr:colOff>
      <xdr:row>20</xdr:row>
      <xdr:rowOff>352425</xdr:rowOff>
    </xdr:to>
    <xdr:sp macro="" textlink="">
      <xdr:nvSpPr>
        <xdr:cNvPr id="42566" name="tp57c12c28size18color65280route">
          <a:hlinkClick xmlns:r="http://schemas.openxmlformats.org/officeDocument/2006/relationships" r:id="" tooltip="Chris Shaw:&#10;POS cash over"/>
        </xdr:cNvPr>
        <xdr:cNvSpPr/>
      </xdr:nvSpPr>
      <xdr:spPr>
        <a:xfrm>
          <a:off x="27974925" y="10791825"/>
          <a:ext cx="228600" cy="2286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238125</xdr:colOff>
      <xdr:row>28</xdr:row>
      <xdr:rowOff>238125</xdr:rowOff>
    </xdr:from>
    <xdr:to>
      <xdr:col>57</xdr:col>
      <xdr:colOff>238125</xdr:colOff>
      <xdr:row>28</xdr:row>
      <xdr:rowOff>238125</xdr:rowOff>
    </xdr:to>
    <xdr:sp macro="" textlink="">
      <xdr:nvSpPr>
        <xdr:cNvPr id="42567" name="rteShptp57c13c26size0color0routeb"/>
        <xdr:cNvSpPr/>
      </xdr:nvSpPr>
      <xdr:spPr>
        <a:xfrm>
          <a:off x="28089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73025</xdr:colOff>
      <xdr:row>29</xdr:row>
      <xdr:rowOff>73025</xdr:rowOff>
    </xdr:from>
    <xdr:to>
      <xdr:col>57</xdr:col>
      <xdr:colOff>403225</xdr:colOff>
      <xdr:row>29</xdr:row>
      <xdr:rowOff>403225</xdr:rowOff>
    </xdr:to>
    <xdr:sp macro="" textlink="">
      <xdr:nvSpPr>
        <xdr:cNvPr id="42569" name="tp57c13c27size26color255routevc">
          <a:hlinkClick xmlns:r="http://schemas.openxmlformats.org/officeDocument/2006/relationships" r:id="" tooltip="Chris Shaw:&#10;Not available"/>
        </xdr:cNvPr>
        <xdr:cNvSpPr/>
      </xdr:nvSpPr>
      <xdr:spPr>
        <a:xfrm>
          <a:off x="27924125" y="15027275"/>
          <a:ext cx="330200" cy="330200"/>
        </a:xfrm>
        <a:prstGeom prst="ellipse">
          <a:avLst/>
        </a:prstGeom>
        <a:solidFill>
          <a:srgbClr val="FF00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238125</xdr:colOff>
      <xdr:row>29</xdr:row>
      <xdr:rowOff>238125</xdr:rowOff>
    </xdr:from>
    <xdr:to>
      <xdr:col>57</xdr:col>
      <xdr:colOff>238125</xdr:colOff>
      <xdr:row>29</xdr:row>
      <xdr:rowOff>238125</xdr:rowOff>
    </xdr:to>
    <xdr:sp macro="" textlink="">
      <xdr:nvSpPr>
        <xdr:cNvPr id="42570" name="rteShptp57c13c27size26color255routevc"/>
        <xdr:cNvSpPr/>
      </xdr:nvSpPr>
      <xdr:spPr>
        <a:xfrm>
          <a:off x="28089225" y="1519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73025</xdr:colOff>
      <xdr:row>4</xdr:row>
      <xdr:rowOff>73025</xdr:rowOff>
    </xdr:from>
    <xdr:to>
      <xdr:col>58</xdr:col>
      <xdr:colOff>403225</xdr:colOff>
      <xdr:row>4</xdr:row>
      <xdr:rowOff>403225</xdr:rowOff>
    </xdr:to>
    <xdr:sp macro="" textlink="">
      <xdr:nvSpPr>
        <xdr:cNvPr id="42573" name="tp58c11c22size26color65535routevc"/>
        <xdr:cNvSpPr/>
      </xdr:nvSpPr>
      <xdr:spPr>
        <a:xfrm>
          <a:off x="2840037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238125</xdr:colOff>
      <xdr:row>4</xdr:row>
      <xdr:rowOff>238125</xdr:rowOff>
    </xdr:from>
    <xdr:to>
      <xdr:col>58</xdr:col>
      <xdr:colOff>238125</xdr:colOff>
      <xdr:row>4</xdr:row>
      <xdr:rowOff>238125</xdr:rowOff>
    </xdr:to>
    <xdr:sp macro="" textlink="">
      <xdr:nvSpPr>
        <xdr:cNvPr id="42574" name="rteShptp58c11c22size26color65535routevc"/>
        <xdr:cNvSpPr/>
      </xdr:nvSpPr>
      <xdr:spPr>
        <a:xfrm>
          <a:off x="28565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73025</xdr:colOff>
      <xdr:row>5</xdr:row>
      <xdr:rowOff>73025</xdr:rowOff>
    </xdr:from>
    <xdr:to>
      <xdr:col>58</xdr:col>
      <xdr:colOff>403225</xdr:colOff>
      <xdr:row>5</xdr:row>
      <xdr:rowOff>403225</xdr:rowOff>
    </xdr:to>
    <xdr:sp macro="" textlink="">
      <xdr:nvSpPr>
        <xdr:cNvPr id="42577" name="tp58c11c23size26color65535routevc"/>
        <xdr:cNvSpPr/>
      </xdr:nvSpPr>
      <xdr:spPr>
        <a:xfrm>
          <a:off x="28400375" y="3597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238125</xdr:colOff>
      <xdr:row>5</xdr:row>
      <xdr:rowOff>238125</xdr:rowOff>
    </xdr:from>
    <xdr:to>
      <xdr:col>58</xdr:col>
      <xdr:colOff>238125</xdr:colOff>
      <xdr:row>5</xdr:row>
      <xdr:rowOff>238125</xdr:rowOff>
    </xdr:to>
    <xdr:sp macro="" textlink="">
      <xdr:nvSpPr>
        <xdr:cNvPr id="42578" name="rteShptp58c11c23size26color65535routevc"/>
        <xdr:cNvSpPr/>
      </xdr:nvSpPr>
      <xdr:spPr>
        <a:xfrm>
          <a:off x="285654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238125</xdr:colOff>
      <xdr:row>8</xdr:row>
      <xdr:rowOff>238125</xdr:rowOff>
    </xdr:from>
    <xdr:to>
      <xdr:col>58</xdr:col>
      <xdr:colOff>238125</xdr:colOff>
      <xdr:row>8</xdr:row>
      <xdr:rowOff>238125</xdr:rowOff>
    </xdr:to>
    <xdr:sp macro="" textlink="">
      <xdr:nvSpPr>
        <xdr:cNvPr id="42581" name="rteShptp58c11c26size0color0routeb"/>
        <xdr:cNvSpPr/>
      </xdr:nvSpPr>
      <xdr:spPr>
        <a:xfrm>
          <a:off x="28565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73025</xdr:colOff>
      <xdr:row>14</xdr:row>
      <xdr:rowOff>73025</xdr:rowOff>
    </xdr:from>
    <xdr:to>
      <xdr:col>58</xdr:col>
      <xdr:colOff>403225</xdr:colOff>
      <xdr:row>14</xdr:row>
      <xdr:rowOff>403225</xdr:rowOff>
    </xdr:to>
    <xdr:sp macro="" textlink="">
      <xdr:nvSpPr>
        <xdr:cNvPr id="42583" name="tp58c12c22size26color255routev"/>
        <xdr:cNvSpPr/>
      </xdr:nvSpPr>
      <xdr:spPr>
        <a:xfrm>
          <a:off x="2840037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238125</xdr:colOff>
      <xdr:row>14</xdr:row>
      <xdr:rowOff>238125</xdr:rowOff>
    </xdr:from>
    <xdr:to>
      <xdr:col>58</xdr:col>
      <xdr:colOff>238125</xdr:colOff>
      <xdr:row>14</xdr:row>
      <xdr:rowOff>238125</xdr:rowOff>
    </xdr:to>
    <xdr:sp macro="" textlink="">
      <xdr:nvSpPr>
        <xdr:cNvPr id="42584" name="rteShptp58c12c22size26color255routev"/>
        <xdr:cNvSpPr/>
      </xdr:nvSpPr>
      <xdr:spPr>
        <a:xfrm>
          <a:off x="285654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238125</xdr:colOff>
      <xdr:row>18</xdr:row>
      <xdr:rowOff>238125</xdr:rowOff>
    </xdr:from>
    <xdr:to>
      <xdr:col>58</xdr:col>
      <xdr:colOff>238125</xdr:colOff>
      <xdr:row>18</xdr:row>
      <xdr:rowOff>238125</xdr:rowOff>
    </xdr:to>
    <xdr:sp macro="" textlink="">
      <xdr:nvSpPr>
        <xdr:cNvPr id="42586" name="rteShptp58c12c26size0color0routeb"/>
        <xdr:cNvSpPr/>
      </xdr:nvSpPr>
      <xdr:spPr>
        <a:xfrm>
          <a:off x="28565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73025</xdr:colOff>
      <xdr:row>24</xdr:row>
      <xdr:rowOff>73025</xdr:rowOff>
    </xdr:from>
    <xdr:to>
      <xdr:col>58</xdr:col>
      <xdr:colOff>403225</xdr:colOff>
      <xdr:row>24</xdr:row>
      <xdr:rowOff>403225</xdr:rowOff>
    </xdr:to>
    <xdr:sp macro="" textlink="">
      <xdr:nvSpPr>
        <xdr:cNvPr id="42588" name="tp58c13c22size26color65535routev"/>
        <xdr:cNvSpPr/>
      </xdr:nvSpPr>
      <xdr:spPr>
        <a:xfrm>
          <a:off x="28400375" y="12646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238125</xdr:colOff>
      <xdr:row>24</xdr:row>
      <xdr:rowOff>238125</xdr:rowOff>
    </xdr:from>
    <xdr:to>
      <xdr:col>58</xdr:col>
      <xdr:colOff>238125</xdr:colOff>
      <xdr:row>24</xdr:row>
      <xdr:rowOff>238125</xdr:rowOff>
    </xdr:to>
    <xdr:sp macro="" textlink="">
      <xdr:nvSpPr>
        <xdr:cNvPr id="42589" name="rteShptp58c13c22size26color65535routev"/>
        <xdr:cNvSpPr/>
      </xdr:nvSpPr>
      <xdr:spPr>
        <a:xfrm>
          <a:off x="285654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238125</xdr:colOff>
      <xdr:row>28</xdr:row>
      <xdr:rowOff>238125</xdr:rowOff>
    </xdr:from>
    <xdr:to>
      <xdr:col>58</xdr:col>
      <xdr:colOff>238125</xdr:colOff>
      <xdr:row>28</xdr:row>
      <xdr:rowOff>238125</xdr:rowOff>
    </xdr:to>
    <xdr:sp macro="" textlink="">
      <xdr:nvSpPr>
        <xdr:cNvPr id="42591" name="rteShptp58c13c26size0color0routecb"/>
        <xdr:cNvSpPr/>
      </xdr:nvSpPr>
      <xdr:spPr>
        <a:xfrm>
          <a:off x="28565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3</xdr:row>
      <xdr:rowOff>123825</xdr:rowOff>
    </xdr:from>
    <xdr:to>
      <xdr:col>59</xdr:col>
      <xdr:colOff>352425</xdr:colOff>
      <xdr:row>3</xdr:row>
      <xdr:rowOff>352425</xdr:rowOff>
    </xdr:to>
    <xdr:sp macro="" textlink="">
      <xdr:nvSpPr>
        <xdr:cNvPr id="42594" name="tp59c11c21size18color16777215route"/>
        <xdr:cNvSpPr/>
      </xdr:nvSpPr>
      <xdr:spPr>
        <a:xfrm>
          <a:off x="289274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4</xdr:row>
      <xdr:rowOff>123825</xdr:rowOff>
    </xdr:from>
    <xdr:to>
      <xdr:col>59</xdr:col>
      <xdr:colOff>352425</xdr:colOff>
      <xdr:row>4</xdr:row>
      <xdr:rowOff>352425</xdr:rowOff>
    </xdr:to>
    <xdr:sp macro="" textlink="">
      <xdr:nvSpPr>
        <xdr:cNvPr id="42595" name="tp59c11c22size18color16777215routec"/>
        <xdr:cNvSpPr/>
      </xdr:nvSpPr>
      <xdr:spPr>
        <a:xfrm>
          <a:off x="289274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238125</xdr:colOff>
      <xdr:row>4</xdr:row>
      <xdr:rowOff>238125</xdr:rowOff>
    </xdr:from>
    <xdr:to>
      <xdr:col>59</xdr:col>
      <xdr:colOff>238125</xdr:colOff>
      <xdr:row>4</xdr:row>
      <xdr:rowOff>238125</xdr:rowOff>
    </xdr:to>
    <xdr:sp macro="" textlink="">
      <xdr:nvSpPr>
        <xdr:cNvPr id="42596" name="rteShptp59c11c22size18color16777215routec"/>
        <xdr:cNvSpPr/>
      </xdr:nvSpPr>
      <xdr:spPr>
        <a:xfrm>
          <a:off x="29041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5</xdr:row>
      <xdr:rowOff>123825</xdr:rowOff>
    </xdr:from>
    <xdr:to>
      <xdr:col>59</xdr:col>
      <xdr:colOff>352425</xdr:colOff>
      <xdr:row>5</xdr:row>
      <xdr:rowOff>352425</xdr:rowOff>
    </xdr:to>
    <xdr:sp macro="" textlink="">
      <xdr:nvSpPr>
        <xdr:cNvPr id="42598" name="tp59c11c23size18color16777215routev"/>
        <xdr:cNvSpPr/>
      </xdr:nvSpPr>
      <xdr:spPr>
        <a:xfrm>
          <a:off x="289274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238125</xdr:colOff>
      <xdr:row>5</xdr:row>
      <xdr:rowOff>238125</xdr:rowOff>
    </xdr:from>
    <xdr:to>
      <xdr:col>59</xdr:col>
      <xdr:colOff>238125</xdr:colOff>
      <xdr:row>5</xdr:row>
      <xdr:rowOff>238125</xdr:rowOff>
    </xdr:to>
    <xdr:sp macro="" textlink="">
      <xdr:nvSpPr>
        <xdr:cNvPr id="42599" name="rteShptp59c11c23size18color16777215routev"/>
        <xdr:cNvSpPr/>
      </xdr:nvSpPr>
      <xdr:spPr>
        <a:xfrm>
          <a:off x="2904172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6</xdr:row>
      <xdr:rowOff>123825</xdr:rowOff>
    </xdr:from>
    <xdr:to>
      <xdr:col>59</xdr:col>
      <xdr:colOff>352425</xdr:colOff>
      <xdr:row>6</xdr:row>
      <xdr:rowOff>352425</xdr:rowOff>
    </xdr:to>
    <xdr:sp macro="" textlink="">
      <xdr:nvSpPr>
        <xdr:cNvPr id="42601" name="tp59c11c24size18color16777215route"/>
        <xdr:cNvSpPr/>
      </xdr:nvSpPr>
      <xdr:spPr>
        <a:xfrm>
          <a:off x="289274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7</xdr:row>
      <xdr:rowOff>123825</xdr:rowOff>
    </xdr:from>
    <xdr:to>
      <xdr:col>59</xdr:col>
      <xdr:colOff>352425</xdr:colOff>
      <xdr:row>7</xdr:row>
      <xdr:rowOff>352425</xdr:rowOff>
    </xdr:to>
    <xdr:sp macro="" textlink="">
      <xdr:nvSpPr>
        <xdr:cNvPr id="42602" name="tp59c11c25size18color16777215route"/>
        <xdr:cNvSpPr/>
      </xdr:nvSpPr>
      <xdr:spPr>
        <a:xfrm>
          <a:off x="289274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8</xdr:row>
      <xdr:rowOff>123825</xdr:rowOff>
    </xdr:from>
    <xdr:to>
      <xdr:col>59</xdr:col>
      <xdr:colOff>352425</xdr:colOff>
      <xdr:row>8</xdr:row>
      <xdr:rowOff>352425</xdr:rowOff>
    </xdr:to>
    <xdr:sp macro="" textlink="">
      <xdr:nvSpPr>
        <xdr:cNvPr id="42603" name="tp59c11c26size18color16777215routeb"/>
        <xdr:cNvSpPr/>
      </xdr:nvSpPr>
      <xdr:spPr>
        <a:xfrm>
          <a:off x="289274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238125</xdr:colOff>
      <xdr:row>8</xdr:row>
      <xdr:rowOff>238125</xdr:rowOff>
    </xdr:from>
    <xdr:to>
      <xdr:col>59</xdr:col>
      <xdr:colOff>238125</xdr:colOff>
      <xdr:row>8</xdr:row>
      <xdr:rowOff>238125</xdr:rowOff>
    </xdr:to>
    <xdr:sp macro="" textlink="">
      <xdr:nvSpPr>
        <xdr:cNvPr id="42604" name="rteShptp59c11c26size18color16777215routeb"/>
        <xdr:cNvSpPr/>
      </xdr:nvSpPr>
      <xdr:spPr>
        <a:xfrm>
          <a:off x="29041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9</xdr:row>
      <xdr:rowOff>123825</xdr:rowOff>
    </xdr:from>
    <xdr:to>
      <xdr:col>59</xdr:col>
      <xdr:colOff>352425</xdr:colOff>
      <xdr:row>9</xdr:row>
      <xdr:rowOff>352425</xdr:rowOff>
    </xdr:to>
    <xdr:sp macro="" textlink="">
      <xdr:nvSpPr>
        <xdr:cNvPr id="42606" name="tp59c11c27size18color16777215route"/>
        <xdr:cNvSpPr/>
      </xdr:nvSpPr>
      <xdr:spPr>
        <a:xfrm>
          <a:off x="289274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10</xdr:row>
      <xdr:rowOff>123825</xdr:rowOff>
    </xdr:from>
    <xdr:to>
      <xdr:col>59</xdr:col>
      <xdr:colOff>352425</xdr:colOff>
      <xdr:row>10</xdr:row>
      <xdr:rowOff>352425</xdr:rowOff>
    </xdr:to>
    <xdr:sp macro="" textlink="">
      <xdr:nvSpPr>
        <xdr:cNvPr id="42607" name="tp59c11c28size18color16777215route"/>
        <xdr:cNvSpPr/>
      </xdr:nvSpPr>
      <xdr:spPr>
        <a:xfrm>
          <a:off x="289274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13</xdr:row>
      <xdr:rowOff>123825</xdr:rowOff>
    </xdr:from>
    <xdr:to>
      <xdr:col>59</xdr:col>
      <xdr:colOff>352425</xdr:colOff>
      <xdr:row>13</xdr:row>
      <xdr:rowOff>352425</xdr:rowOff>
    </xdr:to>
    <xdr:sp macro="" textlink="">
      <xdr:nvSpPr>
        <xdr:cNvPr id="42608" name="tp59c12c21size18color16777215route"/>
        <xdr:cNvSpPr/>
      </xdr:nvSpPr>
      <xdr:spPr>
        <a:xfrm>
          <a:off x="2892742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14</xdr:row>
      <xdr:rowOff>123825</xdr:rowOff>
    </xdr:from>
    <xdr:to>
      <xdr:col>59</xdr:col>
      <xdr:colOff>352425</xdr:colOff>
      <xdr:row>14</xdr:row>
      <xdr:rowOff>352425</xdr:rowOff>
    </xdr:to>
    <xdr:sp macro="" textlink="">
      <xdr:nvSpPr>
        <xdr:cNvPr id="42609" name="tp59c12c22size18color16777215routev"/>
        <xdr:cNvSpPr/>
      </xdr:nvSpPr>
      <xdr:spPr>
        <a:xfrm>
          <a:off x="2892742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238125</xdr:colOff>
      <xdr:row>14</xdr:row>
      <xdr:rowOff>238125</xdr:rowOff>
    </xdr:from>
    <xdr:to>
      <xdr:col>59</xdr:col>
      <xdr:colOff>238125</xdr:colOff>
      <xdr:row>14</xdr:row>
      <xdr:rowOff>238125</xdr:rowOff>
    </xdr:to>
    <xdr:sp macro="" textlink="">
      <xdr:nvSpPr>
        <xdr:cNvPr id="42610" name="rteShptp59c12c22size18color16777215routev"/>
        <xdr:cNvSpPr/>
      </xdr:nvSpPr>
      <xdr:spPr>
        <a:xfrm>
          <a:off x="290417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15</xdr:row>
      <xdr:rowOff>123825</xdr:rowOff>
    </xdr:from>
    <xdr:to>
      <xdr:col>59</xdr:col>
      <xdr:colOff>352425</xdr:colOff>
      <xdr:row>15</xdr:row>
      <xdr:rowOff>352425</xdr:rowOff>
    </xdr:to>
    <xdr:sp macro="" textlink="">
      <xdr:nvSpPr>
        <xdr:cNvPr id="42612" name="tp59c12c23size18color16777215route"/>
        <xdr:cNvSpPr/>
      </xdr:nvSpPr>
      <xdr:spPr>
        <a:xfrm>
          <a:off x="2892742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16</xdr:row>
      <xdr:rowOff>123825</xdr:rowOff>
    </xdr:from>
    <xdr:to>
      <xdr:col>59</xdr:col>
      <xdr:colOff>352425</xdr:colOff>
      <xdr:row>16</xdr:row>
      <xdr:rowOff>352425</xdr:rowOff>
    </xdr:to>
    <xdr:sp macro="" textlink="">
      <xdr:nvSpPr>
        <xdr:cNvPr id="42613" name="tp59c12c24size18color16777215route"/>
        <xdr:cNvSpPr/>
      </xdr:nvSpPr>
      <xdr:spPr>
        <a:xfrm>
          <a:off x="2892742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17</xdr:row>
      <xdr:rowOff>123825</xdr:rowOff>
    </xdr:from>
    <xdr:to>
      <xdr:col>59</xdr:col>
      <xdr:colOff>352425</xdr:colOff>
      <xdr:row>17</xdr:row>
      <xdr:rowOff>352425</xdr:rowOff>
    </xdr:to>
    <xdr:sp macro="" textlink="">
      <xdr:nvSpPr>
        <xdr:cNvPr id="42614" name="tp59c12c25size18color16777215route"/>
        <xdr:cNvSpPr/>
      </xdr:nvSpPr>
      <xdr:spPr>
        <a:xfrm>
          <a:off x="2892742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18</xdr:row>
      <xdr:rowOff>123825</xdr:rowOff>
    </xdr:from>
    <xdr:to>
      <xdr:col>59</xdr:col>
      <xdr:colOff>352425</xdr:colOff>
      <xdr:row>18</xdr:row>
      <xdr:rowOff>352425</xdr:rowOff>
    </xdr:to>
    <xdr:sp macro="" textlink="">
      <xdr:nvSpPr>
        <xdr:cNvPr id="42615" name="tp59c12c26size18color16777215routeb"/>
        <xdr:cNvSpPr/>
      </xdr:nvSpPr>
      <xdr:spPr>
        <a:xfrm>
          <a:off x="2892742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238125</xdr:colOff>
      <xdr:row>18</xdr:row>
      <xdr:rowOff>238125</xdr:rowOff>
    </xdr:from>
    <xdr:to>
      <xdr:col>59</xdr:col>
      <xdr:colOff>238125</xdr:colOff>
      <xdr:row>18</xdr:row>
      <xdr:rowOff>238125</xdr:rowOff>
    </xdr:to>
    <xdr:sp macro="" textlink="">
      <xdr:nvSpPr>
        <xdr:cNvPr id="42616" name="rteShptp59c12c26size18color16777215routeb"/>
        <xdr:cNvSpPr/>
      </xdr:nvSpPr>
      <xdr:spPr>
        <a:xfrm>
          <a:off x="2904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19</xdr:row>
      <xdr:rowOff>123825</xdr:rowOff>
    </xdr:from>
    <xdr:to>
      <xdr:col>59</xdr:col>
      <xdr:colOff>352425</xdr:colOff>
      <xdr:row>19</xdr:row>
      <xdr:rowOff>352425</xdr:rowOff>
    </xdr:to>
    <xdr:sp macro="" textlink="">
      <xdr:nvSpPr>
        <xdr:cNvPr id="42618" name="tp59c12c27size18color16777215route"/>
        <xdr:cNvSpPr/>
      </xdr:nvSpPr>
      <xdr:spPr>
        <a:xfrm>
          <a:off x="28927425" y="1031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20</xdr:row>
      <xdr:rowOff>123825</xdr:rowOff>
    </xdr:from>
    <xdr:to>
      <xdr:col>59</xdr:col>
      <xdr:colOff>352425</xdr:colOff>
      <xdr:row>20</xdr:row>
      <xdr:rowOff>352425</xdr:rowOff>
    </xdr:to>
    <xdr:sp macro="" textlink="">
      <xdr:nvSpPr>
        <xdr:cNvPr id="42619" name="tp59c12c28size18color16777215route"/>
        <xdr:cNvSpPr/>
      </xdr:nvSpPr>
      <xdr:spPr>
        <a:xfrm>
          <a:off x="28927425" y="1079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23</xdr:row>
      <xdr:rowOff>123825</xdr:rowOff>
    </xdr:from>
    <xdr:to>
      <xdr:col>59</xdr:col>
      <xdr:colOff>352425</xdr:colOff>
      <xdr:row>23</xdr:row>
      <xdr:rowOff>352425</xdr:rowOff>
    </xdr:to>
    <xdr:sp macro="" textlink="">
      <xdr:nvSpPr>
        <xdr:cNvPr id="42620" name="tp59c13c21size18color16777215route"/>
        <xdr:cNvSpPr/>
      </xdr:nvSpPr>
      <xdr:spPr>
        <a:xfrm>
          <a:off x="2892742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24</xdr:row>
      <xdr:rowOff>123825</xdr:rowOff>
    </xdr:from>
    <xdr:to>
      <xdr:col>59</xdr:col>
      <xdr:colOff>352425</xdr:colOff>
      <xdr:row>24</xdr:row>
      <xdr:rowOff>352425</xdr:rowOff>
    </xdr:to>
    <xdr:sp macro="" textlink="">
      <xdr:nvSpPr>
        <xdr:cNvPr id="42621" name="tp59c13c22size18color16777215routev"/>
        <xdr:cNvSpPr/>
      </xdr:nvSpPr>
      <xdr:spPr>
        <a:xfrm>
          <a:off x="2892742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238125</xdr:colOff>
      <xdr:row>24</xdr:row>
      <xdr:rowOff>238125</xdr:rowOff>
    </xdr:from>
    <xdr:to>
      <xdr:col>59</xdr:col>
      <xdr:colOff>238125</xdr:colOff>
      <xdr:row>24</xdr:row>
      <xdr:rowOff>238125</xdr:rowOff>
    </xdr:to>
    <xdr:sp macro="" textlink="">
      <xdr:nvSpPr>
        <xdr:cNvPr id="42622" name="rteShptp59c13c22size18color16777215routev"/>
        <xdr:cNvSpPr/>
      </xdr:nvSpPr>
      <xdr:spPr>
        <a:xfrm>
          <a:off x="29041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25</xdr:row>
      <xdr:rowOff>123825</xdr:rowOff>
    </xdr:from>
    <xdr:to>
      <xdr:col>59</xdr:col>
      <xdr:colOff>352425</xdr:colOff>
      <xdr:row>25</xdr:row>
      <xdr:rowOff>352425</xdr:rowOff>
    </xdr:to>
    <xdr:sp macro="" textlink="">
      <xdr:nvSpPr>
        <xdr:cNvPr id="42624" name="tp59c13c23size18color16777215route"/>
        <xdr:cNvSpPr/>
      </xdr:nvSpPr>
      <xdr:spPr>
        <a:xfrm>
          <a:off x="2892742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26</xdr:row>
      <xdr:rowOff>123825</xdr:rowOff>
    </xdr:from>
    <xdr:to>
      <xdr:col>59</xdr:col>
      <xdr:colOff>352425</xdr:colOff>
      <xdr:row>26</xdr:row>
      <xdr:rowOff>352425</xdr:rowOff>
    </xdr:to>
    <xdr:sp macro="" textlink="">
      <xdr:nvSpPr>
        <xdr:cNvPr id="42625" name="tp59c13c24size18color16777215route"/>
        <xdr:cNvSpPr/>
      </xdr:nvSpPr>
      <xdr:spPr>
        <a:xfrm>
          <a:off x="2892742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27</xdr:row>
      <xdr:rowOff>123825</xdr:rowOff>
    </xdr:from>
    <xdr:to>
      <xdr:col>59</xdr:col>
      <xdr:colOff>352425</xdr:colOff>
      <xdr:row>27</xdr:row>
      <xdr:rowOff>352425</xdr:rowOff>
    </xdr:to>
    <xdr:sp macro="" textlink="">
      <xdr:nvSpPr>
        <xdr:cNvPr id="42626" name="tp59c13c25size18color16777215route"/>
        <xdr:cNvSpPr/>
      </xdr:nvSpPr>
      <xdr:spPr>
        <a:xfrm>
          <a:off x="2892742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28</xdr:row>
      <xdr:rowOff>123825</xdr:rowOff>
    </xdr:from>
    <xdr:to>
      <xdr:col>59</xdr:col>
      <xdr:colOff>352425</xdr:colOff>
      <xdr:row>28</xdr:row>
      <xdr:rowOff>352425</xdr:rowOff>
    </xdr:to>
    <xdr:sp macro="" textlink="">
      <xdr:nvSpPr>
        <xdr:cNvPr id="42627" name="tp59c13c26size18color16777215routecb"/>
        <xdr:cNvSpPr/>
      </xdr:nvSpPr>
      <xdr:spPr>
        <a:xfrm>
          <a:off x="2892742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238125</xdr:colOff>
      <xdr:row>28</xdr:row>
      <xdr:rowOff>238125</xdr:rowOff>
    </xdr:from>
    <xdr:to>
      <xdr:col>59</xdr:col>
      <xdr:colOff>238125</xdr:colOff>
      <xdr:row>28</xdr:row>
      <xdr:rowOff>238125</xdr:rowOff>
    </xdr:to>
    <xdr:sp macro="" textlink="">
      <xdr:nvSpPr>
        <xdr:cNvPr id="42628" name="rteShptp59c13c26size18color16777215routecb"/>
        <xdr:cNvSpPr/>
      </xdr:nvSpPr>
      <xdr:spPr>
        <a:xfrm>
          <a:off x="29041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29</xdr:row>
      <xdr:rowOff>123825</xdr:rowOff>
    </xdr:from>
    <xdr:to>
      <xdr:col>59</xdr:col>
      <xdr:colOff>352425</xdr:colOff>
      <xdr:row>29</xdr:row>
      <xdr:rowOff>352425</xdr:rowOff>
    </xdr:to>
    <xdr:sp macro="" textlink="">
      <xdr:nvSpPr>
        <xdr:cNvPr id="42631" name="tp59c13c27size18color16777215route"/>
        <xdr:cNvSpPr/>
      </xdr:nvSpPr>
      <xdr:spPr>
        <a:xfrm>
          <a:off x="2892742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59</xdr:col>
      <xdr:colOff>123825</xdr:colOff>
      <xdr:row>30</xdr:row>
      <xdr:rowOff>123825</xdr:rowOff>
    </xdr:from>
    <xdr:to>
      <xdr:col>59</xdr:col>
      <xdr:colOff>352425</xdr:colOff>
      <xdr:row>30</xdr:row>
      <xdr:rowOff>352425</xdr:rowOff>
    </xdr:to>
    <xdr:sp macro="" textlink="">
      <xdr:nvSpPr>
        <xdr:cNvPr id="42632" name="tp59c13c28size18color16777215route"/>
        <xdr:cNvSpPr/>
      </xdr:nvSpPr>
      <xdr:spPr>
        <a:xfrm>
          <a:off x="2892742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73025</xdr:colOff>
      <xdr:row>5</xdr:row>
      <xdr:rowOff>73025</xdr:rowOff>
    </xdr:from>
    <xdr:to>
      <xdr:col>60</xdr:col>
      <xdr:colOff>403225</xdr:colOff>
      <xdr:row>5</xdr:row>
      <xdr:rowOff>403225</xdr:rowOff>
    </xdr:to>
    <xdr:sp macro="" textlink="">
      <xdr:nvSpPr>
        <xdr:cNvPr id="42633" name="tp60c11c23size26color65280routevc"/>
        <xdr:cNvSpPr/>
      </xdr:nvSpPr>
      <xdr:spPr>
        <a:xfrm>
          <a:off x="29352875" y="35972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238125</xdr:colOff>
      <xdr:row>5</xdr:row>
      <xdr:rowOff>238125</xdr:rowOff>
    </xdr:from>
    <xdr:to>
      <xdr:col>60</xdr:col>
      <xdr:colOff>238125</xdr:colOff>
      <xdr:row>5</xdr:row>
      <xdr:rowOff>238125</xdr:rowOff>
    </xdr:to>
    <xdr:sp macro="" textlink="">
      <xdr:nvSpPr>
        <xdr:cNvPr id="42634" name="rteShptp60c11c23size26color65280routevc"/>
        <xdr:cNvSpPr/>
      </xdr:nvSpPr>
      <xdr:spPr>
        <a:xfrm>
          <a:off x="295179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174625</xdr:colOff>
      <xdr:row>8</xdr:row>
      <xdr:rowOff>174625</xdr:rowOff>
    </xdr:from>
    <xdr:to>
      <xdr:col>60</xdr:col>
      <xdr:colOff>301625</xdr:colOff>
      <xdr:row>8</xdr:row>
      <xdr:rowOff>301625</xdr:rowOff>
    </xdr:to>
    <xdr:sp macro="" textlink="">
      <xdr:nvSpPr>
        <xdr:cNvPr id="42637" name="tp60c11c26size10color65280routeb"/>
        <xdr:cNvSpPr/>
      </xdr:nvSpPr>
      <xdr:spPr>
        <a:xfrm>
          <a:off x="29454475" y="512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238125</xdr:colOff>
      <xdr:row>8</xdr:row>
      <xdr:rowOff>238125</xdr:rowOff>
    </xdr:from>
    <xdr:to>
      <xdr:col>60</xdr:col>
      <xdr:colOff>238125</xdr:colOff>
      <xdr:row>8</xdr:row>
      <xdr:rowOff>238125</xdr:rowOff>
    </xdr:to>
    <xdr:sp macro="" textlink="">
      <xdr:nvSpPr>
        <xdr:cNvPr id="42638" name="rteShptp60c11c26size10color65280routeb"/>
        <xdr:cNvSpPr/>
      </xdr:nvSpPr>
      <xdr:spPr>
        <a:xfrm>
          <a:off x="29517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174625</xdr:colOff>
      <xdr:row>15</xdr:row>
      <xdr:rowOff>174625</xdr:rowOff>
    </xdr:from>
    <xdr:to>
      <xdr:col>60</xdr:col>
      <xdr:colOff>301625</xdr:colOff>
      <xdr:row>15</xdr:row>
      <xdr:rowOff>301625</xdr:rowOff>
    </xdr:to>
    <xdr:sp macro="" textlink="">
      <xdr:nvSpPr>
        <xdr:cNvPr id="42640" name="tp60c12c23size10color65535route"/>
        <xdr:cNvSpPr/>
      </xdr:nvSpPr>
      <xdr:spPr>
        <a:xfrm>
          <a:off x="29454475" y="84613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174625</xdr:colOff>
      <xdr:row>16</xdr:row>
      <xdr:rowOff>174625</xdr:rowOff>
    </xdr:from>
    <xdr:to>
      <xdr:col>60</xdr:col>
      <xdr:colOff>301625</xdr:colOff>
      <xdr:row>16</xdr:row>
      <xdr:rowOff>301625</xdr:rowOff>
    </xdr:to>
    <xdr:sp macro="" textlink="">
      <xdr:nvSpPr>
        <xdr:cNvPr id="42641" name="tp60c12c24size10color65535route"/>
        <xdr:cNvSpPr/>
      </xdr:nvSpPr>
      <xdr:spPr>
        <a:xfrm>
          <a:off x="29454475" y="893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73025</xdr:colOff>
      <xdr:row>18</xdr:row>
      <xdr:rowOff>73025</xdr:rowOff>
    </xdr:from>
    <xdr:to>
      <xdr:col>60</xdr:col>
      <xdr:colOff>403225</xdr:colOff>
      <xdr:row>18</xdr:row>
      <xdr:rowOff>403225</xdr:rowOff>
    </xdr:to>
    <xdr:sp macro="" textlink="">
      <xdr:nvSpPr>
        <xdr:cNvPr id="42642" name="tp60c12c26size26color65535routevcb"/>
        <xdr:cNvSpPr/>
      </xdr:nvSpPr>
      <xdr:spPr>
        <a:xfrm>
          <a:off x="2935287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238125</xdr:colOff>
      <xdr:row>18</xdr:row>
      <xdr:rowOff>238125</xdr:rowOff>
    </xdr:from>
    <xdr:to>
      <xdr:col>60</xdr:col>
      <xdr:colOff>238125</xdr:colOff>
      <xdr:row>18</xdr:row>
      <xdr:rowOff>238125</xdr:rowOff>
    </xdr:to>
    <xdr:sp macro="" textlink="">
      <xdr:nvSpPr>
        <xdr:cNvPr id="42643" name="rteShptp60c12c26size26color65535routevcb"/>
        <xdr:cNvSpPr/>
      </xdr:nvSpPr>
      <xdr:spPr>
        <a:xfrm>
          <a:off x="2951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73025</xdr:colOff>
      <xdr:row>25</xdr:row>
      <xdr:rowOff>73025</xdr:rowOff>
    </xdr:from>
    <xdr:to>
      <xdr:col>60</xdr:col>
      <xdr:colOff>403225</xdr:colOff>
      <xdr:row>25</xdr:row>
      <xdr:rowOff>403225</xdr:rowOff>
    </xdr:to>
    <xdr:sp macro="" textlink="">
      <xdr:nvSpPr>
        <xdr:cNvPr id="42647" name="tp60c13c23size26color65535routev"/>
        <xdr:cNvSpPr/>
      </xdr:nvSpPr>
      <xdr:spPr>
        <a:xfrm>
          <a:off x="29352875" y="13122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238125</xdr:colOff>
      <xdr:row>25</xdr:row>
      <xdr:rowOff>238125</xdr:rowOff>
    </xdr:from>
    <xdr:to>
      <xdr:col>60</xdr:col>
      <xdr:colOff>238125</xdr:colOff>
      <xdr:row>25</xdr:row>
      <xdr:rowOff>238125</xdr:rowOff>
    </xdr:to>
    <xdr:sp macro="" textlink="">
      <xdr:nvSpPr>
        <xdr:cNvPr id="42648" name="rteShptp60c13c23size26color65535routev"/>
        <xdr:cNvSpPr/>
      </xdr:nvSpPr>
      <xdr:spPr>
        <a:xfrm>
          <a:off x="29517975" y="1328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123825</xdr:colOff>
      <xdr:row>26</xdr:row>
      <xdr:rowOff>123825</xdr:rowOff>
    </xdr:from>
    <xdr:to>
      <xdr:col>60</xdr:col>
      <xdr:colOff>352425</xdr:colOff>
      <xdr:row>26</xdr:row>
      <xdr:rowOff>352425</xdr:rowOff>
    </xdr:to>
    <xdr:sp macro="" textlink="">
      <xdr:nvSpPr>
        <xdr:cNvPr id="42650" name="tp60c13c24size18color65535route"/>
        <xdr:cNvSpPr/>
      </xdr:nvSpPr>
      <xdr:spPr>
        <a:xfrm>
          <a:off x="29403675" y="1364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123825</xdr:colOff>
      <xdr:row>28</xdr:row>
      <xdr:rowOff>123825</xdr:rowOff>
    </xdr:from>
    <xdr:to>
      <xdr:col>60</xdr:col>
      <xdr:colOff>352425</xdr:colOff>
      <xdr:row>28</xdr:row>
      <xdr:rowOff>352425</xdr:rowOff>
    </xdr:to>
    <xdr:sp macro="" textlink="">
      <xdr:nvSpPr>
        <xdr:cNvPr id="42651" name="tp60c13c26size18color65535routecb"/>
        <xdr:cNvSpPr/>
      </xdr:nvSpPr>
      <xdr:spPr>
        <a:xfrm>
          <a:off x="29403675" y="14601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60</xdr:col>
      <xdr:colOff>238125</xdr:colOff>
      <xdr:row>28</xdr:row>
      <xdr:rowOff>238125</xdr:rowOff>
    </xdr:from>
    <xdr:to>
      <xdr:col>60</xdr:col>
      <xdr:colOff>238125</xdr:colOff>
      <xdr:row>28</xdr:row>
      <xdr:rowOff>238125</xdr:rowOff>
    </xdr:to>
    <xdr:sp macro="" textlink="">
      <xdr:nvSpPr>
        <xdr:cNvPr id="42652" name="rteShptp60c13c26size18color65535routecb"/>
        <xdr:cNvSpPr/>
      </xdr:nvSpPr>
      <xdr:spPr>
        <a:xfrm>
          <a:off x="29517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174625</xdr:colOff>
      <xdr:row>3</xdr:row>
      <xdr:rowOff>174625</xdr:rowOff>
    </xdr:from>
    <xdr:to>
      <xdr:col>61</xdr:col>
      <xdr:colOff>301625</xdr:colOff>
      <xdr:row>3</xdr:row>
      <xdr:rowOff>301625</xdr:rowOff>
    </xdr:to>
    <xdr:sp macro="" textlink="">
      <xdr:nvSpPr>
        <xdr:cNvPr id="42655" name="tp61c11c21size10color255route"/>
        <xdr:cNvSpPr/>
      </xdr:nvSpPr>
      <xdr:spPr>
        <a:xfrm>
          <a:off x="29930725" y="2746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73025</xdr:colOff>
      <xdr:row>4</xdr:row>
      <xdr:rowOff>73025</xdr:rowOff>
    </xdr:from>
    <xdr:to>
      <xdr:col>61</xdr:col>
      <xdr:colOff>403225</xdr:colOff>
      <xdr:row>4</xdr:row>
      <xdr:rowOff>403225</xdr:rowOff>
    </xdr:to>
    <xdr:sp macro="" textlink="">
      <xdr:nvSpPr>
        <xdr:cNvPr id="42656" name="tp61c11c22size26color65535routev">
          <a:hlinkClick xmlns:r="http://schemas.openxmlformats.org/officeDocument/2006/relationships" r:id="" tooltip="Chris Shaw:&#10;dual channel. Requests use both phone and mail."/>
        </xdr:cNvPr>
        <xdr:cNvSpPr/>
      </xdr:nvSpPr>
      <xdr:spPr>
        <a:xfrm>
          <a:off x="29829125" y="3121025"/>
          <a:ext cx="330200" cy="330200"/>
        </a:xfrm>
        <a:prstGeom prst="ellipse">
          <a:avLst/>
        </a:prstGeom>
        <a:solidFill>
          <a:srgbClr val="FF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238125</xdr:colOff>
      <xdr:row>4</xdr:row>
      <xdr:rowOff>238125</xdr:rowOff>
    </xdr:from>
    <xdr:to>
      <xdr:col>61</xdr:col>
      <xdr:colOff>238125</xdr:colOff>
      <xdr:row>4</xdr:row>
      <xdr:rowOff>238125</xdr:rowOff>
    </xdr:to>
    <xdr:sp macro="" textlink="">
      <xdr:nvSpPr>
        <xdr:cNvPr id="42657" name="rteShptp61c11c22size26color65535routev"/>
        <xdr:cNvSpPr/>
      </xdr:nvSpPr>
      <xdr:spPr>
        <a:xfrm>
          <a:off x="29994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73025</xdr:colOff>
      <xdr:row>5</xdr:row>
      <xdr:rowOff>73025</xdr:rowOff>
    </xdr:from>
    <xdr:to>
      <xdr:col>61</xdr:col>
      <xdr:colOff>403225</xdr:colOff>
      <xdr:row>5</xdr:row>
      <xdr:rowOff>403225</xdr:rowOff>
    </xdr:to>
    <xdr:sp macro="" textlink="">
      <xdr:nvSpPr>
        <xdr:cNvPr id="42659" name="tp61c11c23size26color65535routev">
          <a:hlinkClick xmlns:r="http://schemas.openxmlformats.org/officeDocument/2006/relationships" r:id="" tooltip="Chris Shaw:&#10;dual channel. Requests use both phone and mail."/>
        </xdr:cNvPr>
        <xdr:cNvSpPr/>
      </xdr:nvSpPr>
      <xdr:spPr>
        <a:xfrm>
          <a:off x="29829125" y="3597275"/>
          <a:ext cx="330200" cy="330200"/>
        </a:xfrm>
        <a:prstGeom prst="ellipse">
          <a:avLst/>
        </a:prstGeom>
        <a:solidFill>
          <a:srgbClr val="FF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238125</xdr:colOff>
      <xdr:row>5</xdr:row>
      <xdr:rowOff>238125</xdr:rowOff>
    </xdr:from>
    <xdr:to>
      <xdr:col>61</xdr:col>
      <xdr:colOff>238125</xdr:colOff>
      <xdr:row>5</xdr:row>
      <xdr:rowOff>238125</xdr:rowOff>
    </xdr:to>
    <xdr:sp macro="" textlink="">
      <xdr:nvSpPr>
        <xdr:cNvPr id="42660" name="rteShptp61c11c23size26color65535routev"/>
        <xdr:cNvSpPr/>
      </xdr:nvSpPr>
      <xdr:spPr>
        <a:xfrm>
          <a:off x="2999422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174625</xdr:colOff>
      <xdr:row>8</xdr:row>
      <xdr:rowOff>174625</xdr:rowOff>
    </xdr:from>
    <xdr:to>
      <xdr:col>61</xdr:col>
      <xdr:colOff>301625</xdr:colOff>
      <xdr:row>8</xdr:row>
      <xdr:rowOff>301625</xdr:rowOff>
    </xdr:to>
    <xdr:sp macro="" textlink="">
      <xdr:nvSpPr>
        <xdr:cNvPr id="42662" name="tp61c11c26size10color255routecb"/>
        <xdr:cNvSpPr/>
      </xdr:nvSpPr>
      <xdr:spPr>
        <a:xfrm>
          <a:off x="29930725" y="512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238125</xdr:colOff>
      <xdr:row>8</xdr:row>
      <xdr:rowOff>238125</xdr:rowOff>
    </xdr:from>
    <xdr:to>
      <xdr:col>61</xdr:col>
      <xdr:colOff>238125</xdr:colOff>
      <xdr:row>8</xdr:row>
      <xdr:rowOff>238125</xdr:rowOff>
    </xdr:to>
    <xdr:sp macro="" textlink="">
      <xdr:nvSpPr>
        <xdr:cNvPr id="42663" name="rteShptp61c11c26size10color255routecb"/>
        <xdr:cNvSpPr/>
      </xdr:nvSpPr>
      <xdr:spPr>
        <a:xfrm>
          <a:off x="29994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174625</xdr:colOff>
      <xdr:row>13</xdr:row>
      <xdr:rowOff>174625</xdr:rowOff>
    </xdr:from>
    <xdr:to>
      <xdr:col>61</xdr:col>
      <xdr:colOff>301625</xdr:colOff>
      <xdr:row>13</xdr:row>
      <xdr:rowOff>301625</xdr:rowOff>
    </xdr:to>
    <xdr:sp macro="" textlink="">
      <xdr:nvSpPr>
        <xdr:cNvPr id="42666" name="tp61c12c21size10color65535route"/>
        <xdr:cNvSpPr/>
      </xdr:nvSpPr>
      <xdr:spPr>
        <a:xfrm>
          <a:off x="29930725" y="75088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174625</xdr:colOff>
      <xdr:row>14</xdr:row>
      <xdr:rowOff>174625</xdr:rowOff>
    </xdr:from>
    <xdr:to>
      <xdr:col>61</xdr:col>
      <xdr:colOff>301625</xdr:colOff>
      <xdr:row>14</xdr:row>
      <xdr:rowOff>301625</xdr:rowOff>
    </xdr:to>
    <xdr:sp macro="" textlink="">
      <xdr:nvSpPr>
        <xdr:cNvPr id="42667" name="tp61c12c22size10color65535route"/>
        <xdr:cNvSpPr/>
      </xdr:nvSpPr>
      <xdr:spPr>
        <a:xfrm>
          <a:off x="29930725" y="7985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174625</xdr:colOff>
      <xdr:row>15</xdr:row>
      <xdr:rowOff>174625</xdr:rowOff>
    </xdr:from>
    <xdr:to>
      <xdr:col>61</xdr:col>
      <xdr:colOff>301625</xdr:colOff>
      <xdr:row>15</xdr:row>
      <xdr:rowOff>301625</xdr:rowOff>
    </xdr:to>
    <xdr:sp macro="" textlink="">
      <xdr:nvSpPr>
        <xdr:cNvPr id="42668" name="tp61c12c23size10color65535route"/>
        <xdr:cNvSpPr/>
      </xdr:nvSpPr>
      <xdr:spPr>
        <a:xfrm>
          <a:off x="29930725" y="84613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73025</xdr:colOff>
      <xdr:row>18</xdr:row>
      <xdr:rowOff>73025</xdr:rowOff>
    </xdr:from>
    <xdr:to>
      <xdr:col>61</xdr:col>
      <xdr:colOff>403225</xdr:colOff>
      <xdr:row>18</xdr:row>
      <xdr:rowOff>403225</xdr:rowOff>
    </xdr:to>
    <xdr:sp macro="" textlink="">
      <xdr:nvSpPr>
        <xdr:cNvPr id="42669" name="tp61c12c26size26color65535routevcb"/>
        <xdr:cNvSpPr/>
      </xdr:nvSpPr>
      <xdr:spPr>
        <a:xfrm>
          <a:off x="2982912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238125</xdr:colOff>
      <xdr:row>18</xdr:row>
      <xdr:rowOff>238125</xdr:rowOff>
    </xdr:from>
    <xdr:to>
      <xdr:col>61</xdr:col>
      <xdr:colOff>238125</xdr:colOff>
      <xdr:row>18</xdr:row>
      <xdr:rowOff>238125</xdr:rowOff>
    </xdr:to>
    <xdr:sp macro="" textlink="">
      <xdr:nvSpPr>
        <xdr:cNvPr id="42670" name="rteShptp61c12c26size26color65535routevcb"/>
        <xdr:cNvSpPr/>
      </xdr:nvSpPr>
      <xdr:spPr>
        <a:xfrm>
          <a:off x="2999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123825</xdr:colOff>
      <xdr:row>23</xdr:row>
      <xdr:rowOff>123825</xdr:rowOff>
    </xdr:from>
    <xdr:to>
      <xdr:col>61</xdr:col>
      <xdr:colOff>352425</xdr:colOff>
      <xdr:row>23</xdr:row>
      <xdr:rowOff>352425</xdr:rowOff>
    </xdr:to>
    <xdr:sp macro="" textlink="">
      <xdr:nvSpPr>
        <xdr:cNvPr id="42674" name="tp61c13c21size18color65535route"/>
        <xdr:cNvSpPr/>
      </xdr:nvSpPr>
      <xdr:spPr>
        <a:xfrm>
          <a:off x="29879925" y="122205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123825</xdr:colOff>
      <xdr:row>24</xdr:row>
      <xdr:rowOff>123825</xdr:rowOff>
    </xdr:from>
    <xdr:to>
      <xdr:col>61</xdr:col>
      <xdr:colOff>352425</xdr:colOff>
      <xdr:row>24</xdr:row>
      <xdr:rowOff>352425</xdr:rowOff>
    </xdr:to>
    <xdr:sp macro="" textlink="">
      <xdr:nvSpPr>
        <xdr:cNvPr id="42675" name="tp61c13c22size18color255route"/>
        <xdr:cNvSpPr/>
      </xdr:nvSpPr>
      <xdr:spPr>
        <a:xfrm>
          <a:off x="29879925" y="126968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123825</xdr:colOff>
      <xdr:row>25</xdr:row>
      <xdr:rowOff>123825</xdr:rowOff>
    </xdr:from>
    <xdr:to>
      <xdr:col>61</xdr:col>
      <xdr:colOff>352425</xdr:colOff>
      <xdr:row>25</xdr:row>
      <xdr:rowOff>352425</xdr:rowOff>
    </xdr:to>
    <xdr:sp macro="" textlink="">
      <xdr:nvSpPr>
        <xdr:cNvPr id="42676" name="tp61c13c23size18color255routev"/>
        <xdr:cNvSpPr/>
      </xdr:nvSpPr>
      <xdr:spPr>
        <a:xfrm>
          <a:off x="29879925" y="1317307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238125</xdr:colOff>
      <xdr:row>25</xdr:row>
      <xdr:rowOff>238125</xdr:rowOff>
    </xdr:from>
    <xdr:to>
      <xdr:col>61</xdr:col>
      <xdr:colOff>238125</xdr:colOff>
      <xdr:row>25</xdr:row>
      <xdr:rowOff>238125</xdr:rowOff>
    </xdr:to>
    <xdr:sp macro="" textlink="">
      <xdr:nvSpPr>
        <xdr:cNvPr id="42677" name="rteShptp61c13c23size18color255routev"/>
        <xdr:cNvSpPr/>
      </xdr:nvSpPr>
      <xdr:spPr>
        <a:xfrm>
          <a:off x="29994225" y="1328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123825</xdr:colOff>
      <xdr:row>28</xdr:row>
      <xdr:rowOff>123825</xdr:rowOff>
    </xdr:from>
    <xdr:to>
      <xdr:col>61</xdr:col>
      <xdr:colOff>352425</xdr:colOff>
      <xdr:row>28</xdr:row>
      <xdr:rowOff>352425</xdr:rowOff>
    </xdr:to>
    <xdr:sp macro="" textlink="">
      <xdr:nvSpPr>
        <xdr:cNvPr id="42679" name="tp61c13c26size18color65535routecb"/>
        <xdr:cNvSpPr/>
      </xdr:nvSpPr>
      <xdr:spPr>
        <a:xfrm>
          <a:off x="29879925" y="14601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61</xdr:col>
      <xdr:colOff>238125</xdr:colOff>
      <xdr:row>28</xdr:row>
      <xdr:rowOff>238125</xdr:rowOff>
    </xdr:from>
    <xdr:to>
      <xdr:col>61</xdr:col>
      <xdr:colOff>238125</xdr:colOff>
      <xdr:row>28</xdr:row>
      <xdr:rowOff>238125</xdr:rowOff>
    </xdr:to>
    <xdr:sp macro="" textlink="">
      <xdr:nvSpPr>
        <xdr:cNvPr id="42680" name="rteShptp61c13c26size18color65535routecb"/>
        <xdr:cNvSpPr/>
      </xdr:nvSpPr>
      <xdr:spPr>
        <a:xfrm>
          <a:off x="29994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73025</xdr:colOff>
      <xdr:row>4</xdr:row>
      <xdr:rowOff>73025</xdr:rowOff>
    </xdr:from>
    <xdr:to>
      <xdr:col>62</xdr:col>
      <xdr:colOff>403225</xdr:colOff>
      <xdr:row>4</xdr:row>
      <xdr:rowOff>403225</xdr:rowOff>
    </xdr:to>
    <xdr:sp macro="" textlink="">
      <xdr:nvSpPr>
        <xdr:cNvPr id="42683" name="tp62c11c22size26color255routevc"/>
        <xdr:cNvSpPr/>
      </xdr:nvSpPr>
      <xdr:spPr>
        <a:xfrm>
          <a:off x="3030537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238125</xdr:colOff>
      <xdr:row>4</xdr:row>
      <xdr:rowOff>238125</xdr:rowOff>
    </xdr:from>
    <xdr:to>
      <xdr:col>62</xdr:col>
      <xdr:colOff>238125</xdr:colOff>
      <xdr:row>4</xdr:row>
      <xdr:rowOff>238125</xdr:rowOff>
    </xdr:to>
    <xdr:sp macro="" textlink="">
      <xdr:nvSpPr>
        <xdr:cNvPr id="42684" name="rteShptp62c11c22size26color255routevc"/>
        <xdr:cNvSpPr/>
      </xdr:nvSpPr>
      <xdr:spPr>
        <a:xfrm>
          <a:off x="30470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174625</xdr:colOff>
      <xdr:row>5</xdr:row>
      <xdr:rowOff>174625</xdr:rowOff>
    </xdr:from>
    <xdr:to>
      <xdr:col>62</xdr:col>
      <xdr:colOff>301625</xdr:colOff>
      <xdr:row>5</xdr:row>
      <xdr:rowOff>301625</xdr:rowOff>
    </xdr:to>
    <xdr:sp macro="" textlink="">
      <xdr:nvSpPr>
        <xdr:cNvPr id="42687" name="tp62c11c23size10color255route"/>
        <xdr:cNvSpPr/>
      </xdr:nvSpPr>
      <xdr:spPr>
        <a:xfrm>
          <a:off x="30406975" y="3698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238125</xdr:colOff>
      <xdr:row>8</xdr:row>
      <xdr:rowOff>238125</xdr:rowOff>
    </xdr:from>
    <xdr:to>
      <xdr:col>62</xdr:col>
      <xdr:colOff>238125</xdr:colOff>
      <xdr:row>8</xdr:row>
      <xdr:rowOff>238125</xdr:rowOff>
    </xdr:to>
    <xdr:sp macro="" textlink="">
      <xdr:nvSpPr>
        <xdr:cNvPr id="42688" name="rteShptp62c11c26size0color0routeb"/>
        <xdr:cNvSpPr/>
      </xdr:nvSpPr>
      <xdr:spPr>
        <a:xfrm>
          <a:off x="30470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73025</xdr:colOff>
      <xdr:row>14</xdr:row>
      <xdr:rowOff>73025</xdr:rowOff>
    </xdr:from>
    <xdr:to>
      <xdr:col>62</xdr:col>
      <xdr:colOff>403225</xdr:colOff>
      <xdr:row>14</xdr:row>
      <xdr:rowOff>403225</xdr:rowOff>
    </xdr:to>
    <xdr:sp macro="" textlink="">
      <xdr:nvSpPr>
        <xdr:cNvPr id="42690" name="tp62c12c22size26color255routevc"/>
        <xdr:cNvSpPr/>
      </xdr:nvSpPr>
      <xdr:spPr>
        <a:xfrm>
          <a:off x="3030537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238125</xdr:colOff>
      <xdr:row>14</xdr:row>
      <xdr:rowOff>238125</xdr:rowOff>
    </xdr:from>
    <xdr:to>
      <xdr:col>62</xdr:col>
      <xdr:colOff>238125</xdr:colOff>
      <xdr:row>14</xdr:row>
      <xdr:rowOff>238125</xdr:rowOff>
    </xdr:to>
    <xdr:sp macro="" textlink="">
      <xdr:nvSpPr>
        <xdr:cNvPr id="42691" name="rteShptp62c12c22size26color255routevc"/>
        <xdr:cNvSpPr/>
      </xdr:nvSpPr>
      <xdr:spPr>
        <a:xfrm>
          <a:off x="304704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174625</xdr:colOff>
      <xdr:row>15</xdr:row>
      <xdr:rowOff>174625</xdr:rowOff>
    </xdr:from>
    <xdr:to>
      <xdr:col>62</xdr:col>
      <xdr:colOff>301625</xdr:colOff>
      <xdr:row>15</xdr:row>
      <xdr:rowOff>301625</xdr:rowOff>
    </xdr:to>
    <xdr:sp macro="" textlink="">
      <xdr:nvSpPr>
        <xdr:cNvPr id="42694" name="tp62c12c23size10color255route"/>
        <xdr:cNvSpPr/>
      </xdr:nvSpPr>
      <xdr:spPr>
        <a:xfrm>
          <a:off x="30406975" y="8461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174625</xdr:colOff>
      <xdr:row>16</xdr:row>
      <xdr:rowOff>174625</xdr:rowOff>
    </xdr:from>
    <xdr:to>
      <xdr:col>62</xdr:col>
      <xdr:colOff>301625</xdr:colOff>
      <xdr:row>16</xdr:row>
      <xdr:rowOff>301625</xdr:rowOff>
    </xdr:to>
    <xdr:sp macro="" textlink="">
      <xdr:nvSpPr>
        <xdr:cNvPr id="42695" name="tp62c12c24size10color255route"/>
        <xdr:cNvSpPr/>
      </xdr:nvSpPr>
      <xdr:spPr>
        <a:xfrm>
          <a:off x="30406975" y="893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174625</xdr:colOff>
      <xdr:row>18</xdr:row>
      <xdr:rowOff>174625</xdr:rowOff>
    </xdr:from>
    <xdr:to>
      <xdr:col>62</xdr:col>
      <xdr:colOff>301625</xdr:colOff>
      <xdr:row>18</xdr:row>
      <xdr:rowOff>301625</xdr:rowOff>
    </xdr:to>
    <xdr:sp macro="" textlink="">
      <xdr:nvSpPr>
        <xdr:cNvPr id="42696" name="tp62c12c26size10color255routeb"/>
        <xdr:cNvSpPr/>
      </xdr:nvSpPr>
      <xdr:spPr>
        <a:xfrm>
          <a:off x="30406975" y="9890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238125</xdr:colOff>
      <xdr:row>18</xdr:row>
      <xdr:rowOff>238125</xdr:rowOff>
    </xdr:from>
    <xdr:to>
      <xdr:col>62</xdr:col>
      <xdr:colOff>238125</xdr:colOff>
      <xdr:row>18</xdr:row>
      <xdr:rowOff>238125</xdr:rowOff>
    </xdr:to>
    <xdr:sp macro="" textlink="">
      <xdr:nvSpPr>
        <xdr:cNvPr id="42697" name="rteShptp62c12c26size10color255routeb"/>
        <xdr:cNvSpPr/>
      </xdr:nvSpPr>
      <xdr:spPr>
        <a:xfrm>
          <a:off x="3047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73025</xdr:colOff>
      <xdr:row>24</xdr:row>
      <xdr:rowOff>73025</xdr:rowOff>
    </xdr:from>
    <xdr:to>
      <xdr:col>62</xdr:col>
      <xdr:colOff>403225</xdr:colOff>
      <xdr:row>24</xdr:row>
      <xdr:rowOff>403225</xdr:rowOff>
    </xdr:to>
    <xdr:sp macro="" textlink="">
      <xdr:nvSpPr>
        <xdr:cNvPr id="42699" name="tp62c13c22size26color255routevc">
          <a:hlinkClick xmlns:r="http://schemas.openxmlformats.org/officeDocument/2006/relationships" r:id="" tooltip="Chris Shaw:&#10;more urgent, want to call"/>
        </xdr:cNvPr>
        <xdr:cNvSpPr/>
      </xdr:nvSpPr>
      <xdr:spPr>
        <a:xfrm>
          <a:off x="30305375" y="12646025"/>
          <a:ext cx="330200" cy="330200"/>
        </a:xfrm>
        <a:prstGeom prst="ellipse">
          <a:avLst/>
        </a:prstGeom>
        <a:solidFill>
          <a:srgbClr val="FF00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238125</xdr:colOff>
      <xdr:row>24</xdr:row>
      <xdr:rowOff>238125</xdr:rowOff>
    </xdr:from>
    <xdr:to>
      <xdr:col>62</xdr:col>
      <xdr:colOff>238125</xdr:colOff>
      <xdr:row>24</xdr:row>
      <xdr:rowOff>238125</xdr:rowOff>
    </xdr:to>
    <xdr:sp macro="" textlink="">
      <xdr:nvSpPr>
        <xdr:cNvPr id="42700" name="rteShptp62c13c22size26color255routevc"/>
        <xdr:cNvSpPr/>
      </xdr:nvSpPr>
      <xdr:spPr>
        <a:xfrm>
          <a:off x="304704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174625</xdr:colOff>
      <xdr:row>25</xdr:row>
      <xdr:rowOff>174625</xdr:rowOff>
    </xdr:from>
    <xdr:to>
      <xdr:col>62</xdr:col>
      <xdr:colOff>301625</xdr:colOff>
      <xdr:row>25</xdr:row>
      <xdr:rowOff>301625</xdr:rowOff>
    </xdr:to>
    <xdr:sp macro="" textlink="">
      <xdr:nvSpPr>
        <xdr:cNvPr id="42703" name="tp62c13c23size10color255route"/>
        <xdr:cNvSpPr/>
      </xdr:nvSpPr>
      <xdr:spPr>
        <a:xfrm>
          <a:off x="30406975" y="13223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174625</xdr:colOff>
      <xdr:row>28</xdr:row>
      <xdr:rowOff>174625</xdr:rowOff>
    </xdr:from>
    <xdr:to>
      <xdr:col>62</xdr:col>
      <xdr:colOff>301625</xdr:colOff>
      <xdr:row>28</xdr:row>
      <xdr:rowOff>301625</xdr:rowOff>
    </xdr:to>
    <xdr:sp macro="" textlink="">
      <xdr:nvSpPr>
        <xdr:cNvPr id="42704" name="tp62c13c26size10color255routeb"/>
        <xdr:cNvSpPr/>
      </xdr:nvSpPr>
      <xdr:spPr>
        <a:xfrm>
          <a:off x="30406975" y="14652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238125</xdr:colOff>
      <xdr:row>28</xdr:row>
      <xdr:rowOff>238125</xdr:rowOff>
    </xdr:from>
    <xdr:to>
      <xdr:col>62</xdr:col>
      <xdr:colOff>238125</xdr:colOff>
      <xdr:row>28</xdr:row>
      <xdr:rowOff>238125</xdr:rowOff>
    </xdr:to>
    <xdr:sp macro="" textlink="">
      <xdr:nvSpPr>
        <xdr:cNvPr id="42705" name="rteShptp62c13c26size10color255routeb"/>
        <xdr:cNvSpPr/>
      </xdr:nvSpPr>
      <xdr:spPr>
        <a:xfrm>
          <a:off x="30470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3</xdr:row>
      <xdr:rowOff>123825</xdr:rowOff>
    </xdr:from>
    <xdr:to>
      <xdr:col>63</xdr:col>
      <xdr:colOff>352425</xdr:colOff>
      <xdr:row>3</xdr:row>
      <xdr:rowOff>352425</xdr:rowOff>
    </xdr:to>
    <xdr:sp macro="" textlink="">
      <xdr:nvSpPr>
        <xdr:cNvPr id="42707" name="tp63c11c21size18color16777215route"/>
        <xdr:cNvSpPr/>
      </xdr:nvSpPr>
      <xdr:spPr>
        <a:xfrm>
          <a:off x="308324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4</xdr:row>
      <xdr:rowOff>123825</xdr:rowOff>
    </xdr:from>
    <xdr:to>
      <xdr:col>63</xdr:col>
      <xdr:colOff>352425</xdr:colOff>
      <xdr:row>4</xdr:row>
      <xdr:rowOff>352425</xdr:rowOff>
    </xdr:to>
    <xdr:sp macro="" textlink="">
      <xdr:nvSpPr>
        <xdr:cNvPr id="42708" name="tp63c11c22size18color16777215routevc"/>
        <xdr:cNvSpPr/>
      </xdr:nvSpPr>
      <xdr:spPr>
        <a:xfrm>
          <a:off x="308324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238125</xdr:colOff>
      <xdr:row>4</xdr:row>
      <xdr:rowOff>238125</xdr:rowOff>
    </xdr:from>
    <xdr:to>
      <xdr:col>63</xdr:col>
      <xdr:colOff>238125</xdr:colOff>
      <xdr:row>4</xdr:row>
      <xdr:rowOff>238125</xdr:rowOff>
    </xdr:to>
    <xdr:sp macro="" textlink="">
      <xdr:nvSpPr>
        <xdr:cNvPr id="42709" name="rteShptp63c11c22size18color16777215routevc"/>
        <xdr:cNvSpPr/>
      </xdr:nvSpPr>
      <xdr:spPr>
        <a:xfrm>
          <a:off x="30946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5</xdr:row>
      <xdr:rowOff>123825</xdr:rowOff>
    </xdr:from>
    <xdr:to>
      <xdr:col>63</xdr:col>
      <xdr:colOff>352425</xdr:colOff>
      <xdr:row>5</xdr:row>
      <xdr:rowOff>352425</xdr:rowOff>
    </xdr:to>
    <xdr:sp macro="" textlink="">
      <xdr:nvSpPr>
        <xdr:cNvPr id="42712" name="tp63c11c23size18color16777215route"/>
        <xdr:cNvSpPr/>
      </xdr:nvSpPr>
      <xdr:spPr>
        <a:xfrm>
          <a:off x="308324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6</xdr:row>
      <xdr:rowOff>123825</xdr:rowOff>
    </xdr:from>
    <xdr:to>
      <xdr:col>63</xdr:col>
      <xdr:colOff>352425</xdr:colOff>
      <xdr:row>6</xdr:row>
      <xdr:rowOff>352425</xdr:rowOff>
    </xdr:to>
    <xdr:sp macro="" textlink="">
      <xdr:nvSpPr>
        <xdr:cNvPr id="42713" name="tp63c11c24size18color16777215route"/>
        <xdr:cNvSpPr/>
      </xdr:nvSpPr>
      <xdr:spPr>
        <a:xfrm>
          <a:off x="308324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7</xdr:row>
      <xdr:rowOff>123825</xdr:rowOff>
    </xdr:from>
    <xdr:to>
      <xdr:col>63</xdr:col>
      <xdr:colOff>352425</xdr:colOff>
      <xdr:row>7</xdr:row>
      <xdr:rowOff>352425</xdr:rowOff>
    </xdr:to>
    <xdr:sp macro="" textlink="">
      <xdr:nvSpPr>
        <xdr:cNvPr id="42714" name="tp63c11c25size18color16777215route"/>
        <xdr:cNvSpPr/>
      </xdr:nvSpPr>
      <xdr:spPr>
        <a:xfrm>
          <a:off x="308324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8</xdr:row>
      <xdr:rowOff>123825</xdr:rowOff>
    </xdr:from>
    <xdr:to>
      <xdr:col>63</xdr:col>
      <xdr:colOff>352425</xdr:colOff>
      <xdr:row>8</xdr:row>
      <xdr:rowOff>352425</xdr:rowOff>
    </xdr:to>
    <xdr:sp macro="" textlink="">
      <xdr:nvSpPr>
        <xdr:cNvPr id="42715" name="tp63c11c26size18color16777215routeb"/>
        <xdr:cNvSpPr/>
      </xdr:nvSpPr>
      <xdr:spPr>
        <a:xfrm>
          <a:off x="308324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238125</xdr:colOff>
      <xdr:row>8</xdr:row>
      <xdr:rowOff>238125</xdr:rowOff>
    </xdr:from>
    <xdr:to>
      <xdr:col>63</xdr:col>
      <xdr:colOff>238125</xdr:colOff>
      <xdr:row>8</xdr:row>
      <xdr:rowOff>238125</xdr:rowOff>
    </xdr:to>
    <xdr:sp macro="" textlink="">
      <xdr:nvSpPr>
        <xdr:cNvPr id="42716" name="rteShptp63c11c26size18color16777215routeb"/>
        <xdr:cNvSpPr/>
      </xdr:nvSpPr>
      <xdr:spPr>
        <a:xfrm>
          <a:off x="30946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9</xdr:row>
      <xdr:rowOff>123825</xdr:rowOff>
    </xdr:from>
    <xdr:to>
      <xdr:col>63</xdr:col>
      <xdr:colOff>352425</xdr:colOff>
      <xdr:row>9</xdr:row>
      <xdr:rowOff>352425</xdr:rowOff>
    </xdr:to>
    <xdr:sp macro="" textlink="">
      <xdr:nvSpPr>
        <xdr:cNvPr id="42718" name="tp63c11c27size18color16777215route"/>
        <xdr:cNvSpPr/>
      </xdr:nvSpPr>
      <xdr:spPr>
        <a:xfrm>
          <a:off x="308324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10</xdr:row>
      <xdr:rowOff>123825</xdr:rowOff>
    </xdr:from>
    <xdr:to>
      <xdr:col>63</xdr:col>
      <xdr:colOff>352425</xdr:colOff>
      <xdr:row>10</xdr:row>
      <xdr:rowOff>352425</xdr:rowOff>
    </xdr:to>
    <xdr:sp macro="" textlink="">
      <xdr:nvSpPr>
        <xdr:cNvPr id="42719" name="tp63c11c28size18color16777215route"/>
        <xdr:cNvSpPr/>
      </xdr:nvSpPr>
      <xdr:spPr>
        <a:xfrm>
          <a:off x="308324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13</xdr:row>
      <xdr:rowOff>123825</xdr:rowOff>
    </xdr:from>
    <xdr:to>
      <xdr:col>63</xdr:col>
      <xdr:colOff>352425</xdr:colOff>
      <xdr:row>13</xdr:row>
      <xdr:rowOff>352425</xdr:rowOff>
    </xdr:to>
    <xdr:sp macro="" textlink="">
      <xdr:nvSpPr>
        <xdr:cNvPr id="42720" name="tp63c12c21size18color65535route"/>
        <xdr:cNvSpPr/>
      </xdr:nvSpPr>
      <xdr:spPr>
        <a:xfrm>
          <a:off x="30832425" y="745807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16</xdr:row>
      <xdr:rowOff>123825</xdr:rowOff>
    </xdr:from>
    <xdr:to>
      <xdr:col>63</xdr:col>
      <xdr:colOff>352425</xdr:colOff>
      <xdr:row>16</xdr:row>
      <xdr:rowOff>352425</xdr:rowOff>
    </xdr:to>
    <xdr:sp macro="" textlink="">
      <xdr:nvSpPr>
        <xdr:cNvPr id="42721" name="tp63c12c24size18color65535routevcb"/>
        <xdr:cNvSpPr/>
      </xdr:nvSpPr>
      <xdr:spPr>
        <a:xfrm>
          <a:off x="30832425" y="888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238125</xdr:colOff>
      <xdr:row>16</xdr:row>
      <xdr:rowOff>238125</xdr:rowOff>
    </xdr:from>
    <xdr:to>
      <xdr:col>63</xdr:col>
      <xdr:colOff>238125</xdr:colOff>
      <xdr:row>16</xdr:row>
      <xdr:rowOff>238125</xdr:rowOff>
    </xdr:to>
    <xdr:sp macro="" textlink="">
      <xdr:nvSpPr>
        <xdr:cNvPr id="42722" name="rteShptp63c12c24size18color65535routevcb"/>
        <xdr:cNvSpPr/>
      </xdr:nvSpPr>
      <xdr:spPr>
        <a:xfrm>
          <a:off x="30946725" y="900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23</xdr:row>
      <xdr:rowOff>123825</xdr:rowOff>
    </xdr:from>
    <xdr:to>
      <xdr:col>63</xdr:col>
      <xdr:colOff>352425</xdr:colOff>
      <xdr:row>23</xdr:row>
      <xdr:rowOff>352425</xdr:rowOff>
    </xdr:to>
    <xdr:sp macro="" textlink="">
      <xdr:nvSpPr>
        <xdr:cNvPr id="42726" name="tp63c13c21size18color16777215route"/>
        <xdr:cNvSpPr/>
      </xdr:nvSpPr>
      <xdr:spPr>
        <a:xfrm>
          <a:off x="3083242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24</xdr:row>
      <xdr:rowOff>123825</xdr:rowOff>
    </xdr:from>
    <xdr:to>
      <xdr:col>63</xdr:col>
      <xdr:colOff>352425</xdr:colOff>
      <xdr:row>24</xdr:row>
      <xdr:rowOff>352425</xdr:rowOff>
    </xdr:to>
    <xdr:sp macro="" textlink="">
      <xdr:nvSpPr>
        <xdr:cNvPr id="42727" name="tp63c13c22size18color16777215routevc"/>
        <xdr:cNvSpPr/>
      </xdr:nvSpPr>
      <xdr:spPr>
        <a:xfrm>
          <a:off x="3083242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238125</xdr:colOff>
      <xdr:row>24</xdr:row>
      <xdr:rowOff>238125</xdr:rowOff>
    </xdr:from>
    <xdr:to>
      <xdr:col>63</xdr:col>
      <xdr:colOff>238125</xdr:colOff>
      <xdr:row>24</xdr:row>
      <xdr:rowOff>238125</xdr:rowOff>
    </xdr:to>
    <xdr:sp macro="" textlink="">
      <xdr:nvSpPr>
        <xdr:cNvPr id="42728" name="rteShptp63c13c22size18color16777215routevc"/>
        <xdr:cNvSpPr/>
      </xdr:nvSpPr>
      <xdr:spPr>
        <a:xfrm>
          <a:off x="30946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25</xdr:row>
      <xdr:rowOff>123825</xdr:rowOff>
    </xdr:from>
    <xdr:to>
      <xdr:col>63</xdr:col>
      <xdr:colOff>352425</xdr:colOff>
      <xdr:row>25</xdr:row>
      <xdr:rowOff>352425</xdr:rowOff>
    </xdr:to>
    <xdr:sp macro="" textlink="">
      <xdr:nvSpPr>
        <xdr:cNvPr id="42731" name="tp63c13c23size18color16777215route"/>
        <xdr:cNvSpPr/>
      </xdr:nvSpPr>
      <xdr:spPr>
        <a:xfrm>
          <a:off x="3083242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26</xdr:row>
      <xdr:rowOff>123825</xdr:rowOff>
    </xdr:from>
    <xdr:to>
      <xdr:col>63</xdr:col>
      <xdr:colOff>352425</xdr:colOff>
      <xdr:row>26</xdr:row>
      <xdr:rowOff>352425</xdr:rowOff>
    </xdr:to>
    <xdr:sp macro="" textlink="">
      <xdr:nvSpPr>
        <xdr:cNvPr id="42732" name="tp63c13c24size18color16777215route"/>
        <xdr:cNvSpPr/>
      </xdr:nvSpPr>
      <xdr:spPr>
        <a:xfrm>
          <a:off x="3083242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27</xdr:row>
      <xdr:rowOff>123825</xdr:rowOff>
    </xdr:from>
    <xdr:to>
      <xdr:col>63</xdr:col>
      <xdr:colOff>352425</xdr:colOff>
      <xdr:row>27</xdr:row>
      <xdr:rowOff>352425</xdr:rowOff>
    </xdr:to>
    <xdr:sp macro="" textlink="">
      <xdr:nvSpPr>
        <xdr:cNvPr id="42733" name="tp63c13c25size18color16777215route"/>
        <xdr:cNvSpPr/>
      </xdr:nvSpPr>
      <xdr:spPr>
        <a:xfrm>
          <a:off x="3083242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28</xdr:row>
      <xdr:rowOff>123825</xdr:rowOff>
    </xdr:from>
    <xdr:to>
      <xdr:col>63</xdr:col>
      <xdr:colOff>352425</xdr:colOff>
      <xdr:row>28</xdr:row>
      <xdr:rowOff>352425</xdr:rowOff>
    </xdr:to>
    <xdr:sp macro="" textlink="">
      <xdr:nvSpPr>
        <xdr:cNvPr id="42734" name="tp63c13c26size18color16777215routeb"/>
        <xdr:cNvSpPr/>
      </xdr:nvSpPr>
      <xdr:spPr>
        <a:xfrm>
          <a:off x="3083242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238125</xdr:colOff>
      <xdr:row>28</xdr:row>
      <xdr:rowOff>238125</xdr:rowOff>
    </xdr:from>
    <xdr:to>
      <xdr:col>63</xdr:col>
      <xdr:colOff>238125</xdr:colOff>
      <xdr:row>28</xdr:row>
      <xdr:rowOff>238125</xdr:rowOff>
    </xdr:to>
    <xdr:sp macro="" textlink="">
      <xdr:nvSpPr>
        <xdr:cNvPr id="42735" name="rteShptp63c13c26size18color16777215routeb"/>
        <xdr:cNvSpPr/>
      </xdr:nvSpPr>
      <xdr:spPr>
        <a:xfrm>
          <a:off x="30946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29</xdr:row>
      <xdr:rowOff>123825</xdr:rowOff>
    </xdr:from>
    <xdr:to>
      <xdr:col>63</xdr:col>
      <xdr:colOff>352425</xdr:colOff>
      <xdr:row>29</xdr:row>
      <xdr:rowOff>352425</xdr:rowOff>
    </xdr:to>
    <xdr:sp macro="" textlink="">
      <xdr:nvSpPr>
        <xdr:cNvPr id="42737" name="tp63c13c27size18color16777215route"/>
        <xdr:cNvSpPr/>
      </xdr:nvSpPr>
      <xdr:spPr>
        <a:xfrm>
          <a:off x="3083242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123825</xdr:colOff>
      <xdr:row>30</xdr:row>
      <xdr:rowOff>123825</xdr:rowOff>
    </xdr:from>
    <xdr:to>
      <xdr:col>63</xdr:col>
      <xdr:colOff>352425</xdr:colOff>
      <xdr:row>30</xdr:row>
      <xdr:rowOff>352425</xdr:rowOff>
    </xdr:to>
    <xdr:sp macro="" textlink="">
      <xdr:nvSpPr>
        <xdr:cNvPr id="42738" name="tp63c13c28size18color16777215route"/>
        <xdr:cNvSpPr/>
      </xdr:nvSpPr>
      <xdr:spPr>
        <a:xfrm>
          <a:off x="3083242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174625</xdr:colOff>
      <xdr:row>3</xdr:row>
      <xdr:rowOff>174625</xdr:rowOff>
    </xdr:from>
    <xdr:to>
      <xdr:col>64</xdr:col>
      <xdr:colOff>301625</xdr:colOff>
      <xdr:row>3</xdr:row>
      <xdr:rowOff>301625</xdr:rowOff>
    </xdr:to>
    <xdr:sp macro="" textlink="">
      <xdr:nvSpPr>
        <xdr:cNvPr id="42739" name="tp64c11c21size10color255route"/>
        <xdr:cNvSpPr/>
      </xdr:nvSpPr>
      <xdr:spPr>
        <a:xfrm>
          <a:off x="31359475" y="2746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73025</xdr:colOff>
      <xdr:row>4</xdr:row>
      <xdr:rowOff>73025</xdr:rowOff>
    </xdr:from>
    <xdr:to>
      <xdr:col>64</xdr:col>
      <xdr:colOff>403225</xdr:colOff>
      <xdr:row>4</xdr:row>
      <xdr:rowOff>403225</xdr:rowOff>
    </xdr:to>
    <xdr:sp macro="" textlink="">
      <xdr:nvSpPr>
        <xdr:cNvPr id="42740" name="tp64c11c22size26color255routevc"/>
        <xdr:cNvSpPr/>
      </xdr:nvSpPr>
      <xdr:spPr>
        <a:xfrm>
          <a:off x="3125787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238125</xdr:colOff>
      <xdr:row>4</xdr:row>
      <xdr:rowOff>238125</xdr:rowOff>
    </xdr:from>
    <xdr:to>
      <xdr:col>64</xdr:col>
      <xdr:colOff>238125</xdr:colOff>
      <xdr:row>4</xdr:row>
      <xdr:rowOff>238125</xdr:rowOff>
    </xdr:to>
    <xdr:sp macro="" textlink="">
      <xdr:nvSpPr>
        <xdr:cNvPr id="42741" name="rteShptp64c11c22size26color255routevc"/>
        <xdr:cNvSpPr/>
      </xdr:nvSpPr>
      <xdr:spPr>
        <a:xfrm>
          <a:off x="3142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174625</xdr:colOff>
      <xdr:row>5</xdr:row>
      <xdr:rowOff>174625</xdr:rowOff>
    </xdr:from>
    <xdr:to>
      <xdr:col>64</xdr:col>
      <xdr:colOff>301625</xdr:colOff>
      <xdr:row>5</xdr:row>
      <xdr:rowOff>301625</xdr:rowOff>
    </xdr:to>
    <xdr:sp macro="" textlink="">
      <xdr:nvSpPr>
        <xdr:cNvPr id="42744" name="tp64c11c23size10color255route"/>
        <xdr:cNvSpPr/>
      </xdr:nvSpPr>
      <xdr:spPr>
        <a:xfrm>
          <a:off x="31359475" y="3698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174625</xdr:colOff>
      <xdr:row>6</xdr:row>
      <xdr:rowOff>174625</xdr:rowOff>
    </xdr:from>
    <xdr:to>
      <xdr:col>64</xdr:col>
      <xdr:colOff>301625</xdr:colOff>
      <xdr:row>6</xdr:row>
      <xdr:rowOff>301625</xdr:rowOff>
    </xdr:to>
    <xdr:sp macro="" textlink="">
      <xdr:nvSpPr>
        <xdr:cNvPr id="42745" name="tp64c11c24size10color255route"/>
        <xdr:cNvSpPr/>
      </xdr:nvSpPr>
      <xdr:spPr>
        <a:xfrm>
          <a:off x="31359475" y="417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174625</xdr:colOff>
      <xdr:row>8</xdr:row>
      <xdr:rowOff>174625</xdr:rowOff>
    </xdr:from>
    <xdr:to>
      <xdr:col>64</xdr:col>
      <xdr:colOff>301625</xdr:colOff>
      <xdr:row>8</xdr:row>
      <xdr:rowOff>301625</xdr:rowOff>
    </xdr:to>
    <xdr:sp macro="" textlink="">
      <xdr:nvSpPr>
        <xdr:cNvPr id="42746" name="tp64c11c26size10color255routeb"/>
        <xdr:cNvSpPr/>
      </xdr:nvSpPr>
      <xdr:spPr>
        <a:xfrm>
          <a:off x="31359475" y="512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238125</xdr:colOff>
      <xdr:row>8</xdr:row>
      <xdr:rowOff>238125</xdr:rowOff>
    </xdr:from>
    <xdr:to>
      <xdr:col>64</xdr:col>
      <xdr:colOff>238125</xdr:colOff>
      <xdr:row>8</xdr:row>
      <xdr:rowOff>238125</xdr:rowOff>
    </xdr:to>
    <xdr:sp macro="" textlink="">
      <xdr:nvSpPr>
        <xdr:cNvPr id="42747" name="rteShptp64c11c26size10color255routeb"/>
        <xdr:cNvSpPr/>
      </xdr:nvSpPr>
      <xdr:spPr>
        <a:xfrm>
          <a:off x="31422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123825</xdr:colOff>
      <xdr:row>13</xdr:row>
      <xdr:rowOff>123825</xdr:rowOff>
    </xdr:from>
    <xdr:to>
      <xdr:col>64</xdr:col>
      <xdr:colOff>352425</xdr:colOff>
      <xdr:row>13</xdr:row>
      <xdr:rowOff>352425</xdr:rowOff>
    </xdr:to>
    <xdr:sp macro="" textlink="">
      <xdr:nvSpPr>
        <xdr:cNvPr id="42749" name="tp64c12c21size18color255route"/>
        <xdr:cNvSpPr/>
      </xdr:nvSpPr>
      <xdr:spPr>
        <a:xfrm>
          <a:off x="31308675" y="745807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123825</xdr:colOff>
      <xdr:row>14</xdr:row>
      <xdr:rowOff>123825</xdr:rowOff>
    </xdr:from>
    <xdr:to>
      <xdr:col>64</xdr:col>
      <xdr:colOff>352425</xdr:colOff>
      <xdr:row>14</xdr:row>
      <xdr:rowOff>352425</xdr:rowOff>
    </xdr:to>
    <xdr:sp macro="" textlink="">
      <xdr:nvSpPr>
        <xdr:cNvPr id="42750" name="tp64c12c22size18color255routev"/>
        <xdr:cNvSpPr/>
      </xdr:nvSpPr>
      <xdr:spPr>
        <a:xfrm>
          <a:off x="31308675" y="7934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238125</xdr:colOff>
      <xdr:row>14</xdr:row>
      <xdr:rowOff>238125</xdr:rowOff>
    </xdr:from>
    <xdr:to>
      <xdr:col>64</xdr:col>
      <xdr:colOff>238125</xdr:colOff>
      <xdr:row>14</xdr:row>
      <xdr:rowOff>238125</xdr:rowOff>
    </xdr:to>
    <xdr:sp macro="" textlink="">
      <xdr:nvSpPr>
        <xdr:cNvPr id="42751" name="rteShptp64c12c22size18color255routev"/>
        <xdr:cNvSpPr/>
      </xdr:nvSpPr>
      <xdr:spPr>
        <a:xfrm>
          <a:off x="314229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123825</xdr:colOff>
      <xdr:row>16</xdr:row>
      <xdr:rowOff>123825</xdr:rowOff>
    </xdr:from>
    <xdr:to>
      <xdr:col>64</xdr:col>
      <xdr:colOff>352425</xdr:colOff>
      <xdr:row>16</xdr:row>
      <xdr:rowOff>352425</xdr:rowOff>
    </xdr:to>
    <xdr:sp macro="" textlink="">
      <xdr:nvSpPr>
        <xdr:cNvPr id="42753" name="tp64c12c24size18color255route"/>
        <xdr:cNvSpPr/>
      </xdr:nvSpPr>
      <xdr:spPr>
        <a:xfrm>
          <a:off x="31308675" y="88868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123825</xdr:colOff>
      <xdr:row>18</xdr:row>
      <xdr:rowOff>123825</xdr:rowOff>
    </xdr:from>
    <xdr:to>
      <xdr:col>64</xdr:col>
      <xdr:colOff>352425</xdr:colOff>
      <xdr:row>18</xdr:row>
      <xdr:rowOff>352425</xdr:rowOff>
    </xdr:to>
    <xdr:sp macro="" textlink="">
      <xdr:nvSpPr>
        <xdr:cNvPr id="42754" name="tp64c12c26size18color255routecb"/>
        <xdr:cNvSpPr/>
      </xdr:nvSpPr>
      <xdr:spPr>
        <a:xfrm>
          <a:off x="31308675" y="9839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238125</xdr:colOff>
      <xdr:row>18</xdr:row>
      <xdr:rowOff>238125</xdr:rowOff>
    </xdr:from>
    <xdr:to>
      <xdr:col>64</xdr:col>
      <xdr:colOff>238125</xdr:colOff>
      <xdr:row>18</xdr:row>
      <xdr:rowOff>238125</xdr:rowOff>
    </xdr:to>
    <xdr:sp macro="" textlink="">
      <xdr:nvSpPr>
        <xdr:cNvPr id="42755" name="rteShptp64c12c26size18color255routecb"/>
        <xdr:cNvSpPr/>
      </xdr:nvSpPr>
      <xdr:spPr>
        <a:xfrm>
          <a:off x="31422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73025</xdr:colOff>
      <xdr:row>24</xdr:row>
      <xdr:rowOff>73025</xdr:rowOff>
    </xdr:from>
    <xdr:to>
      <xdr:col>64</xdr:col>
      <xdr:colOff>403225</xdr:colOff>
      <xdr:row>24</xdr:row>
      <xdr:rowOff>403225</xdr:rowOff>
    </xdr:to>
    <xdr:sp macro="" textlink="">
      <xdr:nvSpPr>
        <xdr:cNvPr id="42758" name="tp64c13c22size26color255routev"/>
        <xdr:cNvSpPr/>
      </xdr:nvSpPr>
      <xdr:spPr>
        <a:xfrm>
          <a:off x="31257875" y="12646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238125</xdr:colOff>
      <xdr:row>24</xdr:row>
      <xdr:rowOff>238125</xdr:rowOff>
    </xdr:from>
    <xdr:to>
      <xdr:col>64</xdr:col>
      <xdr:colOff>238125</xdr:colOff>
      <xdr:row>24</xdr:row>
      <xdr:rowOff>238125</xdr:rowOff>
    </xdr:to>
    <xdr:sp macro="" textlink="">
      <xdr:nvSpPr>
        <xdr:cNvPr id="42759" name="rteShptp64c13c22size26color255routev"/>
        <xdr:cNvSpPr/>
      </xdr:nvSpPr>
      <xdr:spPr>
        <a:xfrm>
          <a:off x="314229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174625</xdr:colOff>
      <xdr:row>26</xdr:row>
      <xdr:rowOff>174625</xdr:rowOff>
    </xdr:from>
    <xdr:to>
      <xdr:col>64</xdr:col>
      <xdr:colOff>301625</xdr:colOff>
      <xdr:row>26</xdr:row>
      <xdr:rowOff>301625</xdr:rowOff>
    </xdr:to>
    <xdr:sp macro="" textlink="">
      <xdr:nvSpPr>
        <xdr:cNvPr id="42761" name="tp64c13c24size10color255route"/>
        <xdr:cNvSpPr/>
      </xdr:nvSpPr>
      <xdr:spPr>
        <a:xfrm>
          <a:off x="31359475" y="13700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123825</xdr:colOff>
      <xdr:row>28</xdr:row>
      <xdr:rowOff>123825</xdr:rowOff>
    </xdr:from>
    <xdr:to>
      <xdr:col>64</xdr:col>
      <xdr:colOff>352425</xdr:colOff>
      <xdr:row>28</xdr:row>
      <xdr:rowOff>352425</xdr:rowOff>
    </xdr:to>
    <xdr:sp macro="" textlink="">
      <xdr:nvSpPr>
        <xdr:cNvPr id="42762" name="tp64c13c26size18color255routecb"/>
        <xdr:cNvSpPr/>
      </xdr:nvSpPr>
      <xdr:spPr>
        <a:xfrm>
          <a:off x="31308675" y="146018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64</xdr:col>
      <xdr:colOff>238125</xdr:colOff>
      <xdr:row>28</xdr:row>
      <xdr:rowOff>238125</xdr:rowOff>
    </xdr:from>
    <xdr:to>
      <xdr:col>64</xdr:col>
      <xdr:colOff>238125</xdr:colOff>
      <xdr:row>28</xdr:row>
      <xdr:rowOff>238125</xdr:rowOff>
    </xdr:to>
    <xdr:sp macro="" textlink="">
      <xdr:nvSpPr>
        <xdr:cNvPr id="42763" name="rteShptp64c13c26size18color255routecb"/>
        <xdr:cNvSpPr/>
      </xdr:nvSpPr>
      <xdr:spPr>
        <a:xfrm>
          <a:off x="31422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174625</xdr:colOff>
      <xdr:row>6</xdr:row>
      <xdr:rowOff>174625</xdr:rowOff>
    </xdr:from>
    <xdr:to>
      <xdr:col>65</xdr:col>
      <xdr:colOff>301625</xdr:colOff>
      <xdr:row>6</xdr:row>
      <xdr:rowOff>301625</xdr:rowOff>
    </xdr:to>
    <xdr:sp macro="" textlink="">
      <xdr:nvSpPr>
        <xdr:cNvPr id="42766" name="tp65c11c24size10color65535route"/>
        <xdr:cNvSpPr/>
      </xdr:nvSpPr>
      <xdr:spPr>
        <a:xfrm>
          <a:off x="31835725" y="4175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174625</xdr:colOff>
      <xdr:row>7</xdr:row>
      <xdr:rowOff>174625</xdr:rowOff>
    </xdr:from>
    <xdr:to>
      <xdr:col>65</xdr:col>
      <xdr:colOff>301625</xdr:colOff>
      <xdr:row>7</xdr:row>
      <xdr:rowOff>301625</xdr:rowOff>
    </xdr:to>
    <xdr:sp macro="" textlink="">
      <xdr:nvSpPr>
        <xdr:cNvPr id="42767" name="tp65c11c25size10color65535routec"/>
        <xdr:cNvSpPr/>
      </xdr:nvSpPr>
      <xdr:spPr>
        <a:xfrm>
          <a:off x="31835725" y="46513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238125</xdr:colOff>
      <xdr:row>7</xdr:row>
      <xdr:rowOff>238125</xdr:rowOff>
    </xdr:from>
    <xdr:to>
      <xdr:col>65</xdr:col>
      <xdr:colOff>238125</xdr:colOff>
      <xdr:row>7</xdr:row>
      <xdr:rowOff>238125</xdr:rowOff>
    </xdr:to>
    <xdr:sp macro="" textlink="">
      <xdr:nvSpPr>
        <xdr:cNvPr id="42768" name="rteShptp65c11c25size10color65535routec"/>
        <xdr:cNvSpPr/>
      </xdr:nvSpPr>
      <xdr:spPr>
        <a:xfrm>
          <a:off x="31899225" y="471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73025</xdr:colOff>
      <xdr:row>8</xdr:row>
      <xdr:rowOff>73025</xdr:rowOff>
    </xdr:from>
    <xdr:to>
      <xdr:col>65</xdr:col>
      <xdr:colOff>403225</xdr:colOff>
      <xdr:row>8</xdr:row>
      <xdr:rowOff>403225</xdr:rowOff>
    </xdr:to>
    <xdr:sp macro="" textlink="">
      <xdr:nvSpPr>
        <xdr:cNvPr id="42770" name="tp65c11c26size26color65280routevb"/>
        <xdr:cNvSpPr/>
      </xdr:nvSpPr>
      <xdr:spPr>
        <a:xfrm>
          <a:off x="31734125" y="5026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238125</xdr:colOff>
      <xdr:row>8</xdr:row>
      <xdr:rowOff>238125</xdr:rowOff>
    </xdr:from>
    <xdr:to>
      <xdr:col>65</xdr:col>
      <xdr:colOff>238125</xdr:colOff>
      <xdr:row>8</xdr:row>
      <xdr:rowOff>238125</xdr:rowOff>
    </xdr:to>
    <xdr:sp macro="" textlink="">
      <xdr:nvSpPr>
        <xdr:cNvPr id="42771" name="rteShptp65c11c26size26color65280routevb"/>
        <xdr:cNvSpPr/>
      </xdr:nvSpPr>
      <xdr:spPr>
        <a:xfrm>
          <a:off x="31899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123825</xdr:colOff>
      <xdr:row>16</xdr:row>
      <xdr:rowOff>123825</xdr:rowOff>
    </xdr:from>
    <xdr:to>
      <xdr:col>65</xdr:col>
      <xdr:colOff>352425</xdr:colOff>
      <xdr:row>16</xdr:row>
      <xdr:rowOff>352425</xdr:rowOff>
    </xdr:to>
    <xdr:sp macro="" textlink="">
      <xdr:nvSpPr>
        <xdr:cNvPr id="42774" name="tp65c12c24size18color65535route"/>
        <xdr:cNvSpPr/>
      </xdr:nvSpPr>
      <xdr:spPr>
        <a:xfrm>
          <a:off x="31784925" y="888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174625</xdr:colOff>
      <xdr:row>17</xdr:row>
      <xdr:rowOff>174625</xdr:rowOff>
    </xdr:from>
    <xdr:to>
      <xdr:col>65</xdr:col>
      <xdr:colOff>301625</xdr:colOff>
      <xdr:row>17</xdr:row>
      <xdr:rowOff>301625</xdr:rowOff>
    </xdr:to>
    <xdr:sp macro="" textlink="">
      <xdr:nvSpPr>
        <xdr:cNvPr id="42775" name="tp65c12c25size10color65280route"/>
        <xdr:cNvSpPr/>
      </xdr:nvSpPr>
      <xdr:spPr>
        <a:xfrm>
          <a:off x="31835725" y="94138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73025</xdr:colOff>
      <xdr:row>18</xdr:row>
      <xdr:rowOff>73025</xdr:rowOff>
    </xdr:from>
    <xdr:to>
      <xdr:col>65</xdr:col>
      <xdr:colOff>403225</xdr:colOff>
      <xdr:row>18</xdr:row>
      <xdr:rowOff>403225</xdr:rowOff>
    </xdr:to>
    <xdr:sp macro="" textlink="">
      <xdr:nvSpPr>
        <xdr:cNvPr id="42776" name="tp65c12c26size26color65280routevcb"/>
        <xdr:cNvSpPr/>
      </xdr:nvSpPr>
      <xdr:spPr>
        <a:xfrm>
          <a:off x="3173412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238125</xdr:colOff>
      <xdr:row>18</xdr:row>
      <xdr:rowOff>238125</xdr:rowOff>
    </xdr:from>
    <xdr:to>
      <xdr:col>65</xdr:col>
      <xdr:colOff>238125</xdr:colOff>
      <xdr:row>18</xdr:row>
      <xdr:rowOff>238125</xdr:rowOff>
    </xdr:to>
    <xdr:sp macro="" textlink="">
      <xdr:nvSpPr>
        <xdr:cNvPr id="42777" name="rteShptp65c12c26size26color65280routevcb"/>
        <xdr:cNvSpPr/>
      </xdr:nvSpPr>
      <xdr:spPr>
        <a:xfrm>
          <a:off x="31899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174625</xdr:colOff>
      <xdr:row>26</xdr:row>
      <xdr:rowOff>174625</xdr:rowOff>
    </xdr:from>
    <xdr:to>
      <xdr:col>65</xdr:col>
      <xdr:colOff>301625</xdr:colOff>
      <xdr:row>26</xdr:row>
      <xdr:rowOff>301625</xdr:rowOff>
    </xdr:to>
    <xdr:sp macro="" textlink="">
      <xdr:nvSpPr>
        <xdr:cNvPr id="42781" name="tp65c13c24size10color65535route"/>
        <xdr:cNvSpPr/>
      </xdr:nvSpPr>
      <xdr:spPr>
        <a:xfrm>
          <a:off x="31835725" y="13700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123825</xdr:colOff>
      <xdr:row>27</xdr:row>
      <xdr:rowOff>123825</xdr:rowOff>
    </xdr:from>
    <xdr:to>
      <xdr:col>65</xdr:col>
      <xdr:colOff>352425</xdr:colOff>
      <xdr:row>27</xdr:row>
      <xdr:rowOff>352425</xdr:rowOff>
    </xdr:to>
    <xdr:sp macro="" textlink="">
      <xdr:nvSpPr>
        <xdr:cNvPr id="42782" name="tp65c13c25size18color65280route"/>
        <xdr:cNvSpPr/>
      </xdr:nvSpPr>
      <xdr:spPr>
        <a:xfrm>
          <a:off x="31784925" y="141255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73025</xdr:colOff>
      <xdr:row>28</xdr:row>
      <xdr:rowOff>73025</xdr:rowOff>
    </xdr:from>
    <xdr:to>
      <xdr:col>65</xdr:col>
      <xdr:colOff>403225</xdr:colOff>
      <xdr:row>28</xdr:row>
      <xdr:rowOff>403225</xdr:rowOff>
    </xdr:to>
    <xdr:sp macro="" textlink="">
      <xdr:nvSpPr>
        <xdr:cNvPr id="42783" name="tp65c13c26size26color65280routevcb"/>
        <xdr:cNvSpPr/>
      </xdr:nvSpPr>
      <xdr:spPr>
        <a:xfrm>
          <a:off x="3173412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65</xdr:col>
      <xdr:colOff>238125</xdr:colOff>
      <xdr:row>28</xdr:row>
      <xdr:rowOff>238125</xdr:rowOff>
    </xdr:from>
    <xdr:to>
      <xdr:col>65</xdr:col>
      <xdr:colOff>238125</xdr:colOff>
      <xdr:row>28</xdr:row>
      <xdr:rowOff>238125</xdr:rowOff>
    </xdr:to>
    <xdr:sp macro="" textlink="">
      <xdr:nvSpPr>
        <xdr:cNvPr id="42784" name="rteShptp65c13c26size26color65280routevcb"/>
        <xdr:cNvSpPr/>
      </xdr:nvSpPr>
      <xdr:spPr>
        <a:xfrm>
          <a:off x="31899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73025</xdr:colOff>
      <xdr:row>4</xdr:row>
      <xdr:rowOff>73025</xdr:rowOff>
    </xdr:from>
    <xdr:to>
      <xdr:col>66</xdr:col>
      <xdr:colOff>403225</xdr:colOff>
      <xdr:row>4</xdr:row>
      <xdr:rowOff>403225</xdr:rowOff>
    </xdr:to>
    <xdr:sp macro="" textlink="">
      <xdr:nvSpPr>
        <xdr:cNvPr id="42788" name="tp66c11c22size26color65535routevc"/>
        <xdr:cNvSpPr/>
      </xdr:nvSpPr>
      <xdr:spPr>
        <a:xfrm>
          <a:off x="3221037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238125</xdr:colOff>
      <xdr:row>4</xdr:row>
      <xdr:rowOff>238125</xdr:rowOff>
    </xdr:from>
    <xdr:to>
      <xdr:col>66</xdr:col>
      <xdr:colOff>238125</xdr:colOff>
      <xdr:row>4</xdr:row>
      <xdr:rowOff>238125</xdr:rowOff>
    </xdr:to>
    <xdr:sp macro="" textlink="">
      <xdr:nvSpPr>
        <xdr:cNvPr id="42789" name="rteShptp66c11c22size26color65535routevc"/>
        <xdr:cNvSpPr/>
      </xdr:nvSpPr>
      <xdr:spPr>
        <a:xfrm>
          <a:off x="32375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123825</xdr:colOff>
      <xdr:row>8</xdr:row>
      <xdr:rowOff>123825</xdr:rowOff>
    </xdr:from>
    <xdr:to>
      <xdr:col>66</xdr:col>
      <xdr:colOff>352425</xdr:colOff>
      <xdr:row>8</xdr:row>
      <xdr:rowOff>352425</xdr:rowOff>
    </xdr:to>
    <xdr:sp macro="" textlink="">
      <xdr:nvSpPr>
        <xdr:cNvPr id="42792" name="tp66c11c26size18color65280routeb"/>
        <xdr:cNvSpPr/>
      </xdr:nvSpPr>
      <xdr:spPr>
        <a:xfrm>
          <a:off x="32261175" y="5076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238125</xdr:colOff>
      <xdr:row>8</xdr:row>
      <xdr:rowOff>238125</xdr:rowOff>
    </xdr:from>
    <xdr:to>
      <xdr:col>66</xdr:col>
      <xdr:colOff>238125</xdr:colOff>
      <xdr:row>8</xdr:row>
      <xdr:rowOff>238125</xdr:rowOff>
    </xdr:to>
    <xdr:sp macro="" textlink="">
      <xdr:nvSpPr>
        <xdr:cNvPr id="42793" name="rteShptp66c11c26size18color65280routeb"/>
        <xdr:cNvSpPr/>
      </xdr:nvSpPr>
      <xdr:spPr>
        <a:xfrm>
          <a:off x="32375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73025</xdr:colOff>
      <xdr:row>14</xdr:row>
      <xdr:rowOff>73025</xdr:rowOff>
    </xdr:from>
    <xdr:to>
      <xdr:col>66</xdr:col>
      <xdr:colOff>403225</xdr:colOff>
      <xdr:row>14</xdr:row>
      <xdr:rowOff>403225</xdr:rowOff>
    </xdr:to>
    <xdr:sp macro="" textlink="">
      <xdr:nvSpPr>
        <xdr:cNvPr id="42795" name="tp66c12c22size26color255routev"/>
        <xdr:cNvSpPr/>
      </xdr:nvSpPr>
      <xdr:spPr>
        <a:xfrm>
          <a:off x="3221037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238125</xdr:colOff>
      <xdr:row>14</xdr:row>
      <xdr:rowOff>238125</xdr:rowOff>
    </xdr:from>
    <xdr:to>
      <xdr:col>66</xdr:col>
      <xdr:colOff>238125</xdr:colOff>
      <xdr:row>14</xdr:row>
      <xdr:rowOff>238125</xdr:rowOff>
    </xdr:to>
    <xdr:sp macro="" textlink="">
      <xdr:nvSpPr>
        <xdr:cNvPr id="42796" name="rteShptp66c12c22size26color255routev"/>
        <xdr:cNvSpPr/>
      </xdr:nvSpPr>
      <xdr:spPr>
        <a:xfrm>
          <a:off x="323754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238125</xdr:colOff>
      <xdr:row>18</xdr:row>
      <xdr:rowOff>238125</xdr:rowOff>
    </xdr:from>
    <xdr:to>
      <xdr:col>66</xdr:col>
      <xdr:colOff>238125</xdr:colOff>
      <xdr:row>18</xdr:row>
      <xdr:rowOff>238125</xdr:rowOff>
    </xdr:to>
    <xdr:sp macro="" textlink="">
      <xdr:nvSpPr>
        <xdr:cNvPr id="42798" name="rteShptp66c12c26size0color0routecb"/>
        <xdr:cNvSpPr/>
      </xdr:nvSpPr>
      <xdr:spPr>
        <a:xfrm>
          <a:off x="32375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123825</xdr:colOff>
      <xdr:row>24</xdr:row>
      <xdr:rowOff>123825</xdr:rowOff>
    </xdr:from>
    <xdr:to>
      <xdr:col>66</xdr:col>
      <xdr:colOff>352425</xdr:colOff>
      <xdr:row>24</xdr:row>
      <xdr:rowOff>352425</xdr:rowOff>
    </xdr:to>
    <xdr:sp macro="" textlink="">
      <xdr:nvSpPr>
        <xdr:cNvPr id="42801" name="tp66c13c22size18color65535routev"/>
        <xdr:cNvSpPr/>
      </xdr:nvSpPr>
      <xdr:spPr>
        <a:xfrm>
          <a:off x="32261175" y="1269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238125</xdr:colOff>
      <xdr:row>24</xdr:row>
      <xdr:rowOff>238125</xdr:rowOff>
    </xdr:from>
    <xdr:to>
      <xdr:col>66</xdr:col>
      <xdr:colOff>238125</xdr:colOff>
      <xdr:row>24</xdr:row>
      <xdr:rowOff>238125</xdr:rowOff>
    </xdr:to>
    <xdr:sp macro="" textlink="">
      <xdr:nvSpPr>
        <xdr:cNvPr id="42802" name="rteShptp66c13c22size18color65535routev"/>
        <xdr:cNvSpPr/>
      </xdr:nvSpPr>
      <xdr:spPr>
        <a:xfrm>
          <a:off x="323754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123825</xdr:colOff>
      <xdr:row>28</xdr:row>
      <xdr:rowOff>123825</xdr:rowOff>
    </xdr:from>
    <xdr:to>
      <xdr:col>66</xdr:col>
      <xdr:colOff>352425</xdr:colOff>
      <xdr:row>28</xdr:row>
      <xdr:rowOff>352425</xdr:rowOff>
    </xdr:to>
    <xdr:sp macro="" textlink="">
      <xdr:nvSpPr>
        <xdr:cNvPr id="42804" name="tp66c13c26size18color65280routecb">
          <a:hlinkClick xmlns:r="http://schemas.openxmlformats.org/officeDocument/2006/relationships" r:id="" tooltip="Chris Shaw:&#10;cust prefer to resolve issues online"/>
        </xdr:cNvPr>
        <xdr:cNvSpPr/>
      </xdr:nvSpPr>
      <xdr:spPr>
        <a:xfrm>
          <a:off x="32261175" y="14601825"/>
          <a:ext cx="228600" cy="228600"/>
        </a:xfrm>
        <a:prstGeom prst="ellipse">
          <a:avLst/>
        </a:prstGeom>
        <a:solidFill>
          <a:srgbClr val="00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66</xdr:col>
      <xdr:colOff>238125</xdr:colOff>
      <xdr:row>28</xdr:row>
      <xdr:rowOff>238125</xdr:rowOff>
    </xdr:from>
    <xdr:to>
      <xdr:col>66</xdr:col>
      <xdr:colOff>238125</xdr:colOff>
      <xdr:row>28</xdr:row>
      <xdr:rowOff>238125</xdr:rowOff>
    </xdr:to>
    <xdr:sp macro="" textlink="">
      <xdr:nvSpPr>
        <xdr:cNvPr id="42805" name="rteShptp66c13c26size18color65280routecb"/>
        <xdr:cNvSpPr/>
      </xdr:nvSpPr>
      <xdr:spPr>
        <a:xfrm>
          <a:off x="32375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73025</xdr:colOff>
      <xdr:row>4</xdr:row>
      <xdr:rowOff>73025</xdr:rowOff>
    </xdr:from>
    <xdr:to>
      <xdr:col>67</xdr:col>
      <xdr:colOff>403225</xdr:colOff>
      <xdr:row>4</xdr:row>
      <xdr:rowOff>403225</xdr:rowOff>
    </xdr:to>
    <xdr:sp macro="" textlink="">
      <xdr:nvSpPr>
        <xdr:cNvPr id="42808" name="tp67c11c22size26color65280routevc"/>
        <xdr:cNvSpPr/>
      </xdr:nvSpPr>
      <xdr:spPr>
        <a:xfrm>
          <a:off x="32686625" y="312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238125</xdr:colOff>
      <xdr:row>4</xdr:row>
      <xdr:rowOff>238125</xdr:rowOff>
    </xdr:from>
    <xdr:to>
      <xdr:col>67</xdr:col>
      <xdr:colOff>238125</xdr:colOff>
      <xdr:row>4</xdr:row>
      <xdr:rowOff>238125</xdr:rowOff>
    </xdr:to>
    <xdr:sp macro="" textlink="">
      <xdr:nvSpPr>
        <xdr:cNvPr id="42809" name="rteShptp67c11c22size26color65280routevc"/>
        <xdr:cNvSpPr/>
      </xdr:nvSpPr>
      <xdr:spPr>
        <a:xfrm>
          <a:off x="32851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174625</xdr:colOff>
      <xdr:row>8</xdr:row>
      <xdr:rowOff>174625</xdr:rowOff>
    </xdr:from>
    <xdr:to>
      <xdr:col>67</xdr:col>
      <xdr:colOff>301625</xdr:colOff>
      <xdr:row>8</xdr:row>
      <xdr:rowOff>301625</xdr:rowOff>
    </xdr:to>
    <xdr:sp macro="" textlink="">
      <xdr:nvSpPr>
        <xdr:cNvPr id="42812" name="tp67c11c26size10color255routeb"/>
        <xdr:cNvSpPr/>
      </xdr:nvSpPr>
      <xdr:spPr>
        <a:xfrm>
          <a:off x="32788225" y="512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238125</xdr:colOff>
      <xdr:row>8</xdr:row>
      <xdr:rowOff>238125</xdr:rowOff>
    </xdr:from>
    <xdr:to>
      <xdr:col>67</xdr:col>
      <xdr:colOff>238125</xdr:colOff>
      <xdr:row>8</xdr:row>
      <xdr:rowOff>238125</xdr:rowOff>
    </xdr:to>
    <xdr:sp macro="" textlink="">
      <xdr:nvSpPr>
        <xdr:cNvPr id="42813" name="rteShptp67c11c26size10color255routeb"/>
        <xdr:cNvSpPr/>
      </xdr:nvSpPr>
      <xdr:spPr>
        <a:xfrm>
          <a:off x="32851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174625</xdr:colOff>
      <xdr:row>14</xdr:row>
      <xdr:rowOff>174625</xdr:rowOff>
    </xdr:from>
    <xdr:to>
      <xdr:col>67</xdr:col>
      <xdr:colOff>301625</xdr:colOff>
      <xdr:row>14</xdr:row>
      <xdr:rowOff>301625</xdr:rowOff>
    </xdr:to>
    <xdr:sp macro="" textlink="">
      <xdr:nvSpPr>
        <xdr:cNvPr id="42815" name="tp67c12c22size10color255route"/>
        <xdr:cNvSpPr/>
      </xdr:nvSpPr>
      <xdr:spPr>
        <a:xfrm>
          <a:off x="32788225" y="798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174625</xdr:colOff>
      <xdr:row>16</xdr:row>
      <xdr:rowOff>174625</xdr:rowOff>
    </xdr:from>
    <xdr:to>
      <xdr:col>67</xdr:col>
      <xdr:colOff>301625</xdr:colOff>
      <xdr:row>16</xdr:row>
      <xdr:rowOff>301625</xdr:rowOff>
    </xdr:to>
    <xdr:sp macro="" textlink="">
      <xdr:nvSpPr>
        <xdr:cNvPr id="42816" name="tp67c12c24size10color65535route"/>
        <xdr:cNvSpPr/>
      </xdr:nvSpPr>
      <xdr:spPr>
        <a:xfrm>
          <a:off x="32788225" y="893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73025</xdr:colOff>
      <xdr:row>18</xdr:row>
      <xdr:rowOff>73025</xdr:rowOff>
    </xdr:from>
    <xdr:to>
      <xdr:col>67</xdr:col>
      <xdr:colOff>403225</xdr:colOff>
      <xdr:row>18</xdr:row>
      <xdr:rowOff>403225</xdr:rowOff>
    </xdr:to>
    <xdr:sp macro="" textlink="">
      <xdr:nvSpPr>
        <xdr:cNvPr id="42817" name="tp67c12c26size26color65280routevcb"/>
        <xdr:cNvSpPr/>
      </xdr:nvSpPr>
      <xdr:spPr>
        <a:xfrm>
          <a:off x="3268662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238125</xdr:colOff>
      <xdr:row>18</xdr:row>
      <xdr:rowOff>238125</xdr:rowOff>
    </xdr:from>
    <xdr:to>
      <xdr:col>67</xdr:col>
      <xdr:colOff>238125</xdr:colOff>
      <xdr:row>18</xdr:row>
      <xdr:rowOff>238125</xdr:rowOff>
    </xdr:to>
    <xdr:sp macro="" textlink="">
      <xdr:nvSpPr>
        <xdr:cNvPr id="42818" name="rteShptp67c12c26size26color65280routevcb"/>
        <xdr:cNvSpPr/>
      </xdr:nvSpPr>
      <xdr:spPr>
        <a:xfrm>
          <a:off x="3285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123825</xdr:colOff>
      <xdr:row>24</xdr:row>
      <xdr:rowOff>123825</xdr:rowOff>
    </xdr:from>
    <xdr:to>
      <xdr:col>67</xdr:col>
      <xdr:colOff>352425</xdr:colOff>
      <xdr:row>24</xdr:row>
      <xdr:rowOff>352425</xdr:rowOff>
    </xdr:to>
    <xdr:sp macro="" textlink="">
      <xdr:nvSpPr>
        <xdr:cNvPr id="42822" name="tp67c13c22size18color65535route"/>
        <xdr:cNvSpPr/>
      </xdr:nvSpPr>
      <xdr:spPr>
        <a:xfrm>
          <a:off x="32737425" y="1269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73025</xdr:colOff>
      <xdr:row>28</xdr:row>
      <xdr:rowOff>73025</xdr:rowOff>
    </xdr:from>
    <xdr:to>
      <xdr:col>67</xdr:col>
      <xdr:colOff>403225</xdr:colOff>
      <xdr:row>28</xdr:row>
      <xdr:rowOff>403225</xdr:rowOff>
    </xdr:to>
    <xdr:sp macro="" textlink="">
      <xdr:nvSpPr>
        <xdr:cNvPr id="42823" name="tp67c13c26size26color65280routevcb"/>
        <xdr:cNvSpPr/>
      </xdr:nvSpPr>
      <xdr:spPr>
        <a:xfrm>
          <a:off x="3268662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238125</xdr:colOff>
      <xdr:row>28</xdr:row>
      <xdr:rowOff>238125</xdr:rowOff>
    </xdr:from>
    <xdr:to>
      <xdr:col>67</xdr:col>
      <xdr:colOff>238125</xdr:colOff>
      <xdr:row>28</xdr:row>
      <xdr:rowOff>238125</xdr:rowOff>
    </xdr:to>
    <xdr:sp macro="" textlink="">
      <xdr:nvSpPr>
        <xdr:cNvPr id="42824" name="rteShptp67c13c26size26color65280routevcb"/>
        <xdr:cNvSpPr/>
      </xdr:nvSpPr>
      <xdr:spPr>
        <a:xfrm>
          <a:off x="32851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3</xdr:row>
      <xdr:rowOff>123825</xdr:rowOff>
    </xdr:from>
    <xdr:to>
      <xdr:col>68</xdr:col>
      <xdr:colOff>352425</xdr:colOff>
      <xdr:row>3</xdr:row>
      <xdr:rowOff>352425</xdr:rowOff>
    </xdr:to>
    <xdr:sp macro="" textlink="">
      <xdr:nvSpPr>
        <xdr:cNvPr id="42828" name="tp68c11c21size18color16777215route"/>
        <xdr:cNvSpPr/>
      </xdr:nvSpPr>
      <xdr:spPr>
        <a:xfrm>
          <a:off x="3321367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4</xdr:row>
      <xdr:rowOff>123825</xdr:rowOff>
    </xdr:from>
    <xdr:to>
      <xdr:col>68</xdr:col>
      <xdr:colOff>352425</xdr:colOff>
      <xdr:row>4</xdr:row>
      <xdr:rowOff>352425</xdr:rowOff>
    </xdr:to>
    <xdr:sp macro="" textlink="">
      <xdr:nvSpPr>
        <xdr:cNvPr id="42829" name="tp68c11c22size18color16777215routevc"/>
        <xdr:cNvSpPr/>
      </xdr:nvSpPr>
      <xdr:spPr>
        <a:xfrm>
          <a:off x="3321367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238125</xdr:colOff>
      <xdr:row>4</xdr:row>
      <xdr:rowOff>238125</xdr:rowOff>
    </xdr:from>
    <xdr:to>
      <xdr:col>68</xdr:col>
      <xdr:colOff>238125</xdr:colOff>
      <xdr:row>4</xdr:row>
      <xdr:rowOff>238125</xdr:rowOff>
    </xdr:to>
    <xdr:sp macro="" textlink="">
      <xdr:nvSpPr>
        <xdr:cNvPr id="42830" name="rteShptp68c11c22size18color16777215routevc"/>
        <xdr:cNvSpPr/>
      </xdr:nvSpPr>
      <xdr:spPr>
        <a:xfrm>
          <a:off x="33327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5</xdr:row>
      <xdr:rowOff>123825</xdr:rowOff>
    </xdr:from>
    <xdr:to>
      <xdr:col>68</xdr:col>
      <xdr:colOff>352425</xdr:colOff>
      <xdr:row>5</xdr:row>
      <xdr:rowOff>352425</xdr:rowOff>
    </xdr:to>
    <xdr:sp macro="" textlink="">
      <xdr:nvSpPr>
        <xdr:cNvPr id="42833" name="tp68c11c23size18color16777215route"/>
        <xdr:cNvSpPr/>
      </xdr:nvSpPr>
      <xdr:spPr>
        <a:xfrm>
          <a:off x="3321367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6</xdr:row>
      <xdr:rowOff>123825</xdr:rowOff>
    </xdr:from>
    <xdr:to>
      <xdr:col>68</xdr:col>
      <xdr:colOff>352425</xdr:colOff>
      <xdr:row>6</xdr:row>
      <xdr:rowOff>352425</xdr:rowOff>
    </xdr:to>
    <xdr:sp macro="" textlink="">
      <xdr:nvSpPr>
        <xdr:cNvPr id="42834" name="tp68c11c24size18color16777215route"/>
        <xdr:cNvSpPr/>
      </xdr:nvSpPr>
      <xdr:spPr>
        <a:xfrm>
          <a:off x="3321367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7</xdr:row>
      <xdr:rowOff>123825</xdr:rowOff>
    </xdr:from>
    <xdr:to>
      <xdr:col>68</xdr:col>
      <xdr:colOff>352425</xdr:colOff>
      <xdr:row>7</xdr:row>
      <xdr:rowOff>352425</xdr:rowOff>
    </xdr:to>
    <xdr:sp macro="" textlink="">
      <xdr:nvSpPr>
        <xdr:cNvPr id="42835" name="tp68c11c25size18color16777215route"/>
        <xdr:cNvSpPr/>
      </xdr:nvSpPr>
      <xdr:spPr>
        <a:xfrm>
          <a:off x="3321367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8</xdr:row>
      <xdr:rowOff>123825</xdr:rowOff>
    </xdr:from>
    <xdr:to>
      <xdr:col>68</xdr:col>
      <xdr:colOff>352425</xdr:colOff>
      <xdr:row>8</xdr:row>
      <xdr:rowOff>352425</xdr:rowOff>
    </xdr:to>
    <xdr:sp macro="" textlink="">
      <xdr:nvSpPr>
        <xdr:cNvPr id="42836" name="tp68c11c26size18color16777215routeb"/>
        <xdr:cNvSpPr/>
      </xdr:nvSpPr>
      <xdr:spPr>
        <a:xfrm>
          <a:off x="3321367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238125</xdr:colOff>
      <xdr:row>8</xdr:row>
      <xdr:rowOff>238125</xdr:rowOff>
    </xdr:from>
    <xdr:to>
      <xdr:col>68</xdr:col>
      <xdr:colOff>238125</xdr:colOff>
      <xdr:row>8</xdr:row>
      <xdr:rowOff>238125</xdr:rowOff>
    </xdr:to>
    <xdr:sp macro="" textlink="">
      <xdr:nvSpPr>
        <xdr:cNvPr id="42837" name="rteShptp68c11c26size18color16777215routeb"/>
        <xdr:cNvSpPr/>
      </xdr:nvSpPr>
      <xdr:spPr>
        <a:xfrm>
          <a:off x="33327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9</xdr:row>
      <xdr:rowOff>123825</xdr:rowOff>
    </xdr:from>
    <xdr:to>
      <xdr:col>68</xdr:col>
      <xdr:colOff>352425</xdr:colOff>
      <xdr:row>9</xdr:row>
      <xdr:rowOff>352425</xdr:rowOff>
    </xdr:to>
    <xdr:sp macro="" textlink="">
      <xdr:nvSpPr>
        <xdr:cNvPr id="42839" name="tp68c11c27size18color16777215route"/>
        <xdr:cNvSpPr/>
      </xdr:nvSpPr>
      <xdr:spPr>
        <a:xfrm>
          <a:off x="3321367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10</xdr:row>
      <xdr:rowOff>123825</xdr:rowOff>
    </xdr:from>
    <xdr:to>
      <xdr:col>68</xdr:col>
      <xdr:colOff>352425</xdr:colOff>
      <xdr:row>10</xdr:row>
      <xdr:rowOff>352425</xdr:rowOff>
    </xdr:to>
    <xdr:sp macro="" textlink="">
      <xdr:nvSpPr>
        <xdr:cNvPr id="42840" name="tp68c11c28size18color16777215route"/>
        <xdr:cNvSpPr/>
      </xdr:nvSpPr>
      <xdr:spPr>
        <a:xfrm>
          <a:off x="3321367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73025</xdr:colOff>
      <xdr:row>14</xdr:row>
      <xdr:rowOff>73025</xdr:rowOff>
    </xdr:from>
    <xdr:to>
      <xdr:col>68</xdr:col>
      <xdr:colOff>403225</xdr:colOff>
      <xdr:row>14</xdr:row>
      <xdr:rowOff>403225</xdr:rowOff>
    </xdr:to>
    <xdr:sp macro="" textlink="">
      <xdr:nvSpPr>
        <xdr:cNvPr id="42841" name="tp68c12c22size26color65535routev"/>
        <xdr:cNvSpPr/>
      </xdr:nvSpPr>
      <xdr:spPr>
        <a:xfrm>
          <a:off x="33162875" y="7883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238125</xdr:colOff>
      <xdr:row>14</xdr:row>
      <xdr:rowOff>238125</xdr:rowOff>
    </xdr:from>
    <xdr:to>
      <xdr:col>68</xdr:col>
      <xdr:colOff>238125</xdr:colOff>
      <xdr:row>14</xdr:row>
      <xdr:rowOff>238125</xdr:rowOff>
    </xdr:to>
    <xdr:sp macro="" textlink="">
      <xdr:nvSpPr>
        <xdr:cNvPr id="42842" name="rteShptp68c12c22size26color65535routev"/>
        <xdr:cNvSpPr/>
      </xdr:nvSpPr>
      <xdr:spPr>
        <a:xfrm>
          <a:off x="333279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174625</xdr:colOff>
      <xdr:row>18</xdr:row>
      <xdr:rowOff>174625</xdr:rowOff>
    </xdr:from>
    <xdr:to>
      <xdr:col>68</xdr:col>
      <xdr:colOff>301625</xdr:colOff>
      <xdr:row>18</xdr:row>
      <xdr:rowOff>301625</xdr:rowOff>
    </xdr:to>
    <xdr:sp macro="" textlink="">
      <xdr:nvSpPr>
        <xdr:cNvPr id="42844" name="tp68c12c26size10color65535routecb"/>
        <xdr:cNvSpPr/>
      </xdr:nvSpPr>
      <xdr:spPr>
        <a:xfrm>
          <a:off x="33264475" y="9890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238125</xdr:colOff>
      <xdr:row>18</xdr:row>
      <xdr:rowOff>238125</xdr:rowOff>
    </xdr:from>
    <xdr:to>
      <xdr:col>68</xdr:col>
      <xdr:colOff>238125</xdr:colOff>
      <xdr:row>18</xdr:row>
      <xdr:rowOff>238125</xdr:rowOff>
    </xdr:to>
    <xdr:sp macro="" textlink="">
      <xdr:nvSpPr>
        <xdr:cNvPr id="42845" name="rteShptp68c12c26size10color65535routecb"/>
        <xdr:cNvSpPr/>
      </xdr:nvSpPr>
      <xdr:spPr>
        <a:xfrm>
          <a:off x="3332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23</xdr:row>
      <xdr:rowOff>123825</xdr:rowOff>
    </xdr:from>
    <xdr:to>
      <xdr:col>68</xdr:col>
      <xdr:colOff>352425</xdr:colOff>
      <xdr:row>23</xdr:row>
      <xdr:rowOff>352425</xdr:rowOff>
    </xdr:to>
    <xdr:sp macro="" textlink="">
      <xdr:nvSpPr>
        <xdr:cNvPr id="42848" name="tp68c13c21size18color16777215route"/>
        <xdr:cNvSpPr/>
      </xdr:nvSpPr>
      <xdr:spPr>
        <a:xfrm>
          <a:off x="332136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24</xdr:row>
      <xdr:rowOff>123825</xdr:rowOff>
    </xdr:from>
    <xdr:to>
      <xdr:col>68</xdr:col>
      <xdr:colOff>352425</xdr:colOff>
      <xdr:row>24</xdr:row>
      <xdr:rowOff>352425</xdr:rowOff>
    </xdr:to>
    <xdr:sp macro="" textlink="">
      <xdr:nvSpPr>
        <xdr:cNvPr id="42849" name="tp68c13c22size18color16777215route"/>
        <xdr:cNvSpPr/>
      </xdr:nvSpPr>
      <xdr:spPr>
        <a:xfrm>
          <a:off x="3321367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25</xdr:row>
      <xdr:rowOff>123825</xdr:rowOff>
    </xdr:from>
    <xdr:to>
      <xdr:col>68</xdr:col>
      <xdr:colOff>352425</xdr:colOff>
      <xdr:row>25</xdr:row>
      <xdr:rowOff>352425</xdr:rowOff>
    </xdr:to>
    <xdr:sp macro="" textlink="">
      <xdr:nvSpPr>
        <xdr:cNvPr id="42850" name="tp68c13c23size18color16777215route"/>
        <xdr:cNvSpPr/>
      </xdr:nvSpPr>
      <xdr:spPr>
        <a:xfrm>
          <a:off x="3321367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26</xdr:row>
      <xdr:rowOff>123825</xdr:rowOff>
    </xdr:from>
    <xdr:to>
      <xdr:col>68</xdr:col>
      <xdr:colOff>352425</xdr:colOff>
      <xdr:row>26</xdr:row>
      <xdr:rowOff>352425</xdr:rowOff>
    </xdr:to>
    <xdr:sp macro="" textlink="">
      <xdr:nvSpPr>
        <xdr:cNvPr id="42851" name="tp68c13c24size18color16777215route"/>
        <xdr:cNvSpPr/>
      </xdr:nvSpPr>
      <xdr:spPr>
        <a:xfrm>
          <a:off x="3321367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27</xdr:row>
      <xdr:rowOff>123825</xdr:rowOff>
    </xdr:from>
    <xdr:to>
      <xdr:col>68</xdr:col>
      <xdr:colOff>352425</xdr:colOff>
      <xdr:row>27</xdr:row>
      <xdr:rowOff>352425</xdr:rowOff>
    </xdr:to>
    <xdr:sp macro="" textlink="">
      <xdr:nvSpPr>
        <xdr:cNvPr id="42852" name="tp68c13c25size18color16777215route"/>
        <xdr:cNvSpPr/>
      </xdr:nvSpPr>
      <xdr:spPr>
        <a:xfrm>
          <a:off x="3321367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28</xdr:row>
      <xdr:rowOff>123825</xdr:rowOff>
    </xdr:from>
    <xdr:to>
      <xdr:col>68</xdr:col>
      <xdr:colOff>352425</xdr:colOff>
      <xdr:row>28</xdr:row>
      <xdr:rowOff>352425</xdr:rowOff>
    </xdr:to>
    <xdr:sp macro="" textlink="">
      <xdr:nvSpPr>
        <xdr:cNvPr id="42853" name="tp68c13c26size18color16777215routevcb"/>
        <xdr:cNvSpPr/>
      </xdr:nvSpPr>
      <xdr:spPr>
        <a:xfrm>
          <a:off x="332136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238125</xdr:colOff>
      <xdr:row>28</xdr:row>
      <xdr:rowOff>238125</xdr:rowOff>
    </xdr:from>
    <xdr:to>
      <xdr:col>68</xdr:col>
      <xdr:colOff>238125</xdr:colOff>
      <xdr:row>28</xdr:row>
      <xdr:rowOff>238125</xdr:rowOff>
    </xdr:to>
    <xdr:sp macro="" textlink="">
      <xdr:nvSpPr>
        <xdr:cNvPr id="42854" name="rteShptp68c13c26size18color16777215routevcb"/>
        <xdr:cNvSpPr/>
      </xdr:nvSpPr>
      <xdr:spPr>
        <a:xfrm>
          <a:off x="33327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29</xdr:row>
      <xdr:rowOff>123825</xdr:rowOff>
    </xdr:from>
    <xdr:to>
      <xdr:col>68</xdr:col>
      <xdr:colOff>352425</xdr:colOff>
      <xdr:row>29</xdr:row>
      <xdr:rowOff>352425</xdr:rowOff>
    </xdr:to>
    <xdr:sp macro="" textlink="">
      <xdr:nvSpPr>
        <xdr:cNvPr id="42858" name="tp68c13c27size18color16777215route"/>
        <xdr:cNvSpPr/>
      </xdr:nvSpPr>
      <xdr:spPr>
        <a:xfrm>
          <a:off x="3321367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68</xdr:col>
      <xdr:colOff>123825</xdr:colOff>
      <xdr:row>30</xdr:row>
      <xdr:rowOff>123825</xdr:rowOff>
    </xdr:from>
    <xdr:to>
      <xdr:col>68</xdr:col>
      <xdr:colOff>352425</xdr:colOff>
      <xdr:row>30</xdr:row>
      <xdr:rowOff>352425</xdr:rowOff>
    </xdr:to>
    <xdr:sp macro="" textlink="">
      <xdr:nvSpPr>
        <xdr:cNvPr id="42859" name="tp68c13c28size18color16777215route"/>
        <xdr:cNvSpPr/>
      </xdr:nvSpPr>
      <xdr:spPr>
        <a:xfrm>
          <a:off x="3321367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3</xdr:row>
      <xdr:rowOff>123825</xdr:rowOff>
    </xdr:from>
    <xdr:to>
      <xdr:col>69</xdr:col>
      <xdr:colOff>352425</xdr:colOff>
      <xdr:row>3</xdr:row>
      <xdr:rowOff>352425</xdr:rowOff>
    </xdr:to>
    <xdr:sp macro="" textlink="">
      <xdr:nvSpPr>
        <xdr:cNvPr id="42860" name="tp69c11c21size18color16777215route"/>
        <xdr:cNvSpPr/>
      </xdr:nvSpPr>
      <xdr:spPr>
        <a:xfrm>
          <a:off x="336899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4</xdr:row>
      <xdr:rowOff>123825</xdr:rowOff>
    </xdr:from>
    <xdr:to>
      <xdr:col>69</xdr:col>
      <xdr:colOff>352425</xdr:colOff>
      <xdr:row>4</xdr:row>
      <xdr:rowOff>352425</xdr:rowOff>
    </xdr:to>
    <xdr:sp macro="" textlink="">
      <xdr:nvSpPr>
        <xdr:cNvPr id="42861" name="tp69c11c22size18color16777215routevc"/>
        <xdr:cNvSpPr/>
      </xdr:nvSpPr>
      <xdr:spPr>
        <a:xfrm>
          <a:off x="336899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238125</xdr:colOff>
      <xdr:row>4</xdr:row>
      <xdr:rowOff>238125</xdr:rowOff>
    </xdr:from>
    <xdr:to>
      <xdr:col>69</xdr:col>
      <xdr:colOff>238125</xdr:colOff>
      <xdr:row>4</xdr:row>
      <xdr:rowOff>238125</xdr:rowOff>
    </xdr:to>
    <xdr:sp macro="" textlink="">
      <xdr:nvSpPr>
        <xdr:cNvPr id="42862" name="rteShptp69c11c22size18color16777215routevc"/>
        <xdr:cNvSpPr/>
      </xdr:nvSpPr>
      <xdr:spPr>
        <a:xfrm>
          <a:off x="33804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5</xdr:row>
      <xdr:rowOff>123825</xdr:rowOff>
    </xdr:from>
    <xdr:to>
      <xdr:col>69</xdr:col>
      <xdr:colOff>352425</xdr:colOff>
      <xdr:row>5</xdr:row>
      <xdr:rowOff>352425</xdr:rowOff>
    </xdr:to>
    <xdr:sp macro="" textlink="">
      <xdr:nvSpPr>
        <xdr:cNvPr id="42865" name="tp69c11c23size18color16777215route"/>
        <xdr:cNvSpPr/>
      </xdr:nvSpPr>
      <xdr:spPr>
        <a:xfrm>
          <a:off x="336899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6</xdr:row>
      <xdr:rowOff>123825</xdr:rowOff>
    </xdr:from>
    <xdr:to>
      <xdr:col>69</xdr:col>
      <xdr:colOff>352425</xdr:colOff>
      <xdr:row>6</xdr:row>
      <xdr:rowOff>352425</xdr:rowOff>
    </xdr:to>
    <xdr:sp macro="" textlink="">
      <xdr:nvSpPr>
        <xdr:cNvPr id="42866" name="tp69c11c24size18color16777215route"/>
        <xdr:cNvSpPr/>
      </xdr:nvSpPr>
      <xdr:spPr>
        <a:xfrm>
          <a:off x="336899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7</xdr:row>
      <xdr:rowOff>123825</xdr:rowOff>
    </xdr:from>
    <xdr:to>
      <xdr:col>69</xdr:col>
      <xdr:colOff>352425</xdr:colOff>
      <xdr:row>7</xdr:row>
      <xdr:rowOff>352425</xdr:rowOff>
    </xdr:to>
    <xdr:sp macro="" textlink="">
      <xdr:nvSpPr>
        <xdr:cNvPr id="42867" name="tp69c11c25size18color16777215route"/>
        <xdr:cNvSpPr/>
      </xdr:nvSpPr>
      <xdr:spPr>
        <a:xfrm>
          <a:off x="336899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8</xdr:row>
      <xdr:rowOff>123825</xdr:rowOff>
    </xdr:from>
    <xdr:to>
      <xdr:col>69</xdr:col>
      <xdr:colOff>352425</xdr:colOff>
      <xdr:row>8</xdr:row>
      <xdr:rowOff>352425</xdr:rowOff>
    </xdr:to>
    <xdr:sp macro="" textlink="">
      <xdr:nvSpPr>
        <xdr:cNvPr id="42868" name="tp69c11c26size18color16777215routeb"/>
        <xdr:cNvSpPr/>
      </xdr:nvSpPr>
      <xdr:spPr>
        <a:xfrm>
          <a:off x="336899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238125</xdr:colOff>
      <xdr:row>8</xdr:row>
      <xdr:rowOff>238125</xdr:rowOff>
    </xdr:from>
    <xdr:to>
      <xdr:col>69</xdr:col>
      <xdr:colOff>238125</xdr:colOff>
      <xdr:row>8</xdr:row>
      <xdr:rowOff>238125</xdr:rowOff>
    </xdr:to>
    <xdr:sp macro="" textlink="">
      <xdr:nvSpPr>
        <xdr:cNvPr id="42869" name="rteShptp69c11c26size18color16777215routeb"/>
        <xdr:cNvSpPr/>
      </xdr:nvSpPr>
      <xdr:spPr>
        <a:xfrm>
          <a:off x="33804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9</xdr:row>
      <xdr:rowOff>123825</xdr:rowOff>
    </xdr:from>
    <xdr:to>
      <xdr:col>69</xdr:col>
      <xdr:colOff>352425</xdr:colOff>
      <xdr:row>9</xdr:row>
      <xdr:rowOff>352425</xdr:rowOff>
    </xdr:to>
    <xdr:sp macro="" textlink="">
      <xdr:nvSpPr>
        <xdr:cNvPr id="42871" name="tp69c11c27size18color16777215route"/>
        <xdr:cNvSpPr/>
      </xdr:nvSpPr>
      <xdr:spPr>
        <a:xfrm>
          <a:off x="336899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10</xdr:row>
      <xdr:rowOff>123825</xdr:rowOff>
    </xdr:from>
    <xdr:to>
      <xdr:col>69</xdr:col>
      <xdr:colOff>352425</xdr:colOff>
      <xdr:row>10</xdr:row>
      <xdr:rowOff>352425</xdr:rowOff>
    </xdr:to>
    <xdr:sp macro="" textlink="">
      <xdr:nvSpPr>
        <xdr:cNvPr id="42872" name="tp69c11c28size18color16777215route"/>
        <xdr:cNvSpPr/>
      </xdr:nvSpPr>
      <xdr:spPr>
        <a:xfrm>
          <a:off x="336899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14</xdr:row>
      <xdr:rowOff>123825</xdr:rowOff>
    </xdr:from>
    <xdr:to>
      <xdr:col>69</xdr:col>
      <xdr:colOff>352425</xdr:colOff>
      <xdr:row>14</xdr:row>
      <xdr:rowOff>352425</xdr:rowOff>
    </xdr:to>
    <xdr:sp macro="" textlink="">
      <xdr:nvSpPr>
        <xdr:cNvPr id="42873" name="tp69c12c22size18color255route"/>
        <xdr:cNvSpPr/>
      </xdr:nvSpPr>
      <xdr:spPr>
        <a:xfrm>
          <a:off x="33689925" y="7934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73025</xdr:colOff>
      <xdr:row>17</xdr:row>
      <xdr:rowOff>73025</xdr:rowOff>
    </xdr:from>
    <xdr:to>
      <xdr:col>69</xdr:col>
      <xdr:colOff>403225</xdr:colOff>
      <xdr:row>17</xdr:row>
      <xdr:rowOff>403225</xdr:rowOff>
    </xdr:to>
    <xdr:sp macro="" textlink="">
      <xdr:nvSpPr>
        <xdr:cNvPr id="42874" name="tp69c12c25size26color65535routev"/>
        <xdr:cNvSpPr/>
      </xdr:nvSpPr>
      <xdr:spPr>
        <a:xfrm>
          <a:off x="33639125" y="9312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238125</xdr:colOff>
      <xdr:row>17</xdr:row>
      <xdr:rowOff>238125</xdr:rowOff>
    </xdr:from>
    <xdr:to>
      <xdr:col>69</xdr:col>
      <xdr:colOff>238125</xdr:colOff>
      <xdr:row>17</xdr:row>
      <xdr:rowOff>238125</xdr:rowOff>
    </xdr:to>
    <xdr:sp macro="" textlink="">
      <xdr:nvSpPr>
        <xdr:cNvPr id="42875" name="rteShptp69c12c25size26color65535routev"/>
        <xdr:cNvSpPr/>
      </xdr:nvSpPr>
      <xdr:spPr>
        <a:xfrm>
          <a:off x="33804225" y="947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174625</xdr:colOff>
      <xdr:row>18</xdr:row>
      <xdr:rowOff>174625</xdr:rowOff>
    </xdr:from>
    <xdr:to>
      <xdr:col>69</xdr:col>
      <xdr:colOff>301625</xdr:colOff>
      <xdr:row>18</xdr:row>
      <xdr:rowOff>301625</xdr:rowOff>
    </xdr:to>
    <xdr:sp macro="" textlink="">
      <xdr:nvSpPr>
        <xdr:cNvPr id="42877" name="tp69c12c26size10color65280routecb"/>
        <xdr:cNvSpPr/>
      </xdr:nvSpPr>
      <xdr:spPr>
        <a:xfrm>
          <a:off x="33740725" y="9890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238125</xdr:colOff>
      <xdr:row>18</xdr:row>
      <xdr:rowOff>238125</xdr:rowOff>
    </xdr:from>
    <xdr:to>
      <xdr:col>69</xdr:col>
      <xdr:colOff>238125</xdr:colOff>
      <xdr:row>18</xdr:row>
      <xdr:rowOff>238125</xdr:rowOff>
    </xdr:to>
    <xdr:sp macro="" textlink="">
      <xdr:nvSpPr>
        <xdr:cNvPr id="42878" name="rteShptp69c12c26size10color65280routecb"/>
        <xdr:cNvSpPr/>
      </xdr:nvSpPr>
      <xdr:spPr>
        <a:xfrm>
          <a:off x="3380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23</xdr:row>
      <xdr:rowOff>123825</xdr:rowOff>
    </xdr:from>
    <xdr:to>
      <xdr:col>69</xdr:col>
      <xdr:colOff>352425</xdr:colOff>
      <xdr:row>23</xdr:row>
      <xdr:rowOff>352425</xdr:rowOff>
    </xdr:to>
    <xdr:sp macro="" textlink="">
      <xdr:nvSpPr>
        <xdr:cNvPr id="42881" name="tp69c13c21size18color16777215route"/>
        <xdr:cNvSpPr/>
      </xdr:nvSpPr>
      <xdr:spPr>
        <a:xfrm>
          <a:off x="3368992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24</xdr:row>
      <xdr:rowOff>123825</xdr:rowOff>
    </xdr:from>
    <xdr:to>
      <xdr:col>69</xdr:col>
      <xdr:colOff>352425</xdr:colOff>
      <xdr:row>24</xdr:row>
      <xdr:rowOff>352425</xdr:rowOff>
    </xdr:to>
    <xdr:sp macro="" textlink="">
      <xdr:nvSpPr>
        <xdr:cNvPr id="42882" name="tp69c13c22size18color16777215route"/>
        <xdr:cNvSpPr/>
      </xdr:nvSpPr>
      <xdr:spPr>
        <a:xfrm>
          <a:off x="3368992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25</xdr:row>
      <xdr:rowOff>123825</xdr:rowOff>
    </xdr:from>
    <xdr:to>
      <xdr:col>69</xdr:col>
      <xdr:colOff>352425</xdr:colOff>
      <xdr:row>25</xdr:row>
      <xdr:rowOff>352425</xdr:rowOff>
    </xdr:to>
    <xdr:sp macro="" textlink="">
      <xdr:nvSpPr>
        <xdr:cNvPr id="42883" name="tp69c13c23size18color16777215route"/>
        <xdr:cNvSpPr/>
      </xdr:nvSpPr>
      <xdr:spPr>
        <a:xfrm>
          <a:off x="3368992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26</xdr:row>
      <xdr:rowOff>123825</xdr:rowOff>
    </xdr:from>
    <xdr:to>
      <xdr:col>69</xdr:col>
      <xdr:colOff>352425</xdr:colOff>
      <xdr:row>26</xdr:row>
      <xdr:rowOff>352425</xdr:rowOff>
    </xdr:to>
    <xdr:sp macro="" textlink="">
      <xdr:nvSpPr>
        <xdr:cNvPr id="42884" name="tp69c13c24size18color16777215route"/>
        <xdr:cNvSpPr/>
      </xdr:nvSpPr>
      <xdr:spPr>
        <a:xfrm>
          <a:off x="3368992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27</xdr:row>
      <xdr:rowOff>123825</xdr:rowOff>
    </xdr:from>
    <xdr:to>
      <xdr:col>69</xdr:col>
      <xdr:colOff>352425</xdr:colOff>
      <xdr:row>27</xdr:row>
      <xdr:rowOff>352425</xdr:rowOff>
    </xdr:to>
    <xdr:sp macro="" textlink="">
      <xdr:nvSpPr>
        <xdr:cNvPr id="42885" name="tp69c13c25size18color16777215route"/>
        <xdr:cNvSpPr/>
      </xdr:nvSpPr>
      <xdr:spPr>
        <a:xfrm>
          <a:off x="3368992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28</xdr:row>
      <xdr:rowOff>123825</xdr:rowOff>
    </xdr:from>
    <xdr:to>
      <xdr:col>69</xdr:col>
      <xdr:colOff>352425</xdr:colOff>
      <xdr:row>28</xdr:row>
      <xdr:rowOff>352425</xdr:rowOff>
    </xdr:to>
    <xdr:sp macro="" textlink="">
      <xdr:nvSpPr>
        <xdr:cNvPr id="42886" name="tp69c13c26size18color16777215routevcb"/>
        <xdr:cNvSpPr/>
      </xdr:nvSpPr>
      <xdr:spPr>
        <a:xfrm>
          <a:off x="3368992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238125</xdr:colOff>
      <xdr:row>28</xdr:row>
      <xdr:rowOff>238125</xdr:rowOff>
    </xdr:from>
    <xdr:to>
      <xdr:col>69</xdr:col>
      <xdr:colOff>238125</xdr:colOff>
      <xdr:row>28</xdr:row>
      <xdr:rowOff>238125</xdr:rowOff>
    </xdr:to>
    <xdr:sp macro="" textlink="">
      <xdr:nvSpPr>
        <xdr:cNvPr id="42887" name="rteShptp69c13c26size18color16777215routevcb"/>
        <xdr:cNvSpPr/>
      </xdr:nvSpPr>
      <xdr:spPr>
        <a:xfrm>
          <a:off x="33804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29</xdr:row>
      <xdr:rowOff>123825</xdr:rowOff>
    </xdr:from>
    <xdr:to>
      <xdr:col>69</xdr:col>
      <xdr:colOff>352425</xdr:colOff>
      <xdr:row>29</xdr:row>
      <xdr:rowOff>352425</xdr:rowOff>
    </xdr:to>
    <xdr:sp macro="" textlink="">
      <xdr:nvSpPr>
        <xdr:cNvPr id="42891" name="tp69c13c27size18color16777215route"/>
        <xdr:cNvSpPr/>
      </xdr:nvSpPr>
      <xdr:spPr>
        <a:xfrm>
          <a:off x="3368992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123825</xdr:colOff>
      <xdr:row>30</xdr:row>
      <xdr:rowOff>123825</xdr:rowOff>
    </xdr:from>
    <xdr:to>
      <xdr:col>69</xdr:col>
      <xdr:colOff>352425</xdr:colOff>
      <xdr:row>30</xdr:row>
      <xdr:rowOff>352425</xdr:rowOff>
    </xdr:to>
    <xdr:sp macro="" textlink="">
      <xdr:nvSpPr>
        <xdr:cNvPr id="42892" name="tp69c13c28size18color16777215route"/>
        <xdr:cNvSpPr/>
      </xdr:nvSpPr>
      <xdr:spPr>
        <a:xfrm>
          <a:off x="3368992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3</xdr:row>
      <xdr:rowOff>123825</xdr:rowOff>
    </xdr:from>
    <xdr:to>
      <xdr:col>70</xdr:col>
      <xdr:colOff>352425</xdr:colOff>
      <xdr:row>3</xdr:row>
      <xdr:rowOff>352425</xdr:rowOff>
    </xdr:to>
    <xdr:sp macro="" textlink="">
      <xdr:nvSpPr>
        <xdr:cNvPr id="42893" name="tp70c11c21size18color16777215route"/>
        <xdr:cNvSpPr/>
      </xdr:nvSpPr>
      <xdr:spPr>
        <a:xfrm>
          <a:off x="3416617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4</xdr:row>
      <xdr:rowOff>123825</xdr:rowOff>
    </xdr:from>
    <xdr:to>
      <xdr:col>70</xdr:col>
      <xdr:colOff>352425</xdr:colOff>
      <xdr:row>4</xdr:row>
      <xdr:rowOff>352425</xdr:rowOff>
    </xdr:to>
    <xdr:sp macro="" textlink="">
      <xdr:nvSpPr>
        <xdr:cNvPr id="42894" name="tp70c11c22size18color16777215routevc"/>
        <xdr:cNvSpPr/>
      </xdr:nvSpPr>
      <xdr:spPr>
        <a:xfrm>
          <a:off x="3416617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238125</xdr:colOff>
      <xdr:row>4</xdr:row>
      <xdr:rowOff>238125</xdr:rowOff>
    </xdr:from>
    <xdr:to>
      <xdr:col>70</xdr:col>
      <xdr:colOff>238125</xdr:colOff>
      <xdr:row>4</xdr:row>
      <xdr:rowOff>238125</xdr:rowOff>
    </xdr:to>
    <xdr:sp macro="" textlink="">
      <xdr:nvSpPr>
        <xdr:cNvPr id="42895" name="rteShptp70c11c22size18color16777215routevc"/>
        <xdr:cNvSpPr/>
      </xdr:nvSpPr>
      <xdr:spPr>
        <a:xfrm>
          <a:off x="34280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5</xdr:row>
      <xdr:rowOff>123825</xdr:rowOff>
    </xdr:from>
    <xdr:to>
      <xdr:col>70</xdr:col>
      <xdr:colOff>352425</xdr:colOff>
      <xdr:row>5</xdr:row>
      <xdr:rowOff>352425</xdr:rowOff>
    </xdr:to>
    <xdr:sp macro="" textlink="">
      <xdr:nvSpPr>
        <xdr:cNvPr id="42898" name="tp70c11c23size18color16777215route"/>
        <xdr:cNvSpPr/>
      </xdr:nvSpPr>
      <xdr:spPr>
        <a:xfrm>
          <a:off x="3416617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6</xdr:row>
      <xdr:rowOff>123825</xdr:rowOff>
    </xdr:from>
    <xdr:to>
      <xdr:col>70</xdr:col>
      <xdr:colOff>352425</xdr:colOff>
      <xdr:row>6</xdr:row>
      <xdr:rowOff>352425</xdr:rowOff>
    </xdr:to>
    <xdr:sp macro="" textlink="">
      <xdr:nvSpPr>
        <xdr:cNvPr id="42899" name="tp70c11c24size18color16777215route"/>
        <xdr:cNvSpPr/>
      </xdr:nvSpPr>
      <xdr:spPr>
        <a:xfrm>
          <a:off x="3416617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7</xdr:row>
      <xdr:rowOff>123825</xdr:rowOff>
    </xdr:from>
    <xdr:to>
      <xdr:col>70</xdr:col>
      <xdr:colOff>352425</xdr:colOff>
      <xdr:row>7</xdr:row>
      <xdr:rowOff>352425</xdr:rowOff>
    </xdr:to>
    <xdr:sp macro="" textlink="">
      <xdr:nvSpPr>
        <xdr:cNvPr id="42900" name="tp70c11c25size18color16777215route"/>
        <xdr:cNvSpPr/>
      </xdr:nvSpPr>
      <xdr:spPr>
        <a:xfrm>
          <a:off x="3416617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8</xdr:row>
      <xdr:rowOff>123825</xdr:rowOff>
    </xdr:from>
    <xdr:to>
      <xdr:col>70</xdr:col>
      <xdr:colOff>352425</xdr:colOff>
      <xdr:row>8</xdr:row>
      <xdr:rowOff>352425</xdr:rowOff>
    </xdr:to>
    <xdr:sp macro="" textlink="">
      <xdr:nvSpPr>
        <xdr:cNvPr id="42901" name="tp70c11c26size18color16777215routeb"/>
        <xdr:cNvSpPr/>
      </xdr:nvSpPr>
      <xdr:spPr>
        <a:xfrm>
          <a:off x="3416617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238125</xdr:colOff>
      <xdr:row>8</xdr:row>
      <xdr:rowOff>238125</xdr:rowOff>
    </xdr:from>
    <xdr:to>
      <xdr:col>70</xdr:col>
      <xdr:colOff>238125</xdr:colOff>
      <xdr:row>8</xdr:row>
      <xdr:rowOff>238125</xdr:rowOff>
    </xdr:to>
    <xdr:sp macro="" textlink="">
      <xdr:nvSpPr>
        <xdr:cNvPr id="42902" name="rteShptp70c11c26size18color16777215routeb"/>
        <xdr:cNvSpPr/>
      </xdr:nvSpPr>
      <xdr:spPr>
        <a:xfrm>
          <a:off x="34280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9</xdr:row>
      <xdr:rowOff>123825</xdr:rowOff>
    </xdr:from>
    <xdr:to>
      <xdr:col>70</xdr:col>
      <xdr:colOff>352425</xdr:colOff>
      <xdr:row>9</xdr:row>
      <xdr:rowOff>352425</xdr:rowOff>
    </xdr:to>
    <xdr:sp macro="" textlink="">
      <xdr:nvSpPr>
        <xdr:cNvPr id="42904" name="tp70c11c27size18color16777215route"/>
        <xdr:cNvSpPr/>
      </xdr:nvSpPr>
      <xdr:spPr>
        <a:xfrm>
          <a:off x="3416617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10</xdr:row>
      <xdr:rowOff>123825</xdr:rowOff>
    </xdr:from>
    <xdr:to>
      <xdr:col>70</xdr:col>
      <xdr:colOff>352425</xdr:colOff>
      <xdr:row>10</xdr:row>
      <xdr:rowOff>352425</xdr:rowOff>
    </xdr:to>
    <xdr:sp macro="" textlink="">
      <xdr:nvSpPr>
        <xdr:cNvPr id="42905" name="tp70c11c28size18color16777215route"/>
        <xdr:cNvSpPr/>
      </xdr:nvSpPr>
      <xdr:spPr>
        <a:xfrm>
          <a:off x="3416617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14</xdr:row>
      <xdr:rowOff>123825</xdr:rowOff>
    </xdr:from>
    <xdr:to>
      <xdr:col>70</xdr:col>
      <xdr:colOff>352425</xdr:colOff>
      <xdr:row>14</xdr:row>
      <xdr:rowOff>352425</xdr:rowOff>
    </xdr:to>
    <xdr:sp macro="" textlink="">
      <xdr:nvSpPr>
        <xdr:cNvPr id="42906" name="tp70c12c22size18color255route"/>
        <xdr:cNvSpPr/>
      </xdr:nvSpPr>
      <xdr:spPr>
        <a:xfrm>
          <a:off x="34166175" y="7934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73025</xdr:colOff>
      <xdr:row>17</xdr:row>
      <xdr:rowOff>73025</xdr:rowOff>
    </xdr:from>
    <xdr:to>
      <xdr:col>70</xdr:col>
      <xdr:colOff>403225</xdr:colOff>
      <xdr:row>17</xdr:row>
      <xdr:rowOff>403225</xdr:rowOff>
    </xdr:to>
    <xdr:sp macro="" textlink="">
      <xdr:nvSpPr>
        <xdr:cNvPr id="42907" name="tp70c12c25size26color65280routev"/>
        <xdr:cNvSpPr/>
      </xdr:nvSpPr>
      <xdr:spPr>
        <a:xfrm>
          <a:off x="34115375" y="93122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238125</xdr:colOff>
      <xdr:row>17</xdr:row>
      <xdr:rowOff>238125</xdr:rowOff>
    </xdr:from>
    <xdr:to>
      <xdr:col>70</xdr:col>
      <xdr:colOff>238125</xdr:colOff>
      <xdr:row>17</xdr:row>
      <xdr:rowOff>238125</xdr:rowOff>
    </xdr:to>
    <xdr:sp macro="" textlink="">
      <xdr:nvSpPr>
        <xdr:cNvPr id="42908" name="rteShptp70c12c25size26color65280routev"/>
        <xdr:cNvSpPr/>
      </xdr:nvSpPr>
      <xdr:spPr>
        <a:xfrm>
          <a:off x="34280475" y="947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174625</xdr:colOff>
      <xdr:row>18</xdr:row>
      <xdr:rowOff>174625</xdr:rowOff>
    </xdr:from>
    <xdr:to>
      <xdr:col>70</xdr:col>
      <xdr:colOff>301625</xdr:colOff>
      <xdr:row>18</xdr:row>
      <xdr:rowOff>301625</xdr:rowOff>
    </xdr:to>
    <xdr:sp macro="" textlink="">
      <xdr:nvSpPr>
        <xdr:cNvPr id="42910" name="tp70c12c26size10color65280routecb"/>
        <xdr:cNvSpPr/>
      </xdr:nvSpPr>
      <xdr:spPr>
        <a:xfrm>
          <a:off x="34216975" y="9890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238125</xdr:colOff>
      <xdr:row>18</xdr:row>
      <xdr:rowOff>238125</xdr:rowOff>
    </xdr:from>
    <xdr:to>
      <xdr:col>70</xdr:col>
      <xdr:colOff>238125</xdr:colOff>
      <xdr:row>18</xdr:row>
      <xdr:rowOff>238125</xdr:rowOff>
    </xdr:to>
    <xdr:sp macro="" textlink="">
      <xdr:nvSpPr>
        <xdr:cNvPr id="42911" name="rteShptp70c12c26size10color65280routecb"/>
        <xdr:cNvSpPr/>
      </xdr:nvSpPr>
      <xdr:spPr>
        <a:xfrm>
          <a:off x="3428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23</xdr:row>
      <xdr:rowOff>123825</xdr:rowOff>
    </xdr:from>
    <xdr:to>
      <xdr:col>70</xdr:col>
      <xdr:colOff>352425</xdr:colOff>
      <xdr:row>23</xdr:row>
      <xdr:rowOff>352425</xdr:rowOff>
    </xdr:to>
    <xdr:sp macro="" textlink="">
      <xdr:nvSpPr>
        <xdr:cNvPr id="42914" name="tp70c13c21size18color16777215route"/>
        <xdr:cNvSpPr/>
      </xdr:nvSpPr>
      <xdr:spPr>
        <a:xfrm>
          <a:off x="341661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24</xdr:row>
      <xdr:rowOff>123825</xdr:rowOff>
    </xdr:from>
    <xdr:to>
      <xdr:col>70</xdr:col>
      <xdr:colOff>352425</xdr:colOff>
      <xdr:row>24</xdr:row>
      <xdr:rowOff>352425</xdr:rowOff>
    </xdr:to>
    <xdr:sp macro="" textlink="">
      <xdr:nvSpPr>
        <xdr:cNvPr id="42915" name="tp70c13c22size18color16777215route"/>
        <xdr:cNvSpPr/>
      </xdr:nvSpPr>
      <xdr:spPr>
        <a:xfrm>
          <a:off x="3416617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25</xdr:row>
      <xdr:rowOff>123825</xdr:rowOff>
    </xdr:from>
    <xdr:to>
      <xdr:col>70</xdr:col>
      <xdr:colOff>352425</xdr:colOff>
      <xdr:row>25</xdr:row>
      <xdr:rowOff>352425</xdr:rowOff>
    </xdr:to>
    <xdr:sp macro="" textlink="">
      <xdr:nvSpPr>
        <xdr:cNvPr id="42916" name="tp70c13c23size18color16777215route"/>
        <xdr:cNvSpPr/>
      </xdr:nvSpPr>
      <xdr:spPr>
        <a:xfrm>
          <a:off x="3416617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26</xdr:row>
      <xdr:rowOff>123825</xdr:rowOff>
    </xdr:from>
    <xdr:to>
      <xdr:col>70</xdr:col>
      <xdr:colOff>352425</xdr:colOff>
      <xdr:row>26</xdr:row>
      <xdr:rowOff>352425</xdr:rowOff>
    </xdr:to>
    <xdr:sp macro="" textlink="">
      <xdr:nvSpPr>
        <xdr:cNvPr id="42917" name="tp70c13c24size18color16777215route"/>
        <xdr:cNvSpPr/>
      </xdr:nvSpPr>
      <xdr:spPr>
        <a:xfrm>
          <a:off x="3416617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27</xdr:row>
      <xdr:rowOff>123825</xdr:rowOff>
    </xdr:from>
    <xdr:to>
      <xdr:col>70</xdr:col>
      <xdr:colOff>352425</xdr:colOff>
      <xdr:row>27</xdr:row>
      <xdr:rowOff>352425</xdr:rowOff>
    </xdr:to>
    <xdr:sp macro="" textlink="">
      <xdr:nvSpPr>
        <xdr:cNvPr id="42918" name="tp70c13c25size18color16777215route"/>
        <xdr:cNvSpPr/>
      </xdr:nvSpPr>
      <xdr:spPr>
        <a:xfrm>
          <a:off x="3416617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28</xdr:row>
      <xdr:rowOff>123825</xdr:rowOff>
    </xdr:from>
    <xdr:to>
      <xdr:col>70</xdr:col>
      <xdr:colOff>352425</xdr:colOff>
      <xdr:row>28</xdr:row>
      <xdr:rowOff>352425</xdr:rowOff>
    </xdr:to>
    <xdr:sp macro="" textlink="">
      <xdr:nvSpPr>
        <xdr:cNvPr id="42919" name="tp70c13c26size18color16777215routevcb"/>
        <xdr:cNvSpPr/>
      </xdr:nvSpPr>
      <xdr:spPr>
        <a:xfrm>
          <a:off x="341661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238125</xdr:colOff>
      <xdr:row>28</xdr:row>
      <xdr:rowOff>238125</xdr:rowOff>
    </xdr:from>
    <xdr:to>
      <xdr:col>70</xdr:col>
      <xdr:colOff>238125</xdr:colOff>
      <xdr:row>28</xdr:row>
      <xdr:rowOff>238125</xdr:rowOff>
    </xdr:to>
    <xdr:sp macro="" textlink="">
      <xdr:nvSpPr>
        <xdr:cNvPr id="42920" name="rteShptp70c13c26size18color16777215routevcb"/>
        <xdr:cNvSpPr/>
      </xdr:nvSpPr>
      <xdr:spPr>
        <a:xfrm>
          <a:off x="34280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29</xdr:row>
      <xdr:rowOff>123825</xdr:rowOff>
    </xdr:from>
    <xdr:to>
      <xdr:col>70</xdr:col>
      <xdr:colOff>352425</xdr:colOff>
      <xdr:row>29</xdr:row>
      <xdr:rowOff>352425</xdr:rowOff>
    </xdr:to>
    <xdr:sp macro="" textlink="">
      <xdr:nvSpPr>
        <xdr:cNvPr id="42924" name="tp70c13c27size18color16777215route"/>
        <xdr:cNvSpPr/>
      </xdr:nvSpPr>
      <xdr:spPr>
        <a:xfrm>
          <a:off x="3416617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123825</xdr:colOff>
      <xdr:row>30</xdr:row>
      <xdr:rowOff>123825</xdr:rowOff>
    </xdr:from>
    <xdr:to>
      <xdr:col>70</xdr:col>
      <xdr:colOff>352425</xdr:colOff>
      <xdr:row>30</xdr:row>
      <xdr:rowOff>352425</xdr:rowOff>
    </xdr:to>
    <xdr:sp macro="" textlink="">
      <xdr:nvSpPr>
        <xdr:cNvPr id="42925" name="tp70c13c28size18color16777215route"/>
        <xdr:cNvSpPr/>
      </xdr:nvSpPr>
      <xdr:spPr>
        <a:xfrm>
          <a:off x="3416617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123825</xdr:colOff>
      <xdr:row>4</xdr:row>
      <xdr:rowOff>123825</xdr:rowOff>
    </xdr:from>
    <xdr:to>
      <xdr:col>71</xdr:col>
      <xdr:colOff>352425</xdr:colOff>
      <xdr:row>4</xdr:row>
      <xdr:rowOff>352425</xdr:rowOff>
    </xdr:to>
    <xdr:sp macro="" textlink="">
      <xdr:nvSpPr>
        <xdr:cNvPr id="42926" name="tp71c11c22size18color65280routevc"/>
        <xdr:cNvSpPr/>
      </xdr:nvSpPr>
      <xdr:spPr>
        <a:xfrm>
          <a:off x="34642425" y="3171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238125</xdr:colOff>
      <xdr:row>4</xdr:row>
      <xdr:rowOff>238125</xdr:rowOff>
    </xdr:from>
    <xdr:to>
      <xdr:col>71</xdr:col>
      <xdr:colOff>238125</xdr:colOff>
      <xdr:row>4</xdr:row>
      <xdr:rowOff>238125</xdr:rowOff>
    </xdr:to>
    <xdr:sp macro="" textlink="">
      <xdr:nvSpPr>
        <xdr:cNvPr id="42927" name="rteShptp71c11c22size18color65280routevc"/>
        <xdr:cNvSpPr/>
      </xdr:nvSpPr>
      <xdr:spPr>
        <a:xfrm>
          <a:off x="34756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174625</xdr:colOff>
      <xdr:row>7</xdr:row>
      <xdr:rowOff>174625</xdr:rowOff>
    </xdr:from>
    <xdr:to>
      <xdr:col>71</xdr:col>
      <xdr:colOff>301625</xdr:colOff>
      <xdr:row>7</xdr:row>
      <xdr:rowOff>301625</xdr:rowOff>
    </xdr:to>
    <xdr:sp macro="" textlink="">
      <xdr:nvSpPr>
        <xdr:cNvPr id="42930" name="tp71c11c25size10color65280route"/>
        <xdr:cNvSpPr/>
      </xdr:nvSpPr>
      <xdr:spPr>
        <a:xfrm>
          <a:off x="34693225" y="46513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174625</xdr:colOff>
      <xdr:row>8</xdr:row>
      <xdr:rowOff>174625</xdr:rowOff>
    </xdr:from>
    <xdr:to>
      <xdr:col>71</xdr:col>
      <xdr:colOff>301625</xdr:colOff>
      <xdr:row>8</xdr:row>
      <xdr:rowOff>301625</xdr:rowOff>
    </xdr:to>
    <xdr:sp macro="" textlink="">
      <xdr:nvSpPr>
        <xdr:cNvPr id="42931" name="tp71c11c26size10color65280routeb"/>
        <xdr:cNvSpPr/>
      </xdr:nvSpPr>
      <xdr:spPr>
        <a:xfrm>
          <a:off x="34693225" y="512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238125</xdr:colOff>
      <xdr:row>8</xdr:row>
      <xdr:rowOff>238125</xdr:rowOff>
    </xdr:from>
    <xdr:to>
      <xdr:col>71</xdr:col>
      <xdr:colOff>238125</xdr:colOff>
      <xdr:row>8</xdr:row>
      <xdr:rowOff>238125</xdr:rowOff>
    </xdr:to>
    <xdr:sp macro="" textlink="">
      <xdr:nvSpPr>
        <xdr:cNvPr id="42932" name="rteShptp71c11c26size10color65280routeb"/>
        <xdr:cNvSpPr/>
      </xdr:nvSpPr>
      <xdr:spPr>
        <a:xfrm>
          <a:off x="34756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123825</xdr:colOff>
      <xdr:row>13</xdr:row>
      <xdr:rowOff>123825</xdr:rowOff>
    </xdr:from>
    <xdr:to>
      <xdr:col>71</xdr:col>
      <xdr:colOff>352425</xdr:colOff>
      <xdr:row>13</xdr:row>
      <xdr:rowOff>352425</xdr:rowOff>
    </xdr:to>
    <xdr:sp macro="" textlink="">
      <xdr:nvSpPr>
        <xdr:cNvPr id="42934" name="tp71c12c21size18color16777215route"/>
        <xdr:cNvSpPr/>
      </xdr:nvSpPr>
      <xdr:spPr>
        <a:xfrm>
          <a:off x="3464242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123825</xdr:colOff>
      <xdr:row>14</xdr:row>
      <xdr:rowOff>123825</xdr:rowOff>
    </xdr:from>
    <xdr:to>
      <xdr:col>71</xdr:col>
      <xdr:colOff>352425</xdr:colOff>
      <xdr:row>14</xdr:row>
      <xdr:rowOff>352425</xdr:rowOff>
    </xdr:to>
    <xdr:sp macro="" textlink="">
      <xdr:nvSpPr>
        <xdr:cNvPr id="42935" name="tp71c12c22size18color16777215route"/>
        <xdr:cNvSpPr/>
      </xdr:nvSpPr>
      <xdr:spPr>
        <a:xfrm>
          <a:off x="3464242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123825</xdr:colOff>
      <xdr:row>17</xdr:row>
      <xdr:rowOff>123825</xdr:rowOff>
    </xdr:from>
    <xdr:to>
      <xdr:col>71</xdr:col>
      <xdr:colOff>352425</xdr:colOff>
      <xdr:row>17</xdr:row>
      <xdr:rowOff>352425</xdr:rowOff>
    </xdr:to>
    <xdr:sp macro="" textlink="">
      <xdr:nvSpPr>
        <xdr:cNvPr id="42936" name="tp71c12c25size18color16777215routev"/>
        <xdr:cNvSpPr/>
      </xdr:nvSpPr>
      <xdr:spPr>
        <a:xfrm>
          <a:off x="3464242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238125</xdr:colOff>
      <xdr:row>17</xdr:row>
      <xdr:rowOff>238125</xdr:rowOff>
    </xdr:from>
    <xdr:to>
      <xdr:col>71</xdr:col>
      <xdr:colOff>238125</xdr:colOff>
      <xdr:row>17</xdr:row>
      <xdr:rowOff>238125</xdr:rowOff>
    </xdr:to>
    <xdr:sp macro="" textlink="">
      <xdr:nvSpPr>
        <xdr:cNvPr id="42937" name="rteShptp71c12c25size18color16777215routev"/>
        <xdr:cNvSpPr/>
      </xdr:nvSpPr>
      <xdr:spPr>
        <a:xfrm>
          <a:off x="34756725" y="947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123825</xdr:colOff>
      <xdr:row>18</xdr:row>
      <xdr:rowOff>123825</xdr:rowOff>
    </xdr:from>
    <xdr:to>
      <xdr:col>71</xdr:col>
      <xdr:colOff>352425</xdr:colOff>
      <xdr:row>18</xdr:row>
      <xdr:rowOff>352425</xdr:rowOff>
    </xdr:to>
    <xdr:sp macro="" textlink="">
      <xdr:nvSpPr>
        <xdr:cNvPr id="42939" name="tp71c12c26size18color16777215routecb"/>
        <xdr:cNvSpPr/>
      </xdr:nvSpPr>
      <xdr:spPr>
        <a:xfrm>
          <a:off x="3464242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238125</xdr:colOff>
      <xdr:row>18</xdr:row>
      <xdr:rowOff>238125</xdr:rowOff>
    </xdr:from>
    <xdr:to>
      <xdr:col>71</xdr:col>
      <xdr:colOff>238125</xdr:colOff>
      <xdr:row>18</xdr:row>
      <xdr:rowOff>238125</xdr:rowOff>
    </xdr:to>
    <xdr:sp macro="" textlink="">
      <xdr:nvSpPr>
        <xdr:cNvPr id="42940" name="rteShptp71c12c26size18color16777215routecb"/>
        <xdr:cNvSpPr/>
      </xdr:nvSpPr>
      <xdr:spPr>
        <a:xfrm>
          <a:off x="34756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73025</xdr:colOff>
      <xdr:row>23</xdr:row>
      <xdr:rowOff>73025</xdr:rowOff>
    </xdr:from>
    <xdr:to>
      <xdr:col>71</xdr:col>
      <xdr:colOff>403225</xdr:colOff>
      <xdr:row>23</xdr:row>
      <xdr:rowOff>403225</xdr:rowOff>
    </xdr:to>
    <xdr:sp macro="" textlink="">
      <xdr:nvSpPr>
        <xdr:cNvPr id="42943" name="tp71c13c21size26color65280routevcb"/>
        <xdr:cNvSpPr/>
      </xdr:nvSpPr>
      <xdr:spPr>
        <a:xfrm>
          <a:off x="34591625" y="121697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238125</xdr:colOff>
      <xdr:row>23</xdr:row>
      <xdr:rowOff>238125</xdr:rowOff>
    </xdr:from>
    <xdr:to>
      <xdr:col>71</xdr:col>
      <xdr:colOff>238125</xdr:colOff>
      <xdr:row>23</xdr:row>
      <xdr:rowOff>238125</xdr:rowOff>
    </xdr:to>
    <xdr:sp macro="" textlink="">
      <xdr:nvSpPr>
        <xdr:cNvPr id="42944" name="rteShptp71c13c21size26color65280routevcb"/>
        <xdr:cNvSpPr/>
      </xdr:nvSpPr>
      <xdr:spPr>
        <a:xfrm>
          <a:off x="347567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71</xdr:col>
      <xdr:colOff>174625</xdr:colOff>
      <xdr:row>24</xdr:row>
      <xdr:rowOff>174625</xdr:rowOff>
    </xdr:from>
    <xdr:to>
      <xdr:col>71</xdr:col>
      <xdr:colOff>301625</xdr:colOff>
      <xdr:row>24</xdr:row>
      <xdr:rowOff>301625</xdr:rowOff>
    </xdr:to>
    <xdr:sp macro="" textlink="">
      <xdr:nvSpPr>
        <xdr:cNvPr id="42948" name="tp71c13c22size10color65535route"/>
        <xdr:cNvSpPr/>
      </xdr:nvSpPr>
      <xdr:spPr>
        <a:xfrm>
          <a:off x="34693225" y="1274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4</xdr:row>
      <xdr:rowOff>123825</xdr:rowOff>
    </xdr:from>
    <xdr:to>
      <xdr:col>72</xdr:col>
      <xdr:colOff>352425</xdr:colOff>
      <xdr:row>4</xdr:row>
      <xdr:rowOff>352425</xdr:rowOff>
    </xdr:to>
    <xdr:sp macro="" textlink="">
      <xdr:nvSpPr>
        <xdr:cNvPr id="42949" name="tp72c11c22size18color65280routevc"/>
        <xdr:cNvSpPr/>
      </xdr:nvSpPr>
      <xdr:spPr>
        <a:xfrm>
          <a:off x="35118675" y="3171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238125</xdr:colOff>
      <xdr:row>4</xdr:row>
      <xdr:rowOff>238125</xdr:rowOff>
    </xdr:from>
    <xdr:to>
      <xdr:col>72</xdr:col>
      <xdr:colOff>238125</xdr:colOff>
      <xdr:row>4</xdr:row>
      <xdr:rowOff>238125</xdr:rowOff>
    </xdr:to>
    <xdr:sp macro="" textlink="">
      <xdr:nvSpPr>
        <xdr:cNvPr id="42950" name="rteShptp72c11c22size18color65280routevc"/>
        <xdr:cNvSpPr/>
      </xdr:nvSpPr>
      <xdr:spPr>
        <a:xfrm>
          <a:off x="3523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174625</xdr:colOff>
      <xdr:row>7</xdr:row>
      <xdr:rowOff>174625</xdr:rowOff>
    </xdr:from>
    <xdr:to>
      <xdr:col>72</xdr:col>
      <xdr:colOff>301625</xdr:colOff>
      <xdr:row>7</xdr:row>
      <xdr:rowOff>301625</xdr:rowOff>
    </xdr:to>
    <xdr:sp macro="" textlink="">
      <xdr:nvSpPr>
        <xdr:cNvPr id="42953" name="tp72c11c25size10color65280route"/>
        <xdr:cNvSpPr/>
      </xdr:nvSpPr>
      <xdr:spPr>
        <a:xfrm>
          <a:off x="35169475" y="46513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174625</xdr:colOff>
      <xdr:row>8</xdr:row>
      <xdr:rowOff>174625</xdr:rowOff>
    </xdr:from>
    <xdr:to>
      <xdr:col>72</xdr:col>
      <xdr:colOff>301625</xdr:colOff>
      <xdr:row>8</xdr:row>
      <xdr:rowOff>301625</xdr:rowOff>
    </xdr:to>
    <xdr:sp macro="" textlink="">
      <xdr:nvSpPr>
        <xdr:cNvPr id="42954" name="tp72c11c26size10color65280routeb"/>
        <xdr:cNvSpPr/>
      </xdr:nvSpPr>
      <xdr:spPr>
        <a:xfrm>
          <a:off x="35169475" y="512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238125</xdr:colOff>
      <xdr:row>8</xdr:row>
      <xdr:rowOff>238125</xdr:rowOff>
    </xdr:from>
    <xdr:to>
      <xdr:col>72</xdr:col>
      <xdr:colOff>238125</xdr:colOff>
      <xdr:row>8</xdr:row>
      <xdr:rowOff>238125</xdr:rowOff>
    </xdr:to>
    <xdr:sp macro="" textlink="">
      <xdr:nvSpPr>
        <xdr:cNvPr id="42955" name="rteShptp72c11c26size10color65280routeb"/>
        <xdr:cNvSpPr/>
      </xdr:nvSpPr>
      <xdr:spPr>
        <a:xfrm>
          <a:off x="35232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13</xdr:row>
      <xdr:rowOff>123825</xdr:rowOff>
    </xdr:from>
    <xdr:to>
      <xdr:col>72</xdr:col>
      <xdr:colOff>352425</xdr:colOff>
      <xdr:row>13</xdr:row>
      <xdr:rowOff>352425</xdr:rowOff>
    </xdr:to>
    <xdr:sp macro="" textlink="">
      <xdr:nvSpPr>
        <xdr:cNvPr id="42957" name="tp72c12c21size18color16777215route"/>
        <xdr:cNvSpPr/>
      </xdr:nvSpPr>
      <xdr:spPr>
        <a:xfrm>
          <a:off x="3511867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14</xdr:row>
      <xdr:rowOff>123825</xdr:rowOff>
    </xdr:from>
    <xdr:to>
      <xdr:col>72</xdr:col>
      <xdr:colOff>352425</xdr:colOff>
      <xdr:row>14</xdr:row>
      <xdr:rowOff>352425</xdr:rowOff>
    </xdr:to>
    <xdr:sp macro="" textlink="">
      <xdr:nvSpPr>
        <xdr:cNvPr id="42958" name="tp72c12c22size18color16777215route"/>
        <xdr:cNvSpPr/>
      </xdr:nvSpPr>
      <xdr:spPr>
        <a:xfrm>
          <a:off x="351186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17</xdr:row>
      <xdr:rowOff>123825</xdr:rowOff>
    </xdr:from>
    <xdr:to>
      <xdr:col>72</xdr:col>
      <xdr:colOff>352425</xdr:colOff>
      <xdr:row>17</xdr:row>
      <xdr:rowOff>352425</xdr:rowOff>
    </xdr:to>
    <xdr:sp macro="" textlink="">
      <xdr:nvSpPr>
        <xdr:cNvPr id="42959" name="tp72c12c25size18color16777215routev"/>
        <xdr:cNvSpPr/>
      </xdr:nvSpPr>
      <xdr:spPr>
        <a:xfrm>
          <a:off x="3511867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238125</xdr:colOff>
      <xdr:row>17</xdr:row>
      <xdr:rowOff>238125</xdr:rowOff>
    </xdr:from>
    <xdr:to>
      <xdr:col>72</xdr:col>
      <xdr:colOff>238125</xdr:colOff>
      <xdr:row>17</xdr:row>
      <xdr:rowOff>238125</xdr:rowOff>
    </xdr:to>
    <xdr:sp macro="" textlink="">
      <xdr:nvSpPr>
        <xdr:cNvPr id="42960" name="rteShptp72c12c25size18color16777215routev"/>
        <xdr:cNvSpPr/>
      </xdr:nvSpPr>
      <xdr:spPr>
        <a:xfrm>
          <a:off x="35232975" y="947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18</xdr:row>
      <xdr:rowOff>123825</xdr:rowOff>
    </xdr:from>
    <xdr:to>
      <xdr:col>72</xdr:col>
      <xdr:colOff>352425</xdr:colOff>
      <xdr:row>18</xdr:row>
      <xdr:rowOff>352425</xdr:rowOff>
    </xdr:to>
    <xdr:sp macro="" textlink="">
      <xdr:nvSpPr>
        <xdr:cNvPr id="42962" name="tp72c12c26size18color16777215routecb"/>
        <xdr:cNvSpPr/>
      </xdr:nvSpPr>
      <xdr:spPr>
        <a:xfrm>
          <a:off x="3511867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238125</xdr:colOff>
      <xdr:row>18</xdr:row>
      <xdr:rowOff>238125</xdr:rowOff>
    </xdr:from>
    <xdr:to>
      <xdr:col>72</xdr:col>
      <xdr:colOff>238125</xdr:colOff>
      <xdr:row>18</xdr:row>
      <xdr:rowOff>238125</xdr:rowOff>
    </xdr:to>
    <xdr:sp macro="" textlink="">
      <xdr:nvSpPr>
        <xdr:cNvPr id="42963" name="rteShptp72c12c26size18color16777215routecb"/>
        <xdr:cNvSpPr/>
      </xdr:nvSpPr>
      <xdr:spPr>
        <a:xfrm>
          <a:off x="35232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23</xdr:row>
      <xdr:rowOff>123825</xdr:rowOff>
    </xdr:from>
    <xdr:to>
      <xdr:col>72</xdr:col>
      <xdr:colOff>352425</xdr:colOff>
      <xdr:row>23</xdr:row>
      <xdr:rowOff>352425</xdr:rowOff>
    </xdr:to>
    <xdr:sp macro="" textlink="">
      <xdr:nvSpPr>
        <xdr:cNvPr id="42966" name="tp72c13c21size18color16777215route"/>
        <xdr:cNvSpPr/>
      </xdr:nvSpPr>
      <xdr:spPr>
        <a:xfrm>
          <a:off x="351186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24</xdr:row>
      <xdr:rowOff>123825</xdr:rowOff>
    </xdr:from>
    <xdr:to>
      <xdr:col>72</xdr:col>
      <xdr:colOff>352425</xdr:colOff>
      <xdr:row>24</xdr:row>
      <xdr:rowOff>352425</xdr:rowOff>
    </xdr:to>
    <xdr:sp macro="" textlink="">
      <xdr:nvSpPr>
        <xdr:cNvPr id="42967" name="tp72c13c22size18color16777215route"/>
        <xdr:cNvSpPr/>
      </xdr:nvSpPr>
      <xdr:spPr>
        <a:xfrm>
          <a:off x="3511867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25</xdr:row>
      <xdr:rowOff>123825</xdr:rowOff>
    </xdr:from>
    <xdr:to>
      <xdr:col>72</xdr:col>
      <xdr:colOff>352425</xdr:colOff>
      <xdr:row>25</xdr:row>
      <xdr:rowOff>352425</xdr:rowOff>
    </xdr:to>
    <xdr:sp macro="" textlink="">
      <xdr:nvSpPr>
        <xdr:cNvPr id="42968" name="tp72c13c23size18color16777215route"/>
        <xdr:cNvSpPr/>
      </xdr:nvSpPr>
      <xdr:spPr>
        <a:xfrm>
          <a:off x="3511867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26</xdr:row>
      <xdr:rowOff>123825</xdr:rowOff>
    </xdr:from>
    <xdr:to>
      <xdr:col>72</xdr:col>
      <xdr:colOff>352425</xdr:colOff>
      <xdr:row>26</xdr:row>
      <xdr:rowOff>352425</xdr:rowOff>
    </xdr:to>
    <xdr:sp macro="" textlink="">
      <xdr:nvSpPr>
        <xdr:cNvPr id="42969" name="tp72c13c24size18color16777215route"/>
        <xdr:cNvSpPr/>
      </xdr:nvSpPr>
      <xdr:spPr>
        <a:xfrm>
          <a:off x="3511867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27</xdr:row>
      <xdr:rowOff>123825</xdr:rowOff>
    </xdr:from>
    <xdr:to>
      <xdr:col>72</xdr:col>
      <xdr:colOff>352425</xdr:colOff>
      <xdr:row>27</xdr:row>
      <xdr:rowOff>352425</xdr:rowOff>
    </xdr:to>
    <xdr:sp macro="" textlink="">
      <xdr:nvSpPr>
        <xdr:cNvPr id="42970" name="tp72c13c25size18color16777215route"/>
        <xdr:cNvSpPr/>
      </xdr:nvSpPr>
      <xdr:spPr>
        <a:xfrm>
          <a:off x="3511867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28</xdr:row>
      <xdr:rowOff>123825</xdr:rowOff>
    </xdr:from>
    <xdr:to>
      <xdr:col>72</xdr:col>
      <xdr:colOff>352425</xdr:colOff>
      <xdr:row>28</xdr:row>
      <xdr:rowOff>352425</xdr:rowOff>
    </xdr:to>
    <xdr:sp macro="" textlink="">
      <xdr:nvSpPr>
        <xdr:cNvPr id="42971" name="tp72c13c26size18color16777215routevcb"/>
        <xdr:cNvSpPr/>
      </xdr:nvSpPr>
      <xdr:spPr>
        <a:xfrm>
          <a:off x="351186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238125</xdr:colOff>
      <xdr:row>28</xdr:row>
      <xdr:rowOff>238125</xdr:rowOff>
    </xdr:from>
    <xdr:to>
      <xdr:col>72</xdr:col>
      <xdr:colOff>238125</xdr:colOff>
      <xdr:row>28</xdr:row>
      <xdr:rowOff>238125</xdr:rowOff>
    </xdr:to>
    <xdr:sp macro="" textlink="">
      <xdr:nvSpPr>
        <xdr:cNvPr id="42972" name="rteShptp72c13c26size18color16777215routevcb"/>
        <xdr:cNvSpPr/>
      </xdr:nvSpPr>
      <xdr:spPr>
        <a:xfrm>
          <a:off x="35232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29</xdr:row>
      <xdr:rowOff>123825</xdr:rowOff>
    </xdr:from>
    <xdr:to>
      <xdr:col>72</xdr:col>
      <xdr:colOff>352425</xdr:colOff>
      <xdr:row>29</xdr:row>
      <xdr:rowOff>352425</xdr:rowOff>
    </xdr:to>
    <xdr:sp macro="" textlink="">
      <xdr:nvSpPr>
        <xdr:cNvPr id="42976" name="tp72c13c27size18color16777215route"/>
        <xdr:cNvSpPr/>
      </xdr:nvSpPr>
      <xdr:spPr>
        <a:xfrm>
          <a:off x="3511867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72</xdr:col>
      <xdr:colOff>123825</xdr:colOff>
      <xdr:row>30</xdr:row>
      <xdr:rowOff>123825</xdr:rowOff>
    </xdr:from>
    <xdr:to>
      <xdr:col>72</xdr:col>
      <xdr:colOff>352425</xdr:colOff>
      <xdr:row>30</xdr:row>
      <xdr:rowOff>352425</xdr:rowOff>
    </xdr:to>
    <xdr:sp macro="" textlink="">
      <xdr:nvSpPr>
        <xdr:cNvPr id="42977" name="tp72c13c28size18color16777215route"/>
        <xdr:cNvSpPr/>
      </xdr:nvSpPr>
      <xdr:spPr>
        <a:xfrm>
          <a:off x="3511867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73025</xdr:colOff>
      <xdr:row>4</xdr:row>
      <xdr:rowOff>73025</xdr:rowOff>
    </xdr:from>
    <xdr:to>
      <xdr:col>73</xdr:col>
      <xdr:colOff>403225</xdr:colOff>
      <xdr:row>4</xdr:row>
      <xdr:rowOff>403225</xdr:rowOff>
    </xdr:to>
    <xdr:sp macro="" textlink="">
      <xdr:nvSpPr>
        <xdr:cNvPr id="42978" name="tp73c11c22size26color65535routevcb"/>
        <xdr:cNvSpPr/>
      </xdr:nvSpPr>
      <xdr:spPr>
        <a:xfrm>
          <a:off x="3554412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238125</xdr:colOff>
      <xdr:row>4</xdr:row>
      <xdr:rowOff>238125</xdr:rowOff>
    </xdr:from>
    <xdr:to>
      <xdr:col>73</xdr:col>
      <xdr:colOff>238125</xdr:colOff>
      <xdr:row>4</xdr:row>
      <xdr:rowOff>238125</xdr:rowOff>
    </xdr:to>
    <xdr:sp macro="" textlink="">
      <xdr:nvSpPr>
        <xdr:cNvPr id="42979" name="rteShptp73c11c22size26color65535routevcb"/>
        <xdr:cNvSpPr/>
      </xdr:nvSpPr>
      <xdr:spPr>
        <a:xfrm>
          <a:off x="35709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13</xdr:row>
      <xdr:rowOff>123825</xdr:rowOff>
    </xdr:from>
    <xdr:to>
      <xdr:col>73</xdr:col>
      <xdr:colOff>352425</xdr:colOff>
      <xdr:row>13</xdr:row>
      <xdr:rowOff>352425</xdr:rowOff>
    </xdr:to>
    <xdr:sp macro="" textlink="">
      <xdr:nvSpPr>
        <xdr:cNvPr id="42983" name="tp73c12c21size18color16777215route"/>
        <xdr:cNvSpPr/>
      </xdr:nvSpPr>
      <xdr:spPr>
        <a:xfrm>
          <a:off x="3559492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14</xdr:row>
      <xdr:rowOff>123825</xdr:rowOff>
    </xdr:from>
    <xdr:to>
      <xdr:col>73</xdr:col>
      <xdr:colOff>352425</xdr:colOff>
      <xdr:row>14</xdr:row>
      <xdr:rowOff>352425</xdr:rowOff>
    </xdr:to>
    <xdr:sp macro="" textlink="">
      <xdr:nvSpPr>
        <xdr:cNvPr id="42984" name="tp73c12c22size18color16777215route"/>
        <xdr:cNvSpPr/>
      </xdr:nvSpPr>
      <xdr:spPr>
        <a:xfrm>
          <a:off x="3559492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17</xdr:row>
      <xdr:rowOff>123825</xdr:rowOff>
    </xdr:from>
    <xdr:to>
      <xdr:col>73</xdr:col>
      <xdr:colOff>352425</xdr:colOff>
      <xdr:row>17</xdr:row>
      <xdr:rowOff>352425</xdr:rowOff>
    </xdr:to>
    <xdr:sp macro="" textlink="">
      <xdr:nvSpPr>
        <xdr:cNvPr id="42985" name="tp73c12c25size18color16777215routev"/>
        <xdr:cNvSpPr/>
      </xdr:nvSpPr>
      <xdr:spPr>
        <a:xfrm>
          <a:off x="3559492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238125</xdr:colOff>
      <xdr:row>17</xdr:row>
      <xdr:rowOff>238125</xdr:rowOff>
    </xdr:from>
    <xdr:to>
      <xdr:col>73</xdr:col>
      <xdr:colOff>238125</xdr:colOff>
      <xdr:row>17</xdr:row>
      <xdr:rowOff>238125</xdr:rowOff>
    </xdr:to>
    <xdr:sp macro="" textlink="">
      <xdr:nvSpPr>
        <xdr:cNvPr id="42986" name="rteShptp73c12c25size18color16777215routev"/>
        <xdr:cNvSpPr/>
      </xdr:nvSpPr>
      <xdr:spPr>
        <a:xfrm>
          <a:off x="35709225" y="947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18</xdr:row>
      <xdr:rowOff>123825</xdr:rowOff>
    </xdr:from>
    <xdr:to>
      <xdr:col>73</xdr:col>
      <xdr:colOff>352425</xdr:colOff>
      <xdr:row>18</xdr:row>
      <xdr:rowOff>352425</xdr:rowOff>
    </xdr:to>
    <xdr:sp macro="" textlink="">
      <xdr:nvSpPr>
        <xdr:cNvPr id="42988" name="tp73c12c26size18color16777215routecb"/>
        <xdr:cNvSpPr/>
      </xdr:nvSpPr>
      <xdr:spPr>
        <a:xfrm>
          <a:off x="3559492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238125</xdr:colOff>
      <xdr:row>18</xdr:row>
      <xdr:rowOff>238125</xdr:rowOff>
    </xdr:from>
    <xdr:to>
      <xdr:col>73</xdr:col>
      <xdr:colOff>238125</xdr:colOff>
      <xdr:row>18</xdr:row>
      <xdr:rowOff>238125</xdr:rowOff>
    </xdr:to>
    <xdr:sp macro="" textlink="">
      <xdr:nvSpPr>
        <xdr:cNvPr id="42989" name="rteShptp73c12c26size18color16777215routecb"/>
        <xdr:cNvSpPr/>
      </xdr:nvSpPr>
      <xdr:spPr>
        <a:xfrm>
          <a:off x="35709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23</xdr:row>
      <xdr:rowOff>123825</xdr:rowOff>
    </xdr:from>
    <xdr:to>
      <xdr:col>73</xdr:col>
      <xdr:colOff>352425</xdr:colOff>
      <xdr:row>23</xdr:row>
      <xdr:rowOff>352425</xdr:rowOff>
    </xdr:to>
    <xdr:sp macro="" textlink="">
      <xdr:nvSpPr>
        <xdr:cNvPr id="42992" name="tp73c13c21size18color16777215route"/>
        <xdr:cNvSpPr/>
      </xdr:nvSpPr>
      <xdr:spPr>
        <a:xfrm>
          <a:off x="3559492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24</xdr:row>
      <xdr:rowOff>123825</xdr:rowOff>
    </xdr:from>
    <xdr:to>
      <xdr:col>73</xdr:col>
      <xdr:colOff>352425</xdr:colOff>
      <xdr:row>24</xdr:row>
      <xdr:rowOff>352425</xdr:rowOff>
    </xdr:to>
    <xdr:sp macro="" textlink="">
      <xdr:nvSpPr>
        <xdr:cNvPr id="42993" name="tp73c13c22size18color16777215route"/>
        <xdr:cNvSpPr/>
      </xdr:nvSpPr>
      <xdr:spPr>
        <a:xfrm>
          <a:off x="3559492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25</xdr:row>
      <xdr:rowOff>123825</xdr:rowOff>
    </xdr:from>
    <xdr:to>
      <xdr:col>73</xdr:col>
      <xdr:colOff>352425</xdr:colOff>
      <xdr:row>25</xdr:row>
      <xdr:rowOff>352425</xdr:rowOff>
    </xdr:to>
    <xdr:sp macro="" textlink="">
      <xdr:nvSpPr>
        <xdr:cNvPr id="42994" name="tp73c13c23size18color16777215route"/>
        <xdr:cNvSpPr/>
      </xdr:nvSpPr>
      <xdr:spPr>
        <a:xfrm>
          <a:off x="3559492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26</xdr:row>
      <xdr:rowOff>123825</xdr:rowOff>
    </xdr:from>
    <xdr:to>
      <xdr:col>73</xdr:col>
      <xdr:colOff>352425</xdr:colOff>
      <xdr:row>26</xdr:row>
      <xdr:rowOff>352425</xdr:rowOff>
    </xdr:to>
    <xdr:sp macro="" textlink="">
      <xdr:nvSpPr>
        <xdr:cNvPr id="42995" name="tp73c13c24size18color16777215route"/>
        <xdr:cNvSpPr/>
      </xdr:nvSpPr>
      <xdr:spPr>
        <a:xfrm>
          <a:off x="3559492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27</xdr:row>
      <xdr:rowOff>123825</xdr:rowOff>
    </xdr:from>
    <xdr:to>
      <xdr:col>73</xdr:col>
      <xdr:colOff>352425</xdr:colOff>
      <xdr:row>27</xdr:row>
      <xdr:rowOff>352425</xdr:rowOff>
    </xdr:to>
    <xdr:sp macro="" textlink="">
      <xdr:nvSpPr>
        <xdr:cNvPr id="42996" name="tp73c13c25size18color16777215route"/>
        <xdr:cNvSpPr/>
      </xdr:nvSpPr>
      <xdr:spPr>
        <a:xfrm>
          <a:off x="3559492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28</xdr:row>
      <xdr:rowOff>123825</xdr:rowOff>
    </xdr:from>
    <xdr:to>
      <xdr:col>73</xdr:col>
      <xdr:colOff>352425</xdr:colOff>
      <xdr:row>28</xdr:row>
      <xdr:rowOff>352425</xdr:rowOff>
    </xdr:to>
    <xdr:sp macro="" textlink="">
      <xdr:nvSpPr>
        <xdr:cNvPr id="42997" name="tp73c13c26size18color16777215routevcb"/>
        <xdr:cNvSpPr/>
      </xdr:nvSpPr>
      <xdr:spPr>
        <a:xfrm>
          <a:off x="3559492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238125</xdr:colOff>
      <xdr:row>28</xdr:row>
      <xdr:rowOff>238125</xdr:rowOff>
    </xdr:from>
    <xdr:to>
      <xdr:col>73</xdr:col>
      <xdr:colOff>238125</xdr:colOff>
      <xdr:row>28</xdr:row>
      <xdr:rowOff>238125</xdr:rowOff>
    </xdr:to>
    <xdr:sp macro="" textlink="">
      <xdr:nvSpPr>
        <xdr:cNvPr id="42998" name="rteShptp73c13c26size18color16777215routevcb"/>
        <xdr:cNvSpPr/>
      </xdr:nvSpPr>
      <xdr:spPr>
        <a:xfrm>
          <a:off x="35709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29</xdr:row>
      <xdr:rowOff>123825</xdr:rowOff>
    </xdr:from>
    <xdr:to>
      <xdr:col>73</xdr:col>
      <xdr:colOff>352425</xdr:colOff>
      <xdr:row>29</xdr:row>
      <xdr:rowOff>352425</xdr:rowOff>
    </xdr:to>
    <xdr:sp macro="" textlink="">
      <xdr:nvSpPr>
        <xdr:cNvPr id="43002" name="tp73c13c27size18color16777215route"/>
        <xdr:cNvSpPr/>
      </xdr:nvSpPr>
      <xdr:spPr>
        <a:xfrm>
          <a:off x="3559492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73</xdr:col>
      <xdr:colOff>123825</xdr:colOff>
      <xdr:row>30</xdr:row>
      <xdr:rowOff>123825</xdr:rowOff>
    </xdr:from>
    <xdr:to>
      <xdr:col>73</xdr:col>
      <xdr:colOff>352425</xdr:colOff>
      <xdr:row>30</xdr:row>
      <xdr:rowOff>352425</xdr:rowOff>
    </xdr:to>
    <xdr:sp macro="" textlink="">
      <xdr:nvSpPr>
        <xdr:cNvPr id="43003" name="tp73c13c28size18color16777215route"/>
        <xdr:cNvSpPr/>
      </xdr:nvSpPr>
      <xdr:spPr>
        <a:xfrm>
          <a:off x="3559492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73025</xdr:colOff>
      <xdr:row>4</xdr:row>
      <xdr:rowOff>73025</xdr:rowOff>
    </xdr:from>
    <xdr:to>
      <xdr:col>74</xdr:col>
      <xdr:colOff>403225</xdr:colOff>
      <xdr:row>4</xdr:row>
      <xdr:rowOff>403225</xdr:rowOff>
    </xdr:to>
    <xdr:sp macro="" textlink="">
      <xdr:nvSpPr>
        <xdr:cNvPr id="43004" name="tp74c11c22size26color255routevcb"/>
        <xdr:cNvSpPr/>
      </xdr:nvSpPr>
      <xdr:spPr>
        <a:xfrm>
          <a:off x="3602037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238125</xdr:colOff>
      <xdr:row>4</xdr:row>
      <xdr:rowOff>238125</xdr:rowOff>
    </xdr:from>
    <xdr:to>
      <xdr:col>74</xdr:col>
      <xdr:colOff>238125</xdr:colOff>
      <xdr:row>4</xdr:row>
      <xdr:rowOff>238125</xdr:rowOff>
    </xdr:to>
    <xdr:sp macro="" textlink="">
      <xdr:nvSpPr>
        <xdr:cNvPr id="43005" name="rteShptp74c11c22size26color255routevcb"/>
        <xdr:cNvSpPr/>
      </xdr:nvSpPr>
      <xdr:spPr>
        <a:xfrm>
          <a:off x="36185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13</xdr:row>
      <xdr:rowOff>123825</xdr:rowOff>
    </xdr:from>
    <xdr:to>
      <xdr:col>74</xdr:col>
      <xdr:colOff>352425</xdr:colOff>
      <xdr:row>13</xdr:row>
      <xdr:rowOff>352425</xdr:rowOff>
    </xdr:to>
    <xdr:sp macro="" textlink="">
      <xdr:nvSpPr>
        <xdr:cNvPr id="43009" name="tp74c12c21size18color16777215route"/>
        <xdr:cNvSpPr/>
      </xdr:nvSpPr>
      <xdr:spPr>
        <a:xfrm>
          <a:off x="3607117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14</xdr:row>
      <xdr:rowOff>123825</xdr:rowOff>
    </xdr:from>
    <xdr:to>
      <xdr:col>74</xdr:col>
      <xdr:colOff>352425</xdr:colOff>
      <xdr:row>14</xdr:row>
      <xdr:rowOff>352425</xdr:rowOff>
    </xdr:to>
    <xdr:sp macro="" textlink="">
      <xdr:nvSpPr>
        <xdr:cNvPr id="43010" name="tp74c12c22size18color16777215route"/>
        <xdr:cNvSpPr/>
      </xdr:nvSpPr>
      <xdr:spPr>
        <a:xfrm>
          <a:off x="360711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17</xdr:row>
      <xdr:rowOff>123825</xdr:rowOff>
    </xdr:from>
    <xdr:to>
      <xdr:col>74</xdr:col>
      <xdr:colOff>352425</xdr:colOff>
      <xdr:row>17</xdr:row>
      <xdr:rowOff>352425</xdr:rowOff>
    </xdr:to>
    <xdr:sp macro="" textlink="">
      <xdr:nvSpPr>
        <xdr:cNvPr id="43011" name="tp74c12c25size18color16777215routev"/>
        <xdr:cNvSpPr/>
      </xdr:nvSpPr>
      <xdr:spPr>
        <a:xfrm>
          <a:off x="3607117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238125</xdr:colOff>
      <xdr:row>17</xdr:row>
      <xdr:rowOff>238125</xdr:rowOff>
    </xdr:from>
    <xdr:to>
      <xdr:col>74</xdr:col>
      <xdr:colOff>238125</xdr:colOff>
      <xdr:row>17</xdr:row>
      <xdr:rowOff>238125</xdr:rowOff>
    </xdr:to>
    <xdr:sp macro="" textlink="">
      <xdr:nvSpPr>
        <xdr:cNvPr id="43012" name="rteShptp74c12c25size18color16777215routev"/>
        <xdr:cNvSpPr/>
      </xdr:nvSpPr>
      <xdr:spPr>
        <a:xfrm>
          <a:off x="36185475" y="947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18</xdr:row>
      <xdr:rowOff>123825</xdr:rowOff>
    </xdr:from>
    <xdr:to>
      <xdr:col>74</xdr:col>
      <xdr:colOff>352425</xdr:colOff>
      <xdr:row>18</xdr:row>
      <xdr:rowOff>352425</xdr:rowOff>
    </xdr:to>
    <xdr:sp macro="" textlink="">
      <xdr:nvSpPr>
        <xdr:cNvPr id="43014" name="tp74c12c26size18color16777215routecb"/>
        <xdr:cNvSpPr/>
      </xdr:nvSpPr>
      <xdr:spPr>
        <a:xfrm>
          <a:off x="3607117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238125</xdr:colOff>
      <xdr:row>18</xdr:row>
      <xdr:rowOff>238125</xdr:rowOff>
    </xdr:from>
    <xdr:to>
      <xdr:col>74</xdr:col>
      <xdr:colOff>238125</xdr:colOff>
      <xdr:row>18</xdr:row>
      <xdr:rowOff>238125</xdr:rowOff>
    </xdr:to>
    <xdr:sp macro="" textlink="">
      <xdr:nvSpPr>
        <xdr:cNvPr id="43015" name="rteShptp74c12c26size18color16777215routecb"/>
        <xdr:cNvSpPr/>
      </xdr:nvSpPr>
      <xdr:spPr>
        <a:xfrm>
          <a:off x="36185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23</xdr:row>
      <xdr:rowOff>123825</xdr:rowOff>
    </xdr:from>
    <xdr:to>
      <xdr:col>74</xdr:col>
      <xdr:colOff>352425</xdr:colOff>
      <xdr:row>23</xdr:row>
      <xdr:rowOff>352425</xdr:rowOff>
    </xdr:to>
    <xdr:sp macro="" textlink="">
      <xdr:nvSpPr>
        <xdr:cNvPr id="43018" name="tp74c13c21size18color16777215route"/>
        <xdr:cNvSpPr/>
      </xdr:nvSpPr>
      <xdr:spPr>
        <a:xfrm>
          <a:off x="3607117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24</xdr:row>
      <xdr:rowOff>123825</xdr:rowOff>
    </xdr:from>
    <xdr:to>
      <xdr:col>74</xdr:col>
      <xdr:colOff>352425</xdr:colOff>
      <xdr:row>24</xdr:row>
      <xdr:rowOff>352425</xdr:rowOff>
    </xdr:to>
    <xdr:sp macro="" textlink="">
      <xdr:nvSpPr>
        <xdr:cNvPr id="43019" name="tp74c13c22size18color16777215route"/>
        <xdr:cNvSpPr/>
      </xdr:nvSpPr>
      <xdr:spPr>
        <a:xfrm>
          <a:off x="3607117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25</xdr:row>
      <xdr:rowOff>123825</xdr:rowOff>
    </xdr:from>
    <xdr:to>
      <xdr:col>74</xdr:col>
      <xdr:colOff>352425</xdr:colOff>
      <xdr:row>25</xdr:row>
      <xdr:rowOff>352425</xdr:rowOff>
    </xdr:to>
    <xdr:sp macro="" textlink="">
      <xdr:nvSpPr>
        <xdr:cNvPr id="43020" name="tp74c13c23size18color16777215route"/>
        <xdr:cNvSpPr/>
      </xdr:nvSpPr>
      <xdr:spPr>
        <a:xfrm>
          <a:off x="3607117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26</xdr:row>
      <xdr:rowOff>123825</xdr:rowOff>
    </xdr:from>
    <xdr:to>
      <xdr:col>74</xdr:col>
      <xdr:colOff>352425</xdr:colOff>
      <xdr:row>26</xdr:row>
      <xdr:rowOff>352425</xdr:rowOff>
    </xdr:to>
    <xdr:sp macro="" textlink="">
      <xdr:nvSpPr>
        <xdr:cNvPr id="43021" name="tp74c13c24size18color16777215route"/>
        <xdr:cNvSpPr/>
      </xdr:nvSpPr>
      <xdr:spPr>
        <a:xfrm>
          <a:off x="3607117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27</xdr:row>
      <xdr:rowOff>123825</xdr:rowOff>
    </xdr:from>
    <xdr:to>
      <xdr:col>74</xdr:col>
      <xdr:colOff>352425</xdr:colOff>
      <xdr:row>27</xdr:row>
      <xdr:rowOff>352425</xdr:rowOff>
    </xdr:to>
    <xdr:sp macro="" textlink="">
      <xdr:nvSpPr>
        <xdr:cNvPr id="43022" name="tp74c13c25size18color16777215route"/>
        <xdr:cNvSpPr/>
      </xdr:nvSpPr>
      <xdr:spPr>
        <a:xfrm>
          <a:off x="3607117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28</xdr:row>
      <xdr:rowOff>123825</xdr:rowOff>
    </xdr:from>
    <xdr:to>
      <xdr:col>74</xdr:col>
      <xdr:colOff>352425</xdr:colOff>
      <xdr:row>28</xdr:row>
      <xdr:rowOff>352425</xdr:rowOff>
    </xdr:to>
    <xdr:sp macro="" textlink="">
      <xdr:nvSpPr>
        <xdr:cNvPr id="43023" name="tp74c13c26size18color16777215routevcb"/>
        <xdr:cNvSpPr/>
      </xdr:nvSpPr>
      <xdr:spPr>
        <a:xfrm>
          <a:off x="3607117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238125</xdr:colOff>
      <xdr:row>28</xdr:row>
      <xdr:rowOff>238125</xdr:rowOff>
    </xdr:from>
    <xdr:to>
      <xdr:col>74</xdr:col>
      <xdr:colOff>238125</xdr:colOff>
      <xdr:row>28</xdr:row>
      <xdr:rowOff>238125</xdr:rowOff>
    </xdr:to>
    <xdr:sp macro="" textlink="">
      <xdr:nvSpPr>
        <xdr:cNvPr id="43024" name="rteShptp74c13c26size18color16777215routevcb"/>
        <xdr:cNvSpPr/>
      </xdr:nvSpPr>
      <xdr:spPr>
        <a:xfrm>
          <a:off x="36185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29</xdr:row>
      <xdr:rowOff>123825</xdr:rowOff>
    </xdr:from>
    <xdr:to>
      <xdr:col>74</xdr:col>
      <xdr:colOff>352425</xdr:colOff>
      <xdr:row>29</xdr:row>
      <xdr:rowOff>352425</xdr:rowOff>
    </xdr:to>
    <xdr:sp macro="" textlink="">
      <xdr:nvSpPr>
        <xdr:cNvPr id="43028" name="tp74c13c27size18color16777215route"/>
        <xdr:cNvSpPr/>
      </xdr:nvSpPr>
      <xdr:spPr>
        <a:xfrm>
          <a:off x="3607117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123825</xdr:colOff>
      <xdr:row>30</xdr:row>
      <xdr:rowOff>123825</xdr:rowOff>
    </xdr:from>
    <xdr:to>
      <xdr:col>74</xdr:col>
      <xdr:colOff>352425</xdr:colOff>
      <xdr:row>30</xdr:row>
      <xdr:rowOff>352425</xdr:rowOff>
    </xdr:to>
    <xdr:sp macro="" textlink="">
      <xdr:nvSpPr>
        <xdr:cNvPr id="43029" name="tp74c13c28size18color16777215route"/>
        <xdr:cNvSpPr/>
      </xdr:nvSpPr>
      <xdr:spPr>
        <a:xfrm>
          <a:off x="3607117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3</xdr:row>
      <xdr:rowOff>123825</xdr:rowOff>
    </xdr:from>
    <xdr:to>
      <xdr:col>75</xdr:col>
      <xdr:colOff>352425</xdr:colOff>
      <xdr:row>3</xdr:row>
      <xdr:rowOff>352425</xdr:rowOff>
    </xdr:to>
    <xdr:sp macro="" textlink="">
      <xdr:nvSpPr>
        <xdr:cNvPr id="43030" name="tp75c11c21size18color16777215route"/>
        <xdr:cNvSpPr/>
      </xdr:nvSpPr>
      <xdr:spPr>
        <a:xfrm>
          <a:off x="365474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4</xdr:row>
      <xdr:rowOff>123825</xdr:rowOff>
    </xdr:from>
    <xdr:to>
      <xdr:col>75</xdr:col>
      <xdr:colOff>352425</xdr:colOff>
      <xdr:row>4</xdr:row>
      <xdr:rowOff>352425</xdr:rowOff>
    </xdr:to>
    <xdr:sp macro="" textlink="">
      <xdr:nvSpPr>
        <xdr:cNvPr id="43031" name="tp75c11c22size18color16777215routevc"/>
        <xdr:cNvSpPr/>
      </xdr:nvSpPr>
      <xdr:spPr>
        <a:xfrm>
          <a:off x="365474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238125</xdr:colOff>
      <xdr:row>4</xdr:row>
      <xdr:rowOff>238125</xdr:rowOff>
    </xdr:from>
    <xdr:to>
      <xdr:col>75</xdr:col>
      <xdr:colOff>238125</xdr:colOff>
      <xdr:row>4</xdr:row>
      <xdr:rowOff>238125</xdr:rowOff>
    </xdr:to>
    <xdr:sp macro="" textlink="">
      <xdr:nvSpPr>
        <xdr:cNvPr id="43032" name="rteShptp75c11c22size18color16777215routevc"/>
        <xdr:cNvSpPr/>
      </xdr:nvSpPr>
      <xdr:spPr>
        <a:xfrm>
          <a:off x="36661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5</xdr:row>
      <xdr:rowOff>123825</xdr:rowOff>
    </xdr:from>
    <xdr:to>
      <xdr:col>75</xdr:col>
      <xdr:colOff>352425</xdr:colOff>
      <xdr:row>5</xdr:row>
      <xdr:rowOff>352425</xdr:rowOff>
    </xdr:to>
    <xdr:sp macro="" textlink="">
      <xdr:nvSpPr>
        <xdr:cNvPr id="43035" name="tp75c11c23size18color16777215route"/>
        <xdr:cNvSpPr/>
      </xdr:nvSpPr>
      <xdr:spPr>
        <a:xfrm>
          <a:off x="365474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6</xdr:row>
      <xdr:rowOff>123825</xdr:rowOff>
    </xdr:from>
    <xdr:to>
      <xdr:col>75</xdr:col>
      <xdr:colOff>352425</xdr:colOff>
      <xdr:row>6</xdr:row>
      <xdr:rowOff>352425</xdr:rowOff>
    </xdr:to>
    <xdr:sp macro="" textlink="">
      <xdr:nvSpPr>
        <xdr:cNvPr id="43036" name="tp75c11c24size18color16777215route"/>
        <xdr:cNvSpPr/>
      </xdr:nvSpPr>
      <xdr:spPr>
        <a:xfrm>
          <a:off x="365474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7</xdr:row>
      <xdr:rowOff>123825</xdr:rowOff>
    </xdr:from>
    <xdr:to>
      <xdr:col>75</xdr:col>
      <xdr:colOff>352425</xdr:colOff>
      <xdr:row>7</xdr:row>
      <xdr:rowOff>352425</xdr:rowOff>
    </xdr:to>
    <xdr:sp macro="" textlink="">
      <xdr:nvSpPr>
        <xdr:cNvPr id="43037" name="tp75c11c25size18color16777215route"/>
        <xdr:cNvSpPr/>
      </xdr:nvSpPr>
      <xdr:spPr>
        <a:xfrm>
          <a:off x="365474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8</xdr:row>
      <xdr:rowOff>123825</xdr:rowOff>
    </xdr:from>
    <xdr:to>
      <xdr:col>75</xdr:col>
      <xdr:colOff>352425</xdr:colOff>
      <xdr:row>8</xdr:row>
      <xdr:rowOff>352425</xdr:rowOff>
    </xdr:to>
    <xdr:sp macro="" textlink="">
      <xdr:nvSpPr>
        <xdr:cNvPr id="43038" name="tp75c11c26size18color16777215routeb"/>
        <xdr:cNvSpPr/>
      </xdr:nvSpPr>
      <xdr:spPr>
        <a:xfrm>
          <a:off x="365474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238125</xdr:colOff>
      <xdr:row>8</xdr:row>
      <xdr:rowOff>238125</xdr:rowOff>
    </xdr:from>
    <xdr:to>
      <xdr:col>75</xdr:col>
      <xdr:colOff>238125</xdr:colOff>
      <xdr:row>8</xdr:row>
      <xdr:rowOff>238125</xdr:rowOff>
    </xdr:to>
    <xdr:sp macro="" textlink="">
      <xdr:nvSpPr>
        <xdr:cNvPr id="43039" name="rteShptp75c11c26size18color16777215routeb"/>
        <xdr:cNvSpPr/>
      </xdr:nvSpPr>
      <xdr:spPr>
        <a:xfrm>
          <a:off x="36661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9</xdr:row>
      <xdr:rowOff>123825</xdr:rowOff>
    </xdr:from>
    <xdr:to>
      <xdr:col>75</xdr:col>
      <xdr:colOff>352425</xdr:colOff>
      <xdr:row>9</xdr:row>
      <xdr:rowOff>352425</xdr:rowOff>
    </xdr:to>
    <xdr:sp macro="" textlink="">
      <xdr:nvSpPr>
        <xdr:cNvPr id="43041" name="tp75c11c27size18color16777215route"/>
        <xdr:cNvSpPr/>
      </xdr:nvSpPr>
      <xdr:spPr>
        <a:xfrm>
          <a:off x="365474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10</xdr:row>
      <xdr:rowOff>123825</xdr:rowOff>
    </xdr:from>
    <xdr:to>
      <xdr:col>75</xdr:col>
      <xdr:colOff>352425</xdr:colOff>
      <xdr:row>10</xdr:row>
      <xdr:rowOff>352425</xdr:rowOff>
    </xdr:to>
    <xdr:sp macro="" textlink="">
      <xdr:nvSpPr>
        <xdr:cNvPr id="43042" name="tp75c11c28size18color16777215route"/>
        <xdr:cNvSpPr/>
      </xdr:nvSpPr>
      <xdr:spPr>
        <a:xfrm>
          <a:off x="365474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73025</xdr:colOff>
      <xdr:row>18</xdr:row>
      <xdr:rowOff>73025</xdr:rowOff>
    </xdr:from>
    <xdr:to>
      <xdr:col>75</xdr:col>
      <xdr:colOff>403225</xdr:colOff>
      <xdr:row>18</xdr:row>
      <xdr:rowOff>403225</xdr:rowOff>
    </xdr:to>
    <xdr:sp macro="" textlink="">
      <xdr:nvSpPr>
        <xdr:cNvPr id="43043" name="tp75c12c26size26color65535routevcb"/>
        <xdr:cNvSpPr/>
      </xdr:nvSpPr>
      <xdr:spPr>
        <a:xfrm>
          <a:off x="3649662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238125</xdr:colOff>
      <xdr:row>18</xdr:row>
      <xdr:rowOff>238125</xdr:rowOff>
    </xdr:from>
    <xdr:to>
      <xdr:col>75</xdr:col>
      <xdr:colOff>238125</xdr:colOff>
      <xdr:row>18</xdr:row>
      <xdr:rowOff>238125</xdr:rowOff>
    </xdr:to>
    <xdr:sp macro="" textlink="">
      <xdr:nvSpPr>
        <xdr:cNvPr id="43044" name="rteShptp75c12c26size26color65535routevcb"/>
        <xdr:cNvSpPr/>
      </xdr:nvSpPr>
      <xdr:spPr>
        <a:xfrm>
          <a:off x="3666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23</xdr:row>
      <xdr:rowOff>123825</xdr:rowOff>
    </xdr:from>
    <xdr:to>
      <xdr:col>75</xdr:col>
      <xdr:colOff>352425</xdr:colOff>
      <xdr:row>23</xdr:row>
      <xdr:rowOff>352425</xdr:rowOff>
    </xdr:to>
    <xdr:sp macro="" textlink="">
      <xdr:nvSpPr>
        <xdr:cNvPr id="43048" name="tp75c13c21size18color16777215route"/>
        <xdr:cNvSpPr/>
      </xdr:nvSpPr>
      <xdr:spPr>
        <a:xfrm>
          <a:off x="36547425" y="1222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24</xdr:row>
      <xdr:rowOff>123825</xdr:rowOff>
    </xdr:from>
    <xdr:to>
      <xdr:col>75</xdr:col>
      <xdr:colOff>352425</xdr:colOff>
      <xdr:row>24</xdr:row>
      <xdr:rowOff>352425</xdr:rowOff>
    </xdr:to>
    <xdr:sp macro="" textlink="">
      <xdr:nvSpPr>
        <xdr:cNvPr id="43049" name="tp75c13c22size18color16777215route"/>
        <xdr:cNvSpPr/>
      </xdr:nvSpPr>
      <xdr:spPr>
        <a:xfrm>
          <a:off x="36547425" y="1269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25</xdr:row>
      <xdr:rowOff>123825</xdr:rowOff>
    </xdr:from>
    <xdr:to>
      <xdr:col>75</xdr:col>
      <xdr:colOff>352425</xdr:colOff>
      <xdr:row>25</xdr:row>
      <xdr:rowOff>352425</xdr:rowOff>
    </xdr:to>
    <xdr:sp macro="" textlink="">
      <xdr:nvSpPr>
        <xdr:cNvPr id="43050" name="tp75c13c23size18color16777215route"/>
        <xdr:cNvSpPr/>
      </xdr:nvSpPr>
      <xdr:spPr>
        <a:xfrm>
          <a:off x="36547425" y="1317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26</xdr:row>
      <xdr:rowOff>123825</xdr:rowOff>
    </xdr:from>
    <xdr:to>
      <xdr:col>75</xdr:col>
      <xdr:colOff>352425</xdr:colOff>
      <xdr:row>26</xdr:row>
      <xdr:rowOff>352425</xdr:rowOff>
    </xdr:to>
    <xdr:sp macro="" textlink="">
      <xdr:nvSpPr>
        <xdr:cNvPr id="43051" name="tp75c13c24size18color16777215route"/>
        <xdr:cNvSpPr/>
      </xdr:nvSpPr>
      <xdr:spPr>
        <a:xfrm>
          <a:off x="36547425" y="1364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27</xdr:row>
      <xdr:rowOff>123825</xdr:rowOff>
    </xdr:from>
    <xdr:to>
      <xdr:col>75</xdr:col>
      <xdr:colOff>352425</xdr:colOff>
      <xdr:row>27</xdr:row>
      <xdr:rowOff>352425</xdr:rowOff>
    </xdr:to>
    <xdr:sp macro="" textlink="">
      <xdr:nvSpPr>
        <xdr:cNvPr id="43052" name="tp75c13c25size18color16777215route"/>
        <xdr:cNvSpPr/>
      </xdr:nvSpPr>
      <xdr:spPr>
        <a:xfrm>
          <a:off x="36547425" y="1412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28</xdr:row>
      <xdr:rowOff>123825</xdr:rowOff>
    </xdr:from>
    <xdr:to>
      <xdr:col>75</xdr:col>
      <xdr:colOff>352425</xdr:colOff>
      <xdr:row>28</xdr:row>
      <xdr:rowOff>352425</xdr:rowOff>
    </xdr:to>
    <xdr:sp macro="" textlink="">
      <xdr:nvSpPr>
        <xdr:cNvPr id="43053" name="tp75c13c26size18color16777215routevcb"/>
        <xdr:cNvSpPr/>
      </xdr:nvSpPr>
      <xdr:spPr>
        <a:xfrm>
          <a:off x="36547425" y="1460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238125</xdr:colOff>
      <xdr:row>28</xdr:row>
      <xdr:rowOff>238125</xdr:rowOff>
    </xdr:from>
    <xdr:to>
      <xdr:col>75</xdr:col>
      <xdr:colOff>238125</xdr:colOff>
      <xdr:row>28</xdr:row>
      <xdr:rowOff>238125</xdr:rowOff>
    </xdr:to>
    <xdr:sp macro="" textlink="">
      <xdr:nvSpPr>
        <xdr:cNvPr id="43054" name="rteShptp75c13c26size18color16777215routevcb"/>
        <xdr:cNvSpPr/>
      </xdr:nvSpPr>
      <xdr:spPr>
        <a:xfrm>
          <a:off x="36661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29</xdr:row>
      <xdr:rowOff>123825</xdr:rowOff>
    </xdr:from>
    <xdr:to>
      <xdr:col>75</xdr:col>
      <xdr:colOff>352425</xdr:colOff>
      <xdr:row>29</xdr:row>
      <xdr:rowOff>352425</xdr:rowOff>
    </xdr:to>
    <xdr:sp macro="" textlink="">
      <xdr:nvSpPr>
        <xdr:cNvPr id="43058" name="tp75c13c27size18color16777215route"/>
        <xdr:cNvSpPr/>
      </xdr:nvSpPr>
      <xdr:spPr>
        <a:xfrm>
          <a:off x="36547425" y="1507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75</xdr:col>
      <xdr:colOff>123825</xdr:colOff>
      <xdr:row>30</xdr:row>
      <xdr:rowOff>123825</xdr:rowOff>
    </xdr:from>
    <xdr:to>
      <xdr:col>75</xdr:col>
      <xdr:colOff>352425</xdr:colOff>
      <xdr:row>30</xdr:row>
      <xdr:rowOff>352425</xdr:rowOff>
    </xdr:to>
    <xdr:sp macro="" textlink="">
      <xdr:nvSpPr>
        <xdr:cNvPr id="43059" name="tp75c13c28size18color16777215route"/>
        <xdr:cNvSpPr/>
      </xdr:nvSpPr>
      <xdr:spPr>
        <a:xfrm>
          <a:off x="36547425" y="1555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123825</xdr:colOff>
      <xdr:row>3</xdr:row>
      <xdr:rowOff>123825</xdr:rowOff>
    </xdr:from>
    <xdr:to>
      <xdr:col>76</xdr:col>
      <xdr:colOff>352425</xdr:colOff>
      <xdr:row>3</xdr:row>
      <xdr:rowOff>352425</xdr:rowOff>
    </xdr:to>
    <xdr:sp macro="" textlink="">
      <xdr:nvSpPr>
        <xdr:cNvPr id="43060" name="tp76c11c21size18color16777215route"/>
        <xdr:cNvSpPr/>
      </xdr:nvSpPr>
      <xdr:spPr>
        <a:xfrm>
          <a:off x="3702367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123825</xdr:colOff>
      <xdr:row>4</xdr:row>
      <xdr:rowOff>123825</xdr:rowOff>
    </xdr:from>
    <xdr:to>
      <xdr:col>76</xdr:col>
      <xdr:colOff>352425</xdr:colOff>
      <xdr:row>4</xdr:row>
      <xdr:rowOff>352425</xdr:rowOff>
    </xdr:to>
    <xdr:sp macro="" textlink="">
      <xdr:nvSpPr>
        <xdr:cNvPr id="43061" name="tp76c11c22size18color16777215routevc"/>
        <xdr:cNvSpPr/>
      </xdr:nvSpPr>
      <xdr:spPr>
        <a:xfrm>
          <a:off x="3702367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238125</xdr:colOff>
      <xdr:row>4</xdr:row>
      <xdr:rowOff>238125</xdr:rowOff>
    </xdr:from>
    <xdr:to>
      <xdr:col>76</xdr:col>
      <xdr:colOff>238125</xdr:colOff>
      <xdr:row>4</xdr:row>
      <xdr:rowOff>238125</xdr:rowOff>
    </xdr:to>
    <xdr:sp macro="" textlink="">
      <xdr:nvSpPr>
        <xdr:cNvPr id="43062" name="rteShptp76c11c22size18color16777215routevc"/>
        <xdr:cNvSpPr/>
      </xdr:nvSpPr>
      <xdr:spPr>
        <a:xfrm>
          <a:off x="37137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123825</xdr:colOff>
      <xdr:row>5</xdr:row>
      <xdr:rowOff>123825</xdr:rowOff>
    </xdr:from>
    <xdr:to>
      <xdr:col>76</xdr:col>
      <xdr:colOff>352425</xdr:colOff>
      <xdr:row>5</xdr:row>
      <xdr:rowOff>352425</xdr:rowOff>
    </xdr:to>
    <xdr:sp macro="" textlink="">
      <xdr:nvSpPr>
        <xdr:cNvPr id="43065" name="tp76c11c23size18color16777215route"/>
        <xdr:cNvSpPr/>
      </xdr:nvSpPr>
      <xdr:spPr>
        <a:xfrm>
          <a:off x="3702367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123825</xdr:colOff>
      <xdr:row>6</xdr:row>
      <xdr:rowOff>123825</xdr:rowOff>
    </xdr:from>
    <xdr:to>
      <xdr:col>76</xdr:col>
      <xdr:colOff>352425</xdr:colOff>
      <xdr:row>6</xdr:row>
      <xdr:rowOff>352425</xdr:rowOff>
    </xdr:to>
    <xdr:sp macro="" textlink="">
      <xdr:nvSpPr>
        <xdr:cNvPr id="43066" name="tp76c11c24size18color16777215route"/>
        <xdr:cNvSpPr/>
      </xdr:nvSpPr>
      <xdr:spPr>
        <a:xfrm>
          <a:off x="3702367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123825</xdr:colOff>
      <xdr:row>7</xdr:row>
      <xdr:rowOff>123825</xdr:rowOff>
    </xdr:from>
    <xdr:to>
      <xdr:col>76</xdr:col>
      <xdr:colOff>352425</xdr:colOff>
      <xdr:row>7</xdr:row>
      <xdr:rowOff>352425</xdr:rowOff>
    </xdr:to>
    <xdr:sp macro="" textlink="">
      <xdr:nvSpPr>
        <xdr:cNvPr id="43067" name="tp76c11c25size18color16777215route"/>
        <xdr:cNvSpPr/>
      </xdr:nvSpPr>
      <xdr:spPr>
        <a:xfrm>
          <a:off x="3702367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123825</xdr:colOff>
      <xdr:row>8</xdr:row>
      <xdr:rowOff>123825</xdr:rowOff>
    </xdr:from>
    <xdr:to>
      <xdr:col>76</xdr:col>
      <xdr:colOff>352425</xdr:colOff>
      <xdr:row>8</xdr:row>
      <xdr:rowOff>352425</xdr:rowOff>
    </xdr:to>
    <xdr:sp macro="" textlink="">
      <xdr:nvSpPr>
        <xdr:cNvPr id="43068" name="tp76c11c26size18color16777215routeb"/>
        <xdr:cNvSpPr/>
      </xdr:nvSpPr>
      <xdr:spPr>
        <a:xfrm>
          <a:off x="3702367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238125</xdr:colOff>
      <xdr:row>8</xdr:row>
      <xdr:rowOff>238125</xdr:rowOff>
    </xdr:from>
    <xdr:to>
      <xdr:col>76</xdr:col>
      <xdr:colOff>238125</xdr:colOff>
      <xdr:row>8</xdr:row>
      <xdr:rowOff>238125</xdr:rowOff>
    </xdr:to>
    <xdr:sp macro="" textlink="">
      <xdr:nvSpPr>
        <xdr:cNvPr id="43069" name="rteShptp76c11c26size18color16777215routeb"/>
        <xdr:cNvSpPr/>
      </xdr:nvSpPr>
      <xdr:spPr>
        <a:xfrm>
          <a:off x="37137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123825</xdr:colOff>
      <xdr:row>9</xdr:row>
      <xdr:rowOff>123825</xdr:rowOff>
    </xdr:from>
    <xdr:to>
      <xdr:col>76</xdr:col>
      <xdr:colOff>352425</xdr:colOff>
      <xdr:row>9</xdr:row>
      <xdr:rowOff>352425</xdr:rowOff>
    </xdr:to>
    <xdr:sp macro="" textlink="">
      <xdr:nvSpPr>
        <xdr:cNvPr id="43071" name="tp76c11c27size18color16777215route"/>
        <xdr:cNvSpPr/>
      </xdr:nvSpPr>
      <xdr:spPr>
        <a:xfrm>
          <a:off x="3702367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123825</xdr:colOff>
      <xdr:row>10</xdr:row>
      <xdr:rowOff>123825</xdr:rowOff>
    </xdr:from>
    <xdr:to>
      <xdr:col>76</xdr:col>
      <xdr:colOff>352425</xdr:colOff>
      <xdr:row>10</xdr:row>
      <xdr:rowOff>352425</xdr:rowOff>
    </xdr:to>
    <xdr:sp macro="" textlink="">
      <xdr:nvSpPr>
        <xdr:cNvPr id="43072" name="tp76c11c28size18color16777215route"/>
        <xdr:cNvSpPr/>
      </xdr:nvSpPr>
      <xdr:spPr>
        <a:xfrm>
          <a:off x="3702367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174625</xdr:colOff>
      <xdr:row>14</xdr:row>
      <xdr:rowOff>174625</xdr:rowOff>
    </xdr:from>
    <xdr:to>
      <xdr:col>76</xdr:col>
      <xdr:colOff>301625</xdr:colOff>
      <xdr:row>14</xdr:row>
      <xdr:rowOff>301625</xdr:rowOff>
    </xdr:to>
    <xdr:sp macro="" textlink="">
      <xdr:nvSpPr>
        <xdr:cNvPr id="43073" name="tp76c12c22size10color65535route"/>
        <xdr:cNvSpPr/>
      </xdr:nvSpPr>
      <xdr:spPr>
        <a:xfrm>
          <a:off x="37074475" y="7985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73025</xdr:colOff>
      <xdr:row>18</xdr:row>
      <xdr:rowOff>73025</xdr:rowOff>
    </xdr:from>
    <xdr:to>
      <xdr:col>76</xdr:col>
      <xdr:colOff>403225</xdr:colOff>
      <xdr:row>18</xdr:row>
      <xdr:rowOff>403225</xdr:rowOff>
    </xdr:to>
    <xdr:sp macro="" textlink="">
      <xdr:nvSpPr>
        <xdr:cNvPr id="43074" name="tp76c12c26size26color65280routevcb"/>
        <xdr:cNvSpPr/>
      </xdr:nvSpPr>
      <xdr:spPr>
        <a:xfrm>
          <a:off x="3697287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238125</xdr:colOff>
      <xdr:row>18</xdr:row>
      <xdr:rowOff>238125</xdr:rowOff>
    </xdr:from>
    <xdr:to>
      <xdr:col>76</xdr:col>
      <xdr:colOff>238125</xdr:colOff>
      <xdr:row>18</xdr:row>
      <xdr:rowOff>238125</xdr:rowOff>
    </xdr:to>
    <xdr:sp macro="" textlink="">
      <xdr:nvSpPr>
        <xdr:cNvPr id="43075" name="rteShptp76c12c26size26color65280routevcb"/>
        <xdr:cNvSpPr/>
      </xdr:nvSpPr>
      <xdr:spPr>
        <a:xfrm>
          <a:off x="3713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174625</xdr:colOff>
      <xdr:row>23</xdr:row>
      <xdr:rowOff>174625</xdr:rowOff>
    </xdr:from>
    <xdr:to>
      <xdr:col>76</xdr:col>
      <xdr:colOff>301625</xdr:colOff>
      <xdr:row>23</xdr:row>
      <xdr:rowOff>301625</xdr:rowOff>
    </xdr:to>
    <xdr:sp macro="" textlink="">
      <xdr:nvSpPr>
        <xdr:cNvPr id="43079" name="tp76c13c21size10color65280route"/>
        <xdr:cNvSpPr/>
      </xdr:nvSpPr>
      <xdr:spPr>
        <a:xfrm>
          <a:off x="37074475" y="122713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73025</xdr:colOff>
      <xdr:row>28</xdr:row>
      <xdr:rowOff>73025</xdr:rowOff>
    </xdr:from>
    <xdr:to>
      <xdr:col>76</xdr:col>
      <xdr:colOff>403225</xdr:colOff>
      <xdr:row>28</xdr:row>
      <xdr:rowOff>403225</xdr:rowOff>
    </xdr:to>
    <xdr:sp macro="" textlink="">
      <xdr:nvSpPr>
        <xdr:cNvPr id="43080" name="tp76c13c26size26color65280routevcb"/>
        <xdr:cNvSpPr/>
      </xdr:nvSpPr>
      <xdr:spPr>
        <a:xfrm>
          <a:off x="3697287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76</xdr:col>
      <xdr:colOff>238125</xdr:colOff>
      <xdr:row>28</xdr:row>
      <xdr:rowOff>238125</xdr:rowOff>
    </xdr:from>
    <xdr:to>
      <xdr:col>76</xdr:col>
      <xdr:colOff>238125</xdr:colOff>
      <xdr:row>28</xdr:row>
      <xdr:rowOff>238125</xdr:rowOff>
    </xdr:to>
    <xdr:sp macro="" textlink="">
      <xdr:nvSpPr>
        <xdr:cNvPr id="43081" name="rteShptp76c13c26size26color65280routevcb"/>
        <xdr:cNvSpPr/>
      </xdr:nvSpPr>
      <xdr:spPr>
        <a:xfrm>
          <a:off x="37137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123825</xdr:colOff>
      <xdr:row>3</xdr:row>
      <xdr:rowOff>123825</xdr:rowOff>
    </xdr:from>
    <xdr:to>
      <xdr:col>77</xdr:col>
      <xdr:colOff>352425</xdr:colOff>
      <xdr:row>3</xdr:row>
      <xdr:rowOff>352425</xdr:rowOff>
    </xdr:to>
    <xdr:sp macro="" textlink="">
      <xdr:nvSpPr>
        <xdr:cNvPr id="43085" name="tp77c11c21size18color16777215route"/>
        <xdr:cNvSpPr/>
      </xdr:nvSpPr>
      <xdr:spPr>
        <a:xfrm>
          <a:off x="374999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123825</xdr:colOff>
      <xdr:row>4</xdr:row>
      <xdr:rowOff>123825</xdr:rowOff>
    </xdr:from>
    <xdr:to>
      <xdr:col>77</xdr:col>
      <xdr:colOff>352425</xdr:colOff>
      <xdr:row>4</xdr:row>
      <xdr:rowOff>352425</xdr:rowOff>
    </xdr:to>
    <xdr:sp macro="" textlink="">
      <xdr:nvSpPr>
        <xdr:cNvPr id="43086" name="tp77c11c22size18color16777215routevc"/>
        <xdr:cNvSpPr/>
      </xdr:nvSpPr>
      <xdr:spPr>
        <a:xfrm>
          <a:off x="374999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238125</xdr:colOff>
      <xdr:row>4</xdr:row>
      <xdr:rowOff>238125</xdr:rowOff>
    </xdr:from>
    <xdr:to>
      <xdr:col>77</xdr:col>
      <xdr:colOff>238125</xdr:colOff>
      <xdr:row>4</xdr:row>
      <xdr:rowOff>238125</xdr:rowOff>
    </xdr:to>
    <xdr:sp macro="" textlink="">
      <xdr:nvSpPr>
        <xdr:cNvPr id="43087" name="rteShptp77c11c22size18color16777215routevc"/>
        <xdr:cNvSpPr/>
      </xdr:nvSpPr>
      <xdr:spPr>
        <a:xfrm>
          <a:off x="37614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123825</xdr:colOff>
      <xdr:row>5</xdr:row>
      <xdr:rowOff>123825</xdr:rowOff>
    </xdr:from>
    <xdr:to>
      <xdr:col>77</xdr:col>
      <xdr:colOff>352425</xdr:colOff>
      <xdr:row>5</xdr:row>
      <xdr:rowOff>352425</xdr:rowOff>
    </xdr:to>
    <xdr:sp macro="" textlink="">
      <xdr:nvSpPr>
        <xdr:cNvPr id="43090" name="tp77c11c23size18color16777215route"/>
        <xdr:cNvSpPr/>
      </xdr:nvSpPr>
      <xdr:spPr>
        <a:xfrm>
          <a:off x="374999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123825</xdr:colOff>
      <xdr:row>6</xdr:row>
      <xdr:rowOff>123825</xdr:rowOff>
    </xdr:from>
    <xdr:to>
      <xdr:col>77</xdr:col>
      <xdr:colOff>352425</xdr:colOff>
      <xdr:row>6</xdr:row>
      <xdr:rowOff>352425</xdr:rowOff>
    </xdr:to>
    <xdr:sp macro="" textlink="">
      <xdr:nvSpPr>
        <xdr:cNvPr id="43091" name="tp77c11c24size18color16777215route"/>
        <xdr:cNvSpPr/>
      </xdr:nvSpPr>
      <xdr:spPr>
        <a:xfrm>
          <a:off x="374999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123825</xdr:colOff>
      <xdr:row>7</xdr:row>
      <xdr:rowOff>123825</xdr:rowOff>
    </xdr:from>
    <xdr:to>
      <xdr:col>77</xdr:col>
      <xdr:colOff>352425</xdr:colOff>
      <xdr:row>7</xdr:row>
      <xdr:rowOff>352425</xdr:rowOff>
    </xdr:to>
    <xdr:sp macro="" textlink="">
      <xdr:nvSpPr>
        <xdr:cNvPr id="43092" name="tp77c11c25size18color16777215route"/>
        <xdr:cNvSpPr/>
      </xdr:nvSpPr>
      <xdr:spPr>
        <a:xfrm>
          <a:off x="374999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123825</xdr:colOff>
      <xdr:row>8</xdr:row>
      <xdr:rowOff>123825</xdr:rowOff>
    </xdr:from>
    <xdr:to>
      <xdr:col>77</xdr:col>
      <xdr:colOff>352425</xdr:colOff>
      <xdr:row>8</xdr:row>
      <xdr:rowOff>352425</xdr:rowOff>
    </xdr:to>
    <xdr:sp macro="" textlink="">
      <xdr:nvSpPr>
        <xdr:cNvPr id="43093" name="tp77c11c26size18color16777215routeb"/>
        <xdr:cNvSpPr/>
      </xdr:nvSpPr>
      <xdr:spPr>
        <a:xfrm>
          <a:off x="374999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238125</xdr:colOff>
      <xdr:row>8</xdr:row>
      <xdr:rowOff>238125</xdr:rowOff>
    </xdr:from>
    <xdr:to>
      <xdr:col>77</xdr:col>
      <xdr:colOff>238125</xdr:colOff>
      <xdr:row>8</xdr:row>
      <xdr:rowOff>238125</xdr:rowOff>
    </xdr:to>
    <xdr:sp macro="" textlink="">
      <xdr:nvSpPr>
        <xdr:cNvPr id="43094" name="rteShptp77c11c26size18color16777215routeb"/>
        <xdr:cNvSpPr/>
      </xdr:nvSpPr>
      <xdr:spPr>
        <a:xfrm>
          <a:off x="37614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123825</xdr:colOff>
      <xdr:row>9</xdr:row>
      <xdr:rowOff>123825</xdr:rowOff>
    </xdr:from>
    <xdr:to>
      <xdr:col>77</xdr:col>
      <xdr:colOff>352425</xdr:colOff>
      <xdr:row>9</xdr:row>
      <xdr:rowOff>352425</xdr:rowOff>
    </xdr:to>
    <xdr:sp macro="" textlink="">
      <xdr:nvSpPr>
        <xdr:cNvPr id="43096" name="tp77c11c27size18color16777215route"/>
        <xdr:cNvSpPr/>
      </xdr:nvSpPr>
      <xdr:spPr>
        <a:xfrm>
          <a:off x="374999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123825</xdr:colOff>
      <xdr:row>10</xdr:row>
      <xdr:rowOff>123825</xdr:rowOff>
    </xdr:from>
    <xdr:to>
      <xdr:col>77</xdr:col>
      <xdr:colOff>352425</xdr:colOff>
      <xdr:row>10</xdr:row>
      <xdr:rowOff>352425</xdr:rowOff>
    </xdr:to>
    <xdr:sp macro="" textlink="">
      <xdr:nvSpPr>
        <xdr:cNvPr id="43097" name="tp77c11c28size18color16777215route"/>
        <xdr:cNvSpPr/>
      </xdr:nvSpPr>
      <xdr:spPr>
        <a:xfrm>
          <a:off x="374999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174625</xdr:colOff>
      <xdr:row>14</xdr:row>
      <xdr:rowOff>174625</xdr:rowOff>
    </xdr:from>
    <xdr:to>
      <xdr:col>77</xdr:col>
      <xdr:colOff>301625</xdr:colOff>
      <xdr:row>14</xdr:row>
      <xdr:rowOff>301625</xdr:rowOff>
    </xdr:to>
    <xdr:sp macro="" textlink="">
      <xdr:nvSpPr>
        <xdr:cNvPr id="43098" name="tp77c12c22size10color65535route"/>
        <xdr:cNvSpPr/>
      </xdr:nvSpPr>
      <xdr:spPr>
        <a:xfrm>
          <a:off x="37550725" y="7985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73025</xdr:colOff>
      <xdr:row>18</xdr:row>
      <xdr:rowOff>73025</xdr:rowOff>
    </xdr:from>
    <xdr:to>
      <xdr:col>77</xdr:col>
      <xdr:colOff>403225</xdr:colOff>
      <xdr:row>18</xdr:row>
      <xdr:rowOff>403225</xdr:rowOff>
    </xdr:to>
    <xdr:sp macro="" textlink="">
      <xdr:nvSpPr>
        <xdr:cNvPr id="43099" name="tp77c12c26size26color65280routevcb"/>
        <xdr:cNvSpPr/>
      </xdr:nvSpPr>
      <xdr:spPr>
        <a:xfrm>
          <a:off x="3744912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238125</xdr:colOff>
      <xdr:row>18</xdr:row>
      <xdr:rowOff>238125</xdr:rowOff>
    </xdr:from>
    <xdr:to>
      <xdr:col>77</xdr:col>
      <xdr:colOff>238125</xdr:colOff>
      <xdr:row>18</xdr:row>
      <xdr:rowOff>238125</xdr:rowOff>
    </xdr:to>
    <xdr:sp macro="" textlink="">
      <xdr:nvSpPr>
        <xdr:cNvPr id="43100" name="rteShptp77c12c26size26color65280routevcb"/>
        <xdr:cNvSpPr/>
      </xdr:nvSpPr>
      <xdr:spPr>
        <a:xfrm>
          <a:off x="3761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174625</xdr:colOff>
      <xdr:row>26</xdr:row>
      <xdr:rowOff>174625</xdr:rowOff>
    </xdr:from>
    <xdr:to>
      <xdr:col>77</xdr:col>
      <xdr:colOff>301625</xdr:colOff>
      <xdr:row>26</xdr:row>
      <xdr:rowOff>301625</xdr:rowOff>
    </xdr:to>
    <xdr:sp macro="" textlink="">
      <xdr:nvSpPr>
        <xdr:cNvPr id="43104" name="tp77c13c24size10color65280route"/>
        <xdr:cNvSpPr/>
      </xdr:nvSpPr>
      <xdr:spPr>
        <a:xfrm>
          <a:off x="37550725" y="13700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73025</xdr:colOff>
      <xdr:row>28</xdr:row>
      <xdr:rowOff>73025</xdr:rowOff>
    </xdr:from>
    <xdr:to>
      <xdr:col>77</xdr:col>
      <xdr:colOff>403225</xdr:colOff>
      <xdr:row>28</xdr:row>
      <xdr:rowOff>403225</xdr:rowOff>
    </xdr:to>
    <xdr:sp macro="" textlink="">
      <xdr:nvSpPr>
        <xdr:cNvPr id="43105" name="tp77c13c26size26color65280routevcb"/>
        <xdr:cNvSpPr/>
      </xdr:nvSpPr>
      <xdr:spPr>
        <a:xfrm>
          <a:off x="3744912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77</xdr:col>
      <xdr:colOff>238125</xdr:colOff>
      <xdr:row>28</xdr:row>
      <xdr:rowOff>238125</xdr:rowOff>
    </xdr:from>
    <xdr:to>
      <xdr:col>77</xdr:col>
      <xdr:colOff>238125</xdr:colOff>
      <xdr:row>28</xdr:row>
      <xdr:rowOff>238125</xdr:rowOff>
    </xdr:to>
    <xdr:sp macro="" textlink="">
      <xdr:nvSpPr>
        <xdr:cNvPr id="43106" name="rteShptp77c13c26size26color65280routevcb"/>
        <xdr:cNvSpPr/>
      </xdr:nvSpPr>
      <xdr:spPr>
        <a:xfrm>
          <a:off x="37614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73025</xdr:colOff>
      <xdr:row>4</xdr:row>
      <xdr:rowOff>73025</xdr:rowOff>
    </xdr:from>
    <xdr:to>
      <xdr:col>78</xdr:col>
      <xdr:colOff>403225</xdr:colOff>
      <xdr:row>4</xdr:row>
      <xdr:rowOff>403225</xdr:rowOff>
    </xdr:to>
    <xdr:sp macro="" textlink="">
      <xdr:nvSpPr>
        <xdr:cNvPr id="43110" name="tp78c11c22size26color65535routevc"/>
        <xdr:cNvSpPr/>
      </xdr:nvSpPr>
      <xdr:spPr>
        <a:xfrm>
          <a:off x="3792537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238125</xdr:colOff>
      <xdr:row>4</xdr:row>
      <xdr:rowOff>238125</xdr:rowOff>
    </xdr:from>
    <xdr:to>
      <xdr:col>78</xdr:col>
      <xdr:colOff>238125</xdr:colOff>
      <xdr:row>4</xdr:row>
      <xdr:rowOff>238125</xdr:rowOff>
    </xdr:to>
    <xdr:sp macro="" textlink="">
      <xdr:nvSpPr>
        <xdr:cNvPr id="43111" name="rteShptp78c11c22size26color65535routevc"/>
        <xdr:cNvSpPr/>
      </xdr:nvSpPr>
      <xdr:spPr>
        <a:xfrm>
          <a:off x="38090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174625</xdr:colOff>
      <xdr:row>8</xdr:row>
      <xdr:rowOff>174625</xdr:rowOff>
    </xdr:from>
    <xdr:to>
      <xdr:col>78</xdr:col>
      <xdr:colOff>301625</xdr:colOff>
      <xdr:row>8</xdr:row>
      <xdr:rowOff>301625</xdr:rowOff>
    </xdr:to>
    <xdr:sp macro="" textlink="">
      <xdr:nvSpPr>
        <xdr:cNvPr id="43114" name="tp78c11c26size10color65535routeb"/>
        <xdr:cNvSpPr/>
      </xdr:nvSpPr>
      <xdr:spPr>
        <a:xfrm>
          <a:off x="38026975" y="512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238125</xdr:colOff>
      <xdr:row>8</xdr:row>
      <xdr:rowOff>238125</xdr:rowOff>
    </xdr:from>
    <xdr:to>
      <xdr:col>78</xdr:col>
      <xdr:colOff>238125</xdr:colOff>
      <xdr:row>8</xdr:row>
      <xdr:rowOff>238125</xdr:rowOff>
    </xdr:to>
    <xdr:sp macro="" textlink="">
      <xdr:nvSpPr>
        <xdr:cNvPr id="43115" name="rteShptp78c11c26size10color65535routeb"/>
        <xdr:cNvSpPr/>
      </xdr:nvSpPr>
      <xdr:spPr>
        <a:xfrm>
          <a:off x="38090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123825</xdr:colOff>
      <xdr:row>13</xdr:row>
      <xdr:rowOff>123825</xdr:rowOff>
    </xdr:from>
    <xdr:to>
      <xdr:col>78</xdr:col>
      <xdr:colOff>352425</xdr:colOff>
      <xdr:row>13</xdr:row>
      <xdr:rowOff>352425</xdr:rowOff>
    </xdr:to>
    <xdr:sp macro="" textlink="">
      <xdr:nvSpPr>
        <xdr:cNvPr id="43117" name="tp78c12c21size18color16777215route"/>
        <xdr:cNvSpPr/>
      </xdr:nvSpPr>
      <xdr:spPr>
        <a:xfrm>
          <a:off x="3797617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123825</xdr:colOff>
      <xdr:row>14</xdr:row>
      <xdr:rowOff>123825</xdr:rowOff>
    </xdr:from>
    <xdr:to>
      <xdr:col>78</xdr:col>
      <xdr:colOff>352425</xdr:colOff>
      <xdr:row>14</xdr:row>
      <xdr:rowOff>352425</xdr:rowOff>
    </xdr:to>
    <xdr:sp macro="" textlink="">
      <xdr:nvSpPr>
        <xdr:cNvPr id="43118" name="tp78c12c22size18color16777215route"/>
        <xdr:cNvSpPr/>
      </xdr:nvSpPr>
      <xdr:spPr>
        <a:xfrm>
          <a:off x="379761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123825</xdr:colOff>
      <xdr:row>17</xdr:row>
      <xdr:rowOff>123825</xdr:rowOff>
    </xdr:from>
    <xdr:to>
      <xdr:col>78</xdr:col>
      <xdr:colOff>352425</xdr:colOff>
      <xdr:row>17</xdr:row>
      <xdr:rowOff>352425</xdr:rowOff>
    </xdr:to>
    <xdr:sp macro="" textlink="">
      <xdr:nvSpPr>
        <xdr:cNvPr id="43119" name="tp78c12c25size18color16777215route"/>
        <xdr:cNvSpPr/>
      </xdr:nvSpPr>
      <xdr:spPr>
        <a:xfrm>
          <a:off x="3797617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123825</xdr:colOff>
      <xdr:row>18</xdr:row>
      <xdr:rowOff>123825</xdr:rowOff>
    </xdr:from>
    <xdr:to>
      <xdr:col>78</xdr:col>
      <xdr:colOff>352425</xdr:colOff>
      <xdr:row>18</xdr:row>
      <xdr:rowOff>352425</xdr:rowOff>
    </xdr:to>
    <xdr:sp macro="" textlink="">
      <xdr:nvSpPr>
        <xdr:cNvPr id="43120" name="tp78c12c26size18color16777215routevcb"/>
        <xdr:cNvSpPr/>
      </xdr:nvSpPr>
      <xdr:spPr>
        <a:xfrm>
          <a:off x="3797617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238125</xdr:colOff>
      <xdr:row>18</xdr:row>
      <xdr:rowOff>238125</xdr:rowOff>
    </xdr:from>
    <xdr:to>
      <xdr:col>78</xdr:col>
      <xdr:colOff>238125</xdr:colOff>
      <xdr:row>18</xdr:row>
      <xdr:rowOff>238125</xdr:rowOff>
    </xdr:to>
    <xdr:sp macro="" textlink="">
      <xdr:nvSpPr>
        <xdr:cNvPr id="43121" name="rteShptp78c12c26size18color16777215routevcb"/>
        <xdr:cNvSpPr/>
      </xdr:nvSpPr>
      <xdr:spPr>
        <a:xfrm>
          <a:off x="3809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238125</xdr:colOff>
      <xdr:row>28</xdr:row>
      <xdr:rowOff>238125</xdr:rowOff>
    </xdr:from>
    <xdr:to>
      <xdr:col>78</xdr:col>
      <xdr:colOff>238125</xdr:colOff>
      <xdr:row>28</xdr:row>
      <xdr:rowOff>238125</xdr:rowOff>
    </xdr:to>
    <xdr:sp macro="" textlink="">
      <xdr:nvSpPr>
        <xdr:cNvPr id="43125" name="rteShptp78c13c26size0color0routevcb"/>
        <xdr:cNvSpPr/>
      </xdr:nvSpPr>
      <xdr:spPr>
        <a:xfrm>
          <a:off x="38090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73025</xdr:colOff>
      <xdr:row>4</xdr:row>
      <xdr:rowOff>73025</xdr:rowOff>
    </xdr:from>
    <xdr:to>
      <xdr:col>79</xdr:col>
      <xdr:colOff>403225</xdr:colOff>
      <xdr:row>4</xdr:row>
      <xdr:rowOff>403225</xdr:rowOff>
    </xdr:to>
    <xdr:sp macro="" textlink="">
      <xdr:nvSpPr>
        <xdr:cNvPr id="43129" name="tp79c11c22size26color255routevcb"/>
        <xdr:cNvSpPr/>
      </xdr:nvSpPr>
      <xdr:spPr>
        <a:xfrm>
          <a:off x="3840162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238125</xdr:colOff>
      <xdr:row>4</xdr:row>
      <xdr:rowOff>238125</xdr:rowOff>
    </xdr:from>
    <xdr:to>
      <xdr:col>79</xdr:col>
      <xdr:colOff>238125</xdr:colOff>
      <xdr:row>4</xdr:row>
      <xdr:rowOff>238125</xdr:rowOff>
    </xdr:to>
    <xdr:sp macro="" textlink="">
      <xdr:nvSpPr>
        <xdr:cNvPr id="43130" name="rteShptp79c11c22size26color255routevcb"/>
        <xdr:cNvSpPr/>
      </xdr:nvSpPr>
      <xdr:spPr>
        <a:xfrm>
          <a:off x="38566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123825</xdr:colOff>
      <xdr:row>13</xdr:row>
      <xdr:rowOff>123825</xdr:rowOff>
    </xdr:from>
    <xdr:to>
      <xdr:col>79</xdr:col>
      <xdr:colOff>352425</xdr:colOff>
      <xdr:row>13</xdr:row>
      <xdr:rowOff>352425</xdr:rowOff>
    </xdr:to>
    <xdr:sp macro="" textlink="">
      <xdr:nvSpPr>
        <xdr:cNvPr id="43134" name="tp79c12c21size18color16777215route"/>
        <xdr:cNvSpPr/>
      </xdr:nvSpPr>
      <xdr:spPr>
        <a:xfrm>
          <a:off x="3845242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123825</xdr:colOff>
      <xdr:row>14</xdr:row>
      <xdr:rowOff>123825</xdr:rowOff>
    </xdr:from>
    <xdr:to>
      <xdr:col>79</xdr:col>
      <xdr:colOff>352425</xdr:colOff>
      <xdr:row>14</xdr:row>
      <xdr:rowOff>352425</xdr:rowOff>
    </xdr:to>
    <xdr:sp macro="" textlink="">
      <xdr:nvSpPr>
        <xdr:cNvPr id="43135" name="tp79c12c22size18color16777215route"/>
        <xdr:cNvSpPr/>
      </xdr:nvSpPr>
      <xdr:spPr>
        <a:xfrm>
          <a:off x="3845242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123825</xdr:colOff>
      <xdr:row>17</xdr:row>
      <xdr:rowOff>123825</xdr:rowOff>
    </xdr:from>
    <xdr:to>
      <xdr:col>79</xdr:col>
      <xdr:colOff>352425</xdr:colOff>
      <xdr:row>17</xdr:row>
      <xdr:rowOff>352425</xdr:rowOff>
    </xdr:to>
    <xdr:sp macro="" textlink="">
      <xdr:nvSpPr>
        <xdr:cNvPr id="43136" name="tp79c12c25size18color16777215route"/>
        <xdr:cNvSpPr/>
      </xdr:nvSpPr>
      <xdr:spPr>
        <a:xfrm>
          <a:off x="3845242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123825</xdr:colOff>
      <xdr:row>18</xdr:row>
      <xdr:rowOff>123825</xdr:rowOff>
    </xdr:from>
    <xdr:to>
      <xdr:col>79</xdr:col>
      <xdr:colOff>352425</xdr:colOff>
      <xdr:row>18</xdr:row>
      <xdr:rowOff>352425</xdr:rowOff>
    </xdr:to>
    <xdr:sp macro="" textlink="">
      <xdr:nvSpPr>
        <xdr:cNvPr id="43137" name="tp79c12c26size18color16777215routevcb"/>
        <xdr:cNvSpPr/>
      </xdr:nvSpPr>
      <xdr:spPr>
        <a:xfrm>
          <a:off x="3845242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238125</xdr:colOff>
      <xdr:row>18</xdr:row>
      <xdr:rowOff>238125</xdr:rowOff>
    </xdr:from>
    <xdr:to>
      <xdr:col>79</xdr:col>
      <xdr:colOff>238125</xdr:colOff>
      <xdr:row>18</xdr:row>
      <xdr:rowOff>238125</xdr:rowOff>
    </xdr:to>
    <xdr:sp macro="" textlink="">
      <xdr:nvSpPr>
        <xdr:cNvPr id="43138" name="rteShptp79c12c26size18color16777215routevcb"/>
        <xdr:cNvSpPr/>
      </xdr:nvSpPr>
      <xdr:spPr>
        <a:xfrm>
          <a:off x="38566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73025</xdr:colOff>
      <xdr:row>24</xdr:row>
      <xdr:rowOff>73025</xdr:rowOff>
    </xdr:from>
    <xdr:to>
      <xdr:col>79</xdr:col>
      <xdr:colOff>403225</xdr:colOff>
      <xdr:row>24</xdr:row>
      <xdr:rowOff>403225</xdr:rowOff>
    </xdr:to>
    <xdr:sp macro="" textlink="">
      <xdr:nvSpPr>
        <xdr:cNvPr id="43142" name="tp79c13c22size26color65535routev">
          <a:hlinkClick xmlns:r="http://schemas.openxmlformats.org/officeDocument/2006/relationships" r:id="" tooltip="Chris Shaw:&#10;AC functionality does not exist for joint"/>
        </xdr:cNvPr>
        <xdr:cNvSpPr/>
      </xdr:nvSpPr>
      <xdr:spPr>
        <a:xfrm>
          <a:off x="38401625" y="12646025"/>
          <a:ext cx="330200" cy="330200"/>
        </a:xfrm>
        <a:prstGeom prst="ellipse">
          <a:avLst/>
        </a:prstGeom>
        <a:solidFill>
          <a:srgbClr val="FF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238125</xdr:colOff>
      <xdr:row>24</xdr:row>
      <xdr:rowOff>238125</xdr:rowOff>
    </xdr:from>
    <xdr:to>
      <xdr:col>79</xdr:col>
      <xdr:colOff>238125</xdr:colOff>
      <xdr:row>24</xdr:row>
      <xdr:rowOff>238125</xdr:rowOff>
    </xdr:to>
    <xdr:sp macro="" textlink="">
      <xdr:nvSpPr>
        <xdr:cNvPr id="43143" name="rteShptp79c13c22size26color65535routev"/>
        <xdr:cNvSpPr/>
      </xdr:nvSpPr>
      <xdr:spPr>
        <a:xfrm>
          <a:off x="38566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238125</xdr:colOff>
      <xdr:row>28</xdr:row>
      <xdr:rowOff>238125</xdr:rowOff>
    </xdr:from>
    <xdr:to>
      <xdr:col>79</xdr:col>
      <xdr:colOff>238125</xdr:colOff>
      <xdr:row>28</xdr:row>
      <xdr:rowOff>238125</xdr:rowOff>
    </xdr:to>
    <xdr:sp macro="" textlink="">
      <xdr:nvSpPr>
        <xdr:cNvPr id="43145" name="rteShptp79c13c26size0color0routecb"/>
        <xdr:cNvSpPr/>
      </xdr:nvSpPr>
      <xdr:spPr>
        <a:xfrm>
          <a:off x="38566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3</xdr:row>
      <xdr:rowOff>123825</xdr:rowOff>
    </xdr:from>
    <xdr:to>
      <xdr:col>80</xdr:col>
      <xdr:colOff>352425</xdr:colOff>
      <xdr:row>3</xdr:row>
      <xdr:rowOff>352425</xdr:rowOff>
    </xdr:to>
    <xdr:sp macro="" textlink="">
      <xdr:nvSpPr>
        <xdr:cNvPr id="43148" name="tp80c11c21size18color16777215route"/>
        <xdr:cNvSpPr/>
      </xdr:nvSpPr>
      <xdr:spPr>
        <a:xfrm>
          <a:off x="3892867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4</xdr:row>
      <xdr:rowOff>123825</xdr:rowOff>
    </xdr:from>
    <xdr:to>
      <xdr:col>80</xdr:col>
      <xdr:colOff>352425</xdr:colOff>
      <xdr:row>4</xdr:row>
      <xdr:rowOff>352425</xdr:rowOff>
    </xdr:to>
    <xdr:sp macro="" textlink="">
      <xdr:nvSpPr>
        <xdr:cNvPr id="43149" name="tp80c11c22size18color16777215routevcb"/>
        <xdr:cNvSpPr/>
      </xdr:nvSpPr>
      <xdr:spPr>
        <a:xfrm>
          <a:off x="3892867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238125</xdr:colOff>
      <xdr:row>4</xdr:row>
      <xdr:rowOff>238125</xdr:rowOff>
    </xdr:from>
    <xdr:to>
      <xdr:col>80</xdr:col>
      <xdr:colOff>238125</xdr:colOff>
      <xdr:row>4</xdr:row>
      <xdr:rowOff>238125</xdr:rowOff>
    </xdr:to>
    <xdr:sp macro="" textlink="">
      <xdr:nvSpPr>
        <xdr:cNvPr id="43150" name="rteShptp80c11c22size18color16777215routevcb"/>
        <xdr:cNvSpPr/>
      </xdr:nvSpPr>
      <xdr:spPr>
        <a:xfrm>
          <a:off x="3904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5</xdr:row>
      <xdr:rowOff>123825</xdr:rowOff>
    </xdr:from>
    <xdr:to>
      <xdr:col>80</xdr:col>
      <xdr:colOff>352425</xdr:colOff>
      <xdr:row>5</xdr:row>
      <xdr:rowOff>352425</xdr:rowOff>
    </xdr:to>
    <xdr:sp macro="" textlink="">
      <xdr:nvSpPr>
        <xdr:cNvPr id="43154" name="tp80c11c23size18color16777215route"/>
        <xdr:cNvSpPr/>
      </xdr:nvSpPr>
      <xdr:spPr>
        <a:xfrm>
          <a:off x="3892867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6</xdr:row>
      <xdr:rowOff>123825</xdr:rowOff>
    </xdr:from>
    <xdr:to>
      <xdr:col>80</xdr:col>
      <xdr:colOff>352425</xdr:colOff>
      <xdr:row>6</xdr:row>
      <xdr:rowOff>352425</xdr:rowOff>
    </xdr:to>
    <xdr:sp macro="" textlink="">
      <xdr:nvSpPr>
        <xdr:cNvPr id="43155" name="tp80c11c24size18color16777215route"/>
        <xdr:cNvSpPr/>
      </xdr:nvSpPr>
      <xdr:spPr>
        <a:xfrm>
          <a:off x="3892867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7</xdr:row>
      <xdr:rowOff>123825</xdr:rowOff>
    </xdr:from>
    <xdr:to>
      <xdr:col>80</xdr:col>
      <xdr:colOff>352425</xdr:colOff>
      <xdr:row>7</xdr:row>
      <xdr:rowOff>352425</xdr:rowOff>
    </xdr:to>
    <xdr:sp macro="" textlink="">
      <xdr:nvSpPr>
        <xdr:cNvPr id="43156" name="tp80c11c25size18color16777215route"/>
        <xdr:cNvSpPr/>
      </xdr:nvSpPr>
      <xdr:spPr>
        <a:xfrm>
          <a:off x="3892867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8</xdr:row>
      <xdr:rowOff>123825</xdr:rowOff>
    </xdr:from>
    <xdr:to>
      <xdr:col>80</xdr:col>
      <xdr:colOff>352425</xdr:colOff>
      <xdr:row>8</xdr:row>
      <xdr:rowOff>352425</xdr:rowOff>
    </xdr:to>
    <xdr:sp macro="" textlink="">
      <xdr:nvSpPr>
        <xdr:cNvPr id="43157" name="tp80c11c26size18color16777215route"/>
        <xdr:cNvSpPr/>
      </xdr:nvSpPr>
      <xdr:spPr>
        <a:xfrm>
          <a:off x="3892867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9</xdr:row>
      <xdr:rowOff>123825</xdr:rowOff>
    </xdr:from>
    <xdr:to>
      <xdr:col>80</xdr:col>
      <xdr:colOff>352425</xdr:colOff>
      <xdr:row>9</xdr:row>
      <xdr:rowOff>352425</xdr:rowOff>
    </xdr:to>
    <xdr:sp macro="" textlink="">
      <xdr:nvSpPr>
        <xdr:cNvPr id="43158" name="tp80c11c27size18color16777215route"/>
        <xdr:cNvSpPr/>
      </xdr:nvSpPr>
      <xdr:spPr>
        <a:xfrm>
          <a:off x="3892867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10</xdr:row>
      <xdr:rowOff>123825</xdr:rowOff>
    </xdr:from>
    <xdr:to>
      <xdr:col>80</xdr:col>
      <xdr:colOff>352425</xdr:colOff>
      <xdr:row>10</xdr:row>
      <xdr:rowOff>352425</xdr:rowOff>
    </xdr:to>
    <xdr:sp macro="" textlink="">
      <xdr:nvSpPr>
        <xdr:cNvPr id="43159" name="tp80c11c28size18color16777215route"/>
        <xdr:cNvSpPr/>
      </xdr:nvSpPr>
      <xdr:spPr>
        <a:xfrm>
          <a:off x="3892867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13</xdr:row>
      <xdr:rowOff>123825</xdr:rowOff>
    </xdr:from>
    <xdr:to>
      <xdr:col>80</xdr:col>
      <xdr:colOff>352425</xdr:colOff>
      <xdr:row>13</xdr:row>
      <xdr:rowOff>352425</xdr:rowOff>
    </xdr:to>
    <xdr:sp macro="" textlink="">
      <xdr:nvSpPr>
        <xdr:cNvPr id="43160" name="tp80c12c21size18color16777215route"/>
        <xdr:cNvSpPr/>
      </xdr:nvSpPr>
      <xdr:spPr>
        <a:xfrm>
          <a:off x="3892867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14</xdr:row>
      <xdr:rowOff>123825</xdr:rowOff>
    </xdr:from>
    <xdr:to>
      <xdr:col>80</xdr:col>
      <xdr:colOff>352425</xdr:colOff>
      <xdr:row>14</xdr:row>
      <xdr:rowOff>352425</xdr:rowOff>
    </xdr:to>
    <xdr:sp macro="" textlink="">
      <xdr:nvSpPr>
        <xdr:cNvPr id="43161" name="tp80c12c22size18color16777215route"/>
        <xdr:cNvSpPr/>
      </xdr:nvSpPr>
      <xdr:spPr>
        <a:xfrm>
          <a:off x="389286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17</xdr:row>
      <xdr:rowOff>123825</xdr:rowOff>
    </xdr:from>
    <xdr:to>
      <xdr:col>80</xdr:col>
      <xdr:colOff>352425</xdr:colOff>
      <xdr:row>17</xdr:row>
      <xdr:rowOff>352425</xdr:rowOff>
    </xdr:to>
    <xdr:sp macro="" textlink="">
      <xdr:nvSpPr>
        <xdr:cNvPr id="43162" name="tp80c12c25size18color16777215route"/>
        <xdr:cNvSpPr/>
      </xdr:nvSpPr>
      <xdr:spPr>
        <a:xfrm>
          <a:off x="3892867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123825</xdr:colOff>
      <xdr:row>18</xdr:row>
      <xdr:rowOff>123825</xdr:rowOff>
    </xdr:from>
    <xdr:to>
      <xdr:col>80</xdr:col>
      <xdr:colOff>352425</xdr:colOff>
      <xdr:row>18</xdr:row>
      <xdr:rowOff>352425</xdr:rowOff>
    </xdr:to>
    <xdr:sp macro="" textlink="">
      <xdr:nvSpPr>
        <xdr:cNvPr id="43163" name="tp80c12c26size18color16777215routevcb"/>
        <xdr:cNvSpPr/>
      </xdr:nvSpPr>
      <xdr:spPr>
        <a:xfrm>
          <a:off x="38928675" y="983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238125</xdr:colOff>
      <xdr:row>18</xdr:row>
      <xdr:rowOff>238125</xdr:rowOff>
    </xdr:from>
    <xdr:to>
      <xdr:col>80</xdr:col>
      <xdr:colOff>238125</xdr:colOff>
      <xdr:row>18</xdr:row>
      <xdr:rowOff>238125</xdr:rowOff>
    </xdr:to>
    <xdr:sp macro="" textlink="">
      <xdr:nvSpPr>
        <xdr:cNvPr id="43164" name="rteShptp80c12c26size18color16777215routevcb"/>
        <xdr:cNvSpPr/>
      </xdr:nvSpPr>
      <xdr:spPr>
        <a:xfrm>
          <a:off x="39042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174625</xdr:colOff>
      <xdr:row>24</xdr:row>
      <xdr:rowOff>174625</xdr:rowOff>
    </xdr:from>
    <xdr:to>
      <xdr:col>80</xdr:col>
      <xdr:colOff>301625</xdr:colOff>
      <xdr:row>24</xdr:row>
      <xdr:rowOff>301625</xdr:rowOff>
    </xdr:to>
    <xdr:sp macro="" textlink="">
      <xdr:nvSpPr>
        <xdr:cNvPr id="43168" name="tp80c13c22size10color65280route"/>
        <xdr:cNvSpPr/>
      </xdr:nvSpPr>
      <xdr:spPr>
        <a:xfrm>
          <a:off x="38979475" y="1274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73025</xdr:colOff>
      <xdr:row>28</xdr:row>
      <xdr:rowOff>73025</xdr:rowOff>
    </xdr:from>
    <xdr:to>
      <xdr:col>80</xdr:col>
      <xdr:colOff>403225</xdr:colOff>
      <xdr:row>28</xdr:row>
      <xdr:rowOff>403225</xdr:rowOff>
    </xdr:to>
    <xdr:sp macro="" textlink="">
      <xdr:nvSpPr>
        <xdr:cNvPr id="43169" name="tp80c13c26size26color65280routevcb"/>
        <xdr:cNvSpPr/>
      </xdr:nvSpPr>
      <xdr:spPr>
        <a:xfrm>
          <a:off x="3887787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80</xdr:col>
      <xdr:colOff>238125</xdr:colOff>
      <xdr:row>28</xdr:row>
      <xdr:rowOff>238125</xdr:rowOff>
    </xdr:from>
    <xdr:to>
      <xdr:col>80</xdr:col>
      <xdr:colOff>238125</xdr:colOff>
      <xdr:row>28</xdr:row>
      <xdr:rowOff>238125</xdr:rowOff>
    </xdr:to>
    <xdr:sp macro="" textlink="">
      <xdr:nvSpPr>
        <xdr:cNvPr id="43170" name="rteShptp80c13c26size26color65280routevcb"/>
        <xdr:cNvSpPr/>
      </xdr:nvSpPr>
      <xdr:spPr>
        <a:xfrm>
          <a:off x="39042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123825</xdr:colOff>
      <xdr:row>3</xdr:row>
      <xdr:rowOff>123825</xdr:rowOff>
    </xdr:from>
    <xdr:to>
      <xdr:col>81</xdr:col>
      <xdr:colOff>352425</xdr:colOff>
      <xdr:row>3</xdr:row>
      <xdr:rowOff>352425</xdr:rowOff>
    </xdr:to>
    <xdr:sp macro="" textlink="">
      <xdr:nvSpPr>
        <xdr:cNvPr id="43174" name="tp81c11c21size18color16777215route"/>
        <xdr:cNvSpPr/>
      </xdr:nvSpPr>
      <xdr:spPr>
        <a:xfrm>
          <a:off x="394049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123825</xdr:colOff>
      <xdr:row>4</xdr:row>
      <xdr:rowOff>123825</xdr:rowOff>
    </xdr:from>
    <xdr:to>
      <xdr:col>81</xdr:col>
      <xdr:colOff>352425</xdr:colOff>
      <xdr:row>4</xdr:row>
      <xdr:rowOff>352425</xdr:rowOff>
    </xdr:to>
    <xdr:sp macro="" textlink="">
      <xdr:nvSpPr>
        <xdr:cNvPr id="43175" name="tp81c11c22size18color16777215routevcb"/>
        <xdr:cNvSpPr/>
      </xdr:nvSpPr>
      <xdr:spPr>
        <a:xfrm>
          <a:off x="394049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238125</xdr:colOff>
      <xdr:row>4</xdr:row>
      <xdr:rowOff>238125</xdr:rowOff>
    </xdr:from>
    <xdr:to>
      <xdr:col>81</xdr:col>
      <xdr:colOff>238125</xdr:colOff>
      <xdr:row>4</xdr:row>
      <xdr:rowOff>238125</xdr:rowOff>
    </xdr:to>
    <xdr:sp macro="" textlink="">
      <xdr:nvSpPr>
        <xdr:cNvPr id="43176" name="rteShptp81c11c22size18color16777215routevcb"/>
        <xdr:cNvSpPr/>
      </xdr:nvSpPr>
      <xdr:spPr>
        <a:xfrm>
          <a:off x="39519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123825</xdr:colOff>
      <xdr:row>5</xdr:row>
      <xdr:rowOff>123825</xdr:rowOff>
    </xdr:from>
    <xdr:to>
      <xdr:col>81</xdr:col>
      <xdr:colOff>352425</xdr:colOff>
      <xdr:row>5</xdr:row>
      <xdr:rowOff>352425</xdr:rowOff>
    </xdr:to>
    <xdr:sp macro="" textlink="">
      <xdr:nvSpPr>
        <xdr:cNvPr id="43180" name="tp81c11c23size18color16777215route"/>
        <xdr:cNvSpPr/>
      </xdr:nvSpPr>
      <xdr:spPr>
        <a:xfrm>
          <a:off x="394049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123825</xdr:colOff>
      <xdr:row>6</xdr:row>
      <xdr:rowOff>123825</xdr:rowOff>
    </xdr:from>
    <xdr:to>
      <xdr:col>81</xdr:col>
      <xdr:colOff>352425</xdr:colOff>
      <xdr:row>6</xdr:row>
      <xdr:rowOff>352425</xdr:rowOff>
    </xdr:to>
    <xdr:sp macro="" textlink="">
      <xdr:nvSpPr>
        <xdr:cNvPr id="43181" name="tp81c11c24size18color16777215route"/>
        <xdr:cNvSpPr/>
      </xdr:nvSpPr>
      <xdr:spPr>
        <a:xfrm>
          <a:off x="394049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123825</xdr:colOff>
      <xdr:row>7</xdr:row>
      <xdr:rowOff>123825</xdr:rowOff>
    </xdr:from>
    <xdr:to>
      <xdr:col>81</xdr:col>
      <xdr:colOff>352425</xdr:colOff>
      <xdr:row>7</xdr:row>
      <xdr:rowOff>352425</xdr:rowOff>
    </xdr:to>
    <xdr:sp macro="" textlink="">
      <xdr:nvSpPr>
        <xdr:cNvPr id="43182" name="tp81c11c25size18color16777215route"/>
        <xdr:cNvSpPr/>
      </xdr:nvSpPr>
      <xdr:spPr>
        <a:xfrm>
          <a:off x="394049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123825</xdr:colOff>
      <xdr:row>8</xdr:row>
      <xdr:rowOff>123825</xdr:rowOff>
    </xdr:from>
    <xdr:to>
      <xdr:col>81</xdr:col>
      <xdr:colOff>352425</xdr:colOff>
      <xdr:row>8</xdr:row>
      <xdr:rowOff>352425</xdr:rowOff>
    </xdr:to>
    <xdr:sp macro="" textlink="">
      <xdr:nvSpPr>
        <xdr:cNvPr id="43183" name="tp81c11c26size18color16777215route"/>
        <xdr:cNvSpPr/>
      </xdr:nvSpPr>
      <xdr:spPr>
        <a:xfrm>
          <a:off x="394049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123825</xdr:colOff>
      <xdr:row>9</xdr:row>
      <xdr:rowOff>123825</xdr:rowOff>
    </xdr:from>
    <xdr:to>
      <xdr:col>81</xdr:col>
      <xdr:colOff>352425</xdr:colOff>
      <xdr:row>9</xdr:row>
      <xdr:rowOff>352425</xdr:rowOff>
    </xdr:to>
    <xdr:sp macro="" textlink="">
      <xdr:nvSpPr>
        <xdr:cNvPr id="43184" name="tp81c11c27size18color16777215route"/>
        <xdr:cNvSpPr/>
      </xdr:nvSpPr>
      <xdr:spPr>
        <a:xfrm>
          <a:off x="394049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123825</xdr:colOff>
      <xdr:row>10</xdr:row>
      <xdr:rowOff>123825</xdr:rowOff>
    </xdr:from>
    <xdr:to>
      <xdr:col>81</xdr:col>
      <xdr:colOff>352425</xdr:colOff>
      <xdr:row>10</xdr:row>
      <xdr:rowOff>352425</xdr:rowOff>
    </xdr:to>
    <xdr:sp macro="" textlink="">
      <xdr:nvSpPr>
        <xdr:cNvPr id="43185" name="tp81c11c28size18color16777215route"/>
        <xdr:cNvSpPr/>
      </xdr:nvSpPr>
      <xdr:spPr>
        <a:xfrm>
          <a:off x="394049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174625</xdr:colOff>
      <xdr:row>16</xdr:row>
      <xdr:rowOff>174625</xdr:rowOff>
    </xdr:from>
    <xdr:to>
      <xdr:col>81</xdr:col>
      <xdr:colOff>301625</xdr:colOff>
      <xdr:row>16</xdr:row>
      <xdr:rowOff>301625</xdr:rowOff>
    </xdr:to>
    <xdr:sp macro="" textlink="">
      <xdr:nvSpPr>
        <xdr:cNvPr id="43186" name="tp81c12c24size10color65535route"/>
        <xdr:cNvSpPr/>
      </xdr:nvSpPr>
      <xdr:spPr>
        <a:xfrm>
          <a:off x="39455725" y="893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73025</xdr:colOff>
      <xdr:row>18</xdr:row>
      <xdr:rowOff>73025</xdr:rowOff>
    </xdr:from>
    <xdr:to>
      <xdr:col>81</xdr:col>
      <xdr:colOff>403225</xdr:colOff>
      <xdr:row>18</xdr:row>
      <xdr:rowOff>403225</xdr:rowOff>
    </xdr:to>
    <xdr:sp macro="" textlink="">
      <xdr:nvSpPr>
        <xdr:cNvPr id="43187" name="tp81c12c26size26color65535routevcb"/>
        <xdr:cNvSpPr/>
      </xdr:nvSpPr>
      <xdr:spPr>
        <a:xfrm>
          <a:off x="39354125" y="9788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238125</xdr:colOff>
      <xdr:row>18</xdr:row>
      <xdr:rowOff>238125</xdr:rowOff>
    </xdr:from>
    <xdr:to>
      <xdr:col>81</xdr:col>
      <xdr:colOff>238125</xdr:colOff>
      <xdr:row>18</xdr:row>
      <xdr:rowOff>238125</xdr:rowOff>
    </xdr:to>
    <xdr:sp macro="" textlink="">
      <xdr:nvSpPr>
        <xdr:cNvPr id="43188" name="rteShptp81c12c26size26color65535routevcb"/>
        <xdr:cNvSpPr/>
      </xdr:nvSpPr>
      <xdr:spPr>
        <a:xfrm>
          <a:off x="39519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238125</xdr:colOff>
      <xdr:row>28</xdr:row>
      <xdr:rowOff>238125</xdr:rowOff>
    </xdr:from>
    <xdr:to>
      <xdr:col>81</xdr:col>
      <xdr:colOff>238125</xdr:colOff>
      <xdr:row>28</xdr:row>
      <xdr:rowOff>238125</xdr:rowOff>
    </xdr:to>
    <xdr:sp macro="" textlink="">
      <xdr:nvSpPr>
        <xdr:cNvPr id="43192" name="rteShptp81c13c26size0color0routevcb"/>
        <xdr:cNvSpPr/>
      </xdr:nvSpPr>
      <xdr:spPr>
        <a:xfrm>
          <a:off x="39519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82</xdr:col>
      <xdr:colOff>73025</xdr:colOff>
      <xdr:row>4</xdr:row>
      <xdr:rowOff>73025</xdr:rowOff>
    </xdr:from>
    <xdr:to>
      <xdr:col>82</xdr:col>
      <xdr:colOff>403225</xdr:colOff>
      <xdr:row>4</xdr:row>
      <xdr:rowOff>403225</xdr:rowOff>
    </xdr:to>
    <xdr:sp macro="" textlink="">
      <xdr:nvSpPr>
        <xdr:cNvPr id="43196" name="tp82c11c22size26color65535routevcb"/>
        <xdr:cNvSpPr/>
      </xdr:nvSpPr>
      <xdr:spPr>
        <a:xfrm>
          <a:off x="3983037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82</xdr:col>
      <xdr:colOff>238125</xdr:colOff>
      <xdr:row>4</xdr:row>
      <xdr:rowOff>238125</xdr:rowOff>
    </xdr:from>
    <xdr:to>
      <xdr:col>82</xdr:col>
      <xdr:colOff>238125</xdr:colOff>
      <xdr:row>4</xdr:row>
      <xdr:rowOff>238125</xdr:rowOff>
    </xdr:to>
    <xdr:sp macro="" textlink="">
      <xdr:nvSpPr>
        <xdr:cNvPr id="43197" name="rteShptp82c11c22size26color65535routevcb"/>
        <xdr:cNvSpPr/>
      </xdr:nvSpPr>
      <xdr:spPr>
        <a:xfrm>
          <a:off x="39995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82</xdr:col>
      <xdr:colOff>73025</xdr:colOff>
      <xdr:row>15</xdr:row>
      <xdr:rowOff>73025</xdr:rowOff>
    </xdr:from>
    <xdr:to>
      <xdr:col>82</xdr:col>
      <xdr:colOff>403225</xdr:colOff>
      <xdr:row>15</xdr:row>
      <xdr:rowOff>403225</xdr:rowOff>
    </xdr:to>
    <xdr:sp macro="" textlink="">
      <xdr:nvSpPr>
        <xdr:cNvPr id="43201" name="tp82c12c23size26color255routev"/>
        <xdr:cNvSpPr/>
      </xdr:nvSpPr>
      <xdr:spPr>
        <a:xfrm>
          <a:off x="39830375" y="835977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82</xdr:col>
      <xdr:colOff>238125</xdr:colOff>
      <xdr:row>15</xdr:row>
      <xdr:rowOff>238125</xdr:rowOff>
    </xdr:from>
    <xdr:to>
      <xdr:col>82</xdr:col>
      <xdr:colOff>238125</xdr:colOff>
      <xdr:row>15</xdr:row>
      <xdr:rowOff>238125</xdr:rowOff>
    </xdr:to>
    <xdr:sp macro="" textlink="">
      <xdr:nvSpPr>
        <xdr:cNvPr id="43202" name="rteShptp82c12c23size26color255routev"/>
        <xdr:cNvSpPr/>
      </xdr:nvSpPr>
      <xdr:spPr>
        <a:xfrm>
          <a:off x="39995475" y="852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82</xdr:col>
      <xdr:colOff>238125</xdr:colOff>
      <xdr:row>18</xdr:row>
      <xdr:rowOff>238125</xdr:rowOff>
    </xdr:from>
    <xdr:to>
      <xdr:col>82</xdr:col>
      <xdr:colOff>238125</xdr:colOff>
      <xdr:row>18</xdr:row>
      <xdr:rowOff>238125</xdr:rowOff>
    </xdr:to>
    <xdr:sp macro="" textlink="">
      <xdr:nvSpPr>
        <xdr:cNvPr id="43204" name="rteShptp82c12c26size0color0routecb"/>
        <xdr:cNvSpPr/>
      </xdr:nvSpPr>
      <xdr:spPr>
        <a:xfrm>
          <a:off x="39995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82</xdr:col>
      <xdr:colOff>73025</xdr:colOff>
      <xdr:row>25</xdr:row>
      <xdr:rowOff>73025</xdr:rowOff>
    </xdr:from>
    <xdr:to>
      <xdr:col>82</xdr:col>
      <xdr:colOff>403225</xdr:colOff>
      <xdr:row>25</xdr:row>
      <xdr:rowOff>403225</xdr:rowOff>
    </xdr:to>
    <xdr:sp macro="" textlink="">
      <xdr:nvSpPr>
        <xdr:cNvPr id="43207" name="tp82c13c23size26color255routev">
          <a:hlinkClick xmlns:r="http://schemas.openxmlformats.org/officeDocument/2006/relationships" r:id="" tooltip="Chris Shaw:&#10;preferred course is to manage online"/>
        </xdr:cNvPr>
        <xdr:cNvSpPr/>
      </xdr:nvSpPr>
      <xdr:spPr>
        <a:xfrm>
          <a:off x="39830375" y="13122275"/>
          <a:ext cx="330200" cy="330200"/>
        </a:xfrm>
        <a:prstGeom prst="ellipse">
          <a:avLst/>
        </a:prstGeom>
        <a:solidFill>
          <a:srgbClr val="FF00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82</xdr:col>
      <xdr:colOff>238125</xdr:colOff>
      <xdr:row>25</xdr:row>
      <xdr:rowOff>238125</xdr:rowOff>
    </xdr:from>
    <xdr:to>
      <xdr:col>82</xdr:col>
      <xdr:colOff>238125</xdr:colOff>
      <xdr:row>25</xdr:row>
      <xdr:rowOff>238125</xdr:rowOff>
    </xdr:to>
    <xdr:sp macro="" textlink="">
      <xdr:nvSpPr>
        <xdr:cNvPr id="43208" name="rteShptp82c13c23size26color255routev"/>
        <xdr:cNvSpPr/>
      </xdr:nvSpPr>
      <xdr:spPr>
        <a:xfrm>
          <a:off x="39995475" y="1328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82</xdr:col>
      <xdr:colOff>238125</xdr:colOff>
      <xdr:row>28</xdr:row>
      <xdr:rowOff>238125</xdr:rowOff>
    </xdr:from>
    <xdr:to>
      <xdr:col>82</xdr:col>
      <xdr:colOff>238125</xdr:colOff>
      <xdr:row>28</xdr:row>
      <xdr:rowOff>238125</xdr:rowOff>
    </xdr:to>
    <xdr:sp macro="" textlink="">
      <xdr:nvSpPr>
        <xdr:cNvPr id="43210" name="rteShptp82c13c26size0color0routecb"/>
        <xdr:cNvSpPr/>
      </xdr:nvSpPr>
      <xdr:spPr>
        <a:xfrm>
          <a:off x="39995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123825</xdr:colOff>
      <xdr:row>3</xdr:row>
      <xdr:rowOff>123825</xdr:rowOff>
    </xdr:from>
    <xdr:to>
      <xdr:col>83</xdr:col>
      <xdr:colOff>352425</xdr:colOff>
      <xdr:row>3</xdr:row>
      <xdr:rowOff>352425</xdr:rowOff>
    </xdr:to>
    <xdr:sp macro="" textlink="">
      <xdr:nvSpPr>
        <xdr:cNvPr id="43213" name="tp83c11c21size18color16777215route"/>
        <xdr:cNvSpPr/>
      </xdr:nvSpPr>
      <xdr:spPr>
        <a:xfrm>
          <a:off x="40357425" y="2695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123825</xdr:colOff>
      <xdr:row>4</xdr:row>
      <xdr:rowOff>123825</xdr:rowOff>
    </xdr:from>
    <xdr:to>
      <xdr:col>83</xdr:col>
      <xdr:colOff>352425</xdr:colOff>
      <xdr:row>4</xdr:row>
      <xdr:rowOff>352425</xdr:rowOff>
    </xdr:to>
    <xdr:sp macro="" textlink="">
      <xdr:nvSpPr>
        <xdr:cNvPr id="43214" name="tp83c11c22size18color16777215routevcb"/>
        <xdr:cNvSpPr/>
      </xdr:nvSpPr>
      <xdr:spPr>
        <a:xfrm>
          <a:off x="40357425" y="3171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238125</xdr:colOff>
      <xdr:row>4</xdr:row>
      <xdr:rowOff>238125</xdr:rowOff>
    </xdr:from>
    <xdr:to>
      <xdr:col>83</xdr:col>
      <xdr:colOff>238125</xdr:colOff>
      <xdr:row>4</xdr:row>
      <xdr:rowOff>238125</xdr:rowOff>
    </xdr:to>
    <xdr:sp macro="" textlink="">
      <xdr:nvSpPr>
        <xdr:cNvPr id="43215" name="rteShptp83c11c22size18color16777215routevcb"/>
        <xdr:cNvSpPr/>
      </xdr:nvSpPr>
      <xdr:spPr>
        <a:xfrm>
          <a:off x="40471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123825</xdr:colOff>
      <xdr:row>5</xdr:row>
      <xdr:rowOff>123825</xdr:rowOff>
    </xdr:from>
    <xdr:to>
      <xdr:col>83</xdr:col>
      <xdr:colOff>352425</xdr:colOff>
      <xdr:row>5</xdr:row>
      <xdr:rowOff>352425</xdr:rowOff>
    </xdr:to>
    <xdr:sp macro="" textlink="">
      <xdr:nvSpPr>
        <xdr:cNvPr id="43219" name="tp83c11c23size18color16777215route"/>
        <xdr:cNvSpPr/>
      </xdr:nvSpPr>
      <xdr:spPr>
        <a:xfrm>
          <a:off x="40357425" y="364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123825</xdr:colOff>
      <xdr:row>6</xdr:row>
      <xdr:rowOff>123825</xdr:rowOff>
    </xdr:from>
    <xdr:to>
      <xdr:col>83</xdr:col>
      <xdr:colOff>352425</xdr:colOff>
      <xdr:row>6</xdr:row>
      <xdr:rowOff>352425</xdr:rowOff>
    </xdr:to>
    <xdr:sp macro="" textlink="">
      <xdr:nvSpPr>
        <xdr:cNvPr id="43220" name="tp83c11c24size18color16777215route"/>
        <xdr:cNvSpPr/>
      </xdr:nvSpPr>
      <xdr:spPr>
        <a:xfrm>
          <a:off x="40357425" y="412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123825</xdr:colOff>
      <xdr:row>7</xdr:row>
      <xdr:rowOff>123825</xdr:rowOff>
    </xdr:from>
    <xdr:to>
      <xdr:col>83</xdr:col>
      <xdr:colOff>352425</xdr:colOff>
      <xdr:row>7</xdr:row>
      <xdr:rowOff>352425</xdr:rowOff>
    </xdr:to>
    <xdr:sp macro="" textlink="">
      <xdr:nvSpPr>
        <xdr:cNvPr id="43221" name="tp83c11c25size18color16777215route"/>
        <xdr:cNvSpPr/>
      </xdr:nvSpPr>
      <xdr:spPr>
        <a:xfrm>
          <a:off x="40357425" y="460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123825</xdr:colOff>
      <xdr:row>8</xdr:row>
      <xdr:rowOff>123825</xdr:rowOff>
    </xdr:from>
    <xdr:to>
      <xdr:col>83</xdr:col>
      <xdr:colOff>352425</xdr:colOff>
      <xdr:row>8</xdr:row>
      <xdr:rowOff>352425</xdr:rowOff>
    </xdr:to>
    <xdr:sp macro="" textlink="">
      <xdr:nvSpPr>
        <xdr:cNvPr id="43222" name="tp83c11c26size18color16777215route"/>
        <xdr:cNvSpPr/>
      </xdr:nvSpPr>
      <xdr:spPr>
        <a:xfrm>
          <a:off x="40357425" y="507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123825</xdr:colOff>
      <xdr:row>9</xdr:row>
      <xdr:rowOff>123825</xdr:rowOff>
    </xdr:from>
    <xdr:to>
      <xdr:col>83</xdr:col>
      <xdr:colOff>352425</xdr:colOff>
      <xdr:row>9</xdr:row>
      <xdr:rowOff>352425</xdr:rowOff>
    </xdr:to>
    <xdr:sp macro="" textlink="">
      <xdr:nvSpPr>
        <xdr:cNvPr id="43223" name="tp83c11c27size18color16777215route"/>
        <xdr:cNvSpPr/>
      </xdr:nvSpPr>
      <xdr:spPr>
        <a:xfrm>
          <a:off x="40357425" y="555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123825</xdr:colOff>
      <xdr:row>10</xdr:row>
      <xdr:rowOff>123825</xdr:rowOff>
    </xdr:from>
    <xdr:to>
      <xdr:col>83</xdr:col>
      <xdr:colOff>352425</xdr:colOff>
      <xdr:row>10</xdr:row>
      <xdr:rowOff>352425</xdr:rowOff>
    </xdr:to>
    <xdr:sp macro="" textlink="">
      <xdr:nvSpPr>
        <xdr:cNvPr id="43224" name="tp83c11c28size18color16777215route"/>
        <xdr:cNvSpPr/>
      </xdr:nvSpPr>
      <xdr:spPr>
        <a:xfrm>
          <a:off x="40357425" y="6029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73025</xdr:colOff>
      <xdr:row>15</xdr:row>
      <xdr:rowOff>73025</xdr:rowOff>
    </xdr:from>
    <xdr:to>
      <xdr:col>83</xdr:col>
      <xdr:colOff>403225</xdr:colOff>
      <xdr:row>15</xdr:row>
      <xdr:rowOff>403225</xdr:rowOff>
    </xdr:to>
    <xdr:sp macro="" textlink="">
      <xdr:nvSpPr>
        <xdr:cNvPr id="43225" name="tp83c12c23size26color255routev"/>
        <xdr:cNvSpPr/>
      </xdr:nvSpPr>
      <xdr:spPr>
        <a:xfrm>
          <a:off x="40306625" y="835977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238125</xdr:colOff>
      <xdr:row>15</xdr:row>
      <xdr:rowOff>238125</xdr:rowOff>
    </xdr:from>
    <xdr:to>
      <xdr:col>83</xdr:col>
      <xdr:colOff>238125</xdr:colOff>
      <xdr:row>15</xdr:row>
      <xdr:rowOff>238125</xdr:rowOff>
    </xdr:to>
    <xdr:sp macro="" textlink="">
      <xdr:nvSpPr>
        <xdr:cNvPr id="43226" name="rteShptp83c12c23size26color255routev"/>
        <xdr:cNvSpPr/>
      </xdr:nvSpPr>
      <xdr:spPr>
        <a:xfrm>
          <a:off x="40471725" y="852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238125</xdr:colOff>
      <xdr:row>18</xdr:row>
      <xdr:rowOff>238125</xdr:rowOff>
    </xdr:from>
    <xdr:to>
      <xdr:col>83</xdr:col>
      <xdr:colOff>238125</xdr:colOff>
      <xdr:row>18</xdr:row>
      <xdr:rowOff>238125</xdr:rowOff>
    </xdr:to>
    <xdr:sp macro="" textlink="">
      <xdr:nvSpPr>
        <xdr:cNvPr id="43228" name="rteShptp83c12c26size0color0routecb"/>
        <xdr:cNvSpPr/>
      </xdr:nvSpPr>
      <xdr:spPr>
        <a:xfrm>
          <a:off x="4047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73025</xdr:colOff>
      <xdr:row>25</xdr:row>
      <xdr:rowOff>73025</xdr:rowOff>
    </xdr:from>
    <xdr:to>
      <xdr:col>83</xdr:col>
      <xdr:colOff>403225</xdr:colOff>
      <xdr:row>25</xdr:row>
      <xdr:rowOff>403225</xdr:rowOff>
    </xdr:to>
    <xdr:sp macro="" textlink="">
      <xdr:nvSpPr>
        <xdr:cNvPr id="43231" name="tp83c13c23size26color255routev"/>
        <xdr:cNvSpPr/>
      </xdr:nvSpPr>
      <xdr:spPr>
        <a:xfrm>
          <a:off x="40306625" y="1312227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238125</xdr:colOff>
      <xdr:row>25</xdr:row>
      <xdr:rowOff>238125</xdr:rowOff>
    </xdr:from>
    <xdr:to>
      <xdr:col>83</xdr:col>
      <xdr:colOff>238125</xdr:colOff>
      <xdr:row>25</xdr:row>
      <xdr:rowOff>238125</xdr:rowOff>
    </xdr:to>
    <xdr:sp macro="" textlink="">
      <xdr:nvSpPr>
        <xdr:cNvPr id="43232" name="rteShptp83c13c23size26color255routev"/>
        <xdr:cNvSpPr/>
      </xdr:nvSpPr>
      <xdr:spPr>
        <a:xfrm>
          <a:off x="40471725" y="1328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83</xdr:col>
      <xdr:colOff>238125</xdr:colOff>
      <xdr:row>28</xdr:row>
      <xdr:rowOff>238125</xdr:rowOff>
    </xdr:from>
    <xdr:to>
      <xdr:col>83</xdr:col>
      <xdr:colOff>238125</xdr:colOff>
      <xdr:row>28</xdr:row>
      <xdr:rowOff>238125</xdr:rowOff>
    </xdr:to>
    <xdr:sp macro="" textlink="">
      <xdr:nvSpPr>
        <xdr:cNvPr id="43234" name="rteShptp83c13c26size0color0routecb"/>
        <xdr:cNvSpPr/>
      </xdr:nvSpPr>
      <xdr:spPr>
        <a:xfrm>
          <a:off x="40471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174625</xdr:colOff>
      <xdr:row>4</xdr:row>
      <xdr:rowOff>174625</xdr:rowOff>
    </xdr:from>
    <xdr:to>
      <xdr:col>84</xdr:col>
      <xdr:colOff>301625</xdr:colOff>
      <xdr:row>4</xdr:row>
      <xdr:rowOff>301625</xdr:rowOff>
    </xdr:to>
    <xdr:sp macro="" textlink="">
      <xdr:nvSpPr>
        <xdr:cNvPr id="43237" name="tp84c11c22size10color255route"/>
        <xdr:cNvSpPr/>
      </xdr:nvSpPr>
      <xdr:spPr>
        <a:xfrm>
          <a:off x="40884475" y="3222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73025</xdr:colOff>
      <xdr:row>5</xdr:row>
      <xdr:rowOff>73025</xdr:rowOff>
    </xdr:from>
    <xdr:to>
      <xdr:col>84</xdr:col>
      <xdr:colOff>403225</xdr:colOff>
      <xdr:row>5</xdr:row>
      <xdr:rowOff>403225</xdr:rowOff>
    </xdr:to>
    <xdr:sp macro="" textlink="">
      <xdr:nvSpPr>
        <xdr:cNvPr id="43238" name="tp84c11c23size26color65280routevc"/>
        <xdr:cNvSpPr/>
      </xdr:nvSpPr>
      <xdr:spPr>
        <a:xfrm>
          <a:off x="40782875" y="35972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238125</xdr:colOff>
      <xdr:row>5</xdr:row>
      <xdr:rowOff>238125</xdr:rowOff>
    </xdr:from>
    <xdr:to>
      <xdr:col>84</xdr:col>
      <xdr:colOff>238125</xdr:colOff>
      <xdr:row>5</xdr:row>
      <xdr:rowOff>238125</xdr:rowOff>
    </xdr:to>
    <xdr:sp macro="" textlink="">
      <xdr:nvSpPr>
        <xdr:cNvPr id="43239" name="rteShptp84c11c23size26color65280routevc"/>
        <xdr:cNvSpPr/>
      </xdr:nvSpPr>
      <xdr:spPr>
        <a:xfrm>
          <a:off x="40947975" y="376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174625</xdr:colOff>
      <xdr:row>6</xdr:row>
      <xdr:rowOff>174625</xdr:rowOff>
    </xdr:from>
    <xdr:to>
      <xdr:col>84</xdr:col>
      <xdr:colOff>301625</xdr:colOff>
      <xdr:row>6</xdr:row>
      <xdr:rowOff>301625</xdr:rowOff>
    </xdr:to>
    <xdr:sp macro="" textlink="">
      <xdr:nvSpPr>
        <xdr:cNvPr id="43242" name="tp84c11c24size10color65535route"/>
        <xdr:cNvSpPr/>
      </xdr:nvSpPr>
      <xdr:spPr>
        <a:xfrm>
          <a:off x="40884475" y="4175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123825</xdr:colOff>
      <xdr:row>8</xdr:row>
      <xdr:rowOff>123825</xdr:rowOff>
    </xdr:from>
    <xdr:to>
      <xdr:col>84</xdr:col>
      <xdr:colOff>352425</xdr:colOff>
      <xdr:row>8</xdr:row>
      <xdr:rowOff>352425</xdr:rowOff>
    </xdr:to>
    <xdr:sp macro="" textlink="">
      <xdr:nvSpPr>
        <xdr:cNvPr id="43243" name="tp84c11c26size18color65280routeb"/>
        <xdr:cNvSpPr/>
      </xdr:nvSpPr>
      <xdr:spPr>
        <a:xfrm>
          <a:off x="40833675" y="5076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238125</xdr:colOff>
      <xdr:row>8</xdr:row>
      <xdr:rowOff>238125</xdr:rowOff>
    </xdr:from>
    <xdr:to>
      <xdr:col>84</xdr:col>
      <xdr:colOff>238125</xdr:colOff>
      <xdr:row>8</xdr:row>
      <xdr:rowOff>238125</xdr:rowOff>
    </xdr:to>
    <xdr:sp macro="" textlink="">
      <xdr:nvSpPr>
        <xdr:cNvPr id="43244" name="rteShptp84c11c26size18color65280routeb"/>
        <xdr:cNvSpPr/>
      </xdr:nvSpPr>
      <xdr:spPr>
        <a:xfrm>
          <a:off x="40947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123825</xdr:colOff>
      <xdr:row>16</xdr:row>
      <xdr:rowOff>123825</xdr:rowOff>
    </xdr:from>
    <xdr:to>
      <xdr:col>84</xdr:col>
      <xdr:colOff>352425</xdr:colOff>
      <xdr:row>16</xdr:row>
      <xdr:rowOff>352425</xdr:rowOff>
    </xdr:to>
    <xdr:sp macro="" textlink="">
      <xdr:nvSpPr>
        <xdr:cNvPr id="43246" name="tp84c12c24size18color65280route"/>
        <xdr:cNvSpPr/>
      </xdr:nvSpPr>
      <xdr:spPr>
        <a:xfrm>
          <a:off x="40833675" y="8886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73025</xdr:colOff>
      <xdr:row>18</xdr:row>
      <xdr:rowOff>73025</xdr:rowOff>
    </xdr:from>
    <xdr:to>
      <xdr:col>84</xdr:col>
      <xdr:colOff>403225</xdr:colOff>
      <xdr:row>18</xdr:row>
      <xdr:rowOff>403225</xdr:rowOff>
    </xdr:to>
    <xdr:sp macro="" textlink="">
      <xdr:nvSpPr>
        <xdr:cNvPr id="43247" name="tp84c12c26size26color65280routevcb"/>
        <xdr:cNvSpPr/>
      </xdr:nvSpPr>
      <xdr:spPr>
        <a:xfrm>
          <a:off x="4078287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238125</xdr:colOff>
      <xdr:row>18</xdr:row>
      <xdr:rowOff>238125</xdr:rowOff>
    </xdr:from>
    <xdr:to>
      <xdr:col>84</xdr:col>
      <xdr:colOff>238125</xdr:colOff>
      <xdr:row>18</xdr:row>
      <xdr:rowOff>238125</xdr:rowOff>
    </xdr:to>
    <xdr:sp macro="" textlink="">
      <xdr:nvSpPr>
        <xdr:cNvPr id="43248" name="rteShptp84c12c26size26color65280routevcb"/>
        <xdr:cNvSpPr/>
      </xdr:nvSpPr>
      <xdr:spPr>
        <a:xfrm>
          <a:off x="4094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123825</xdr:colOff>
      <xdr:row>25</xdr:row>
      <xdr:rowOff>123825</xdr:rowOff>
    </xdr:from>
    <xdr:to>
      <xdr:col>84</xdr:col>
      <xdr:colOff>352425</xdr:colOff>
      <xdr:row>25</xdr:row>
      <xdr:rowOff>352425</xdr:rowOff>
    </xdr:to>
    <xdr:sp macro="" textlink="">
      <xdr:nvSpPr>
        <xdr:cNvPr id="43252" name="tp84c13c23size18color65280route"/>
        <xdr:cNvSpPr/>
      </xdr:nvSpPr>
      <xdr:spPr>
        <a:xfrm>
          <a:off x="40833675" y="131730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174625</xdr:colOff>
      <xdr:row>26</xdr:row>
      <xdr:rowOff>174625</xdr:rowOff>
    </xdr:from>
    <xdr:to>
      <xdr:col>84</xdr:col>
      <xdr:colOff>301625</xdr:colOff>
      <xdr:row>26</xdr:row>
      <xdr:rowOff>301625</xdr:rowOff>
    </xdr:to>
    <xdr:sp macro="" textlink="">
      <xdr:nvSpPr>
        <xdr:cNvPr id="43253" name="tp84c13c24size10color65280route"/>
        <xdr:cNvSpPr/>
      </xdr:nvSpPr>
      <xdr:spPr>
        <a:xfrm>
          <a:off x="40884475" y="13700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73025</xdr:colOff>
      <xdr:row>28</xdr:row>
      <xdr:rowOff>73025</xdr:rowOff>
    </xdr:from>
    <xdr:to>
      <xdr:col>84</xdr:col>
      <xdr:colOff>403225</xdr:colOff>
      <xdr:row>28</xdr:row>
      <xdr:rowOff>403225</xdr:rowOff>
    </xdr:to>
    <xdr:sp macro="" textlink="">
      <xdr:nvSpPr>
        <xdr:cNvPr id="43254" name="tp84c13c26size26color65280routevcb"/>
        <xdr:cNvSpPr/>
      </xdr:nvSpPr>
      <xdr:spPr>
        <a:xfrm>
          <a:off x="4078287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84</xdr:col>
      <xdr:colOff>238125</xdr:colOff>
      <xdr:row>28</xdr:row>
      <xdr:rowOff>238125</xdr:rowOff>
    </xdr:from>
    <xdr:to>
      <xdr:col>84</xdr:col>
      <xdr:colOff>238125</xdr:colOff>
      <xdr:row>28</xdr:row>
      <xdr:rowOff>238125</xdr:rowOff>
    </xdr:to>
    <xdr:sp macro="" textlink="">
      <xdr:nvSpPr>
        <xdr:cNvPr id="43255" name="rteShptp84c13c26size26color65280routevcb"/>
        <xdr:cNvSpPr/>
      </xdr:nvSpPr>
      <xdr:spPr>
        <a:xfrm>
          <a:off x="40947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85</xdr:col>
      <xdr:colOff>73025</xdr:colOff>
      <xdr:row>4</xdr:row>
      <xdr:rowOff>73025</xdr:rowOff>
    </xdr:from>
    <xdr:to>
      <xdr:col>85</xdr:col>
      <xdr:colOff>403225</xdr:colOff>
      <xdr:row>4</xdr:row>
      <xdr:rowOff>403225</xdr:rowOff>
    </xdr:to>
    <xdr:sp macro="" textlink="">
      <xdr:nvSpPr>
        <xdr:cNvPr id="43259" name="tp85c11c22size26color255routevcb"/>
        <xdr:cNvSpPr/>
      </xdr:nvSpPr>
      <xdr:spPr>
        <a:xfrm>
          <a:off x="4125912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85</xdr:col>
      <xdr:colOff>238125</xdr:colOff>
      <xdr:row>4</xdr:row>
      <xdr:rowOff>238125</xdr:rowOff>
    </xdr:from>
    <xdr:to>
      <xdr:col>85</xdr:col>
      <xdr:colOff>238125</xdr:colOff>
      <xdr:row>4</xdr:row>
      <xdr:rowOff>238125</xdr:rowOff>
    </xdr:to>
    <xdr:sp macro="" textlink="">
      <xdr:nvSpPr>
        <xdr:cNvPr id="43260" name="rteShptp85c11c22size26color255routevcb"/>
        <xdr:cNvSpPr/>
      </xdr:nvSpPr>
      <xdr:spPr>
        <a:xfrm>
          <a:off x="41424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85</xdr:col>
      <xdr:colOff>73025</xdr:colOff>
      <xdr:row>14</xdr:row>
      <xdr:rowOff>73025</xdr:rowOff>
    </xdr:from>
    <xdr:to>
      <xdr:col>85</xdr:col>
      <xdr:colOff>403225</xdr:colOff>
      <xdr:row>14</xdr:row>
      <xdr:rowOff>403225</xdr:rowOff>
    </xdr:to>
    <xdr:sp macro="" textlink="">
      <xdr:nvSpPr>
        <xdr:cNvPr id="43264" name="tp85c12c22size26color255routev"/>
        <xdr:cNvSpPr/>
      </xdr:nvSpPr>
      <xdr:spPr>
        <a:xfrm>
          <a:off x="4125912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85</xdr:col>
      <xdr:colOff>238125</xdr:colOff>
      <xdr:row>14</xdr:row>
      <xdr:rowOff>238125</xdr:rowOff>
    </xdr:from>
    <xdr:to>
      <xdr:col>85</xdr:col>
      <xdr:colOff>238125</xdr:colOff>
      <xdr:row>14</xdr:row>
      <xdr:rowOff>238125</xdr:rowOff>
    </xdr:to>
    <xdr:sp macro="" textlink="">
      <xdr:nvSpPr>
        <xdr:cNvPr id="43265" name="rteShptp85c12c22size26color255routev"/>
        <xdr:cNvSpPr/>
      </xdr:nvSpPr>
      <xdr:spPr>
        <a:xfrm>
          <a:off x="414242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85</xdr:col>
      <xdr:colOff>238125</xdr:colOff>
      <xdr:row>18</xdr:row>
      <xdr:rowOff>238125</xdr:rowOff>
    </xdr:from>
    <xdr:to>
      <xdr:col>85</xdr:col>
      <xdr:colOff>238125</xdr:colOff>
      <xdr:row>18</xdr:row>
      <xdr:rowOff>238125</xdr:rowOff>
    </xdr:to>
    <xdr:sp macro="" textlink="">
      <xdr:nvSpPr>
        <xdr:cNvPr id="43267" name="rteShptp85c12c26size0color0routecb"/>
        <xdr:cNvSpPr/>
      </xdr:nvSpPr>
      <xdr:spPr>
        <a:xfrm>
          <a:off x="4142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85</xdr:col>
      <xdr:colOff>73025</xdr:colOff>
      <xdr:row>24</xdr:row>
      <xdr:rowOff>73025</xdr:rowOff>
    </xdr:from>
    <xdr:to>
      <xdr:col>85</xdr:col>
      <xdr:colOff>403225</xdr:colOff>
      <xdr:row>24</xdr:row>
      <xdr:rowOff>403225</xdr:rowOff>
    </xdr:to>
    <xdr:sp macro="" textlink="">
      <xdr:nvSpPr>
        <xdr:cNvPr id="43270" name="tp85c13c22size26color255routev"/>
        <xdr:cNvSpPr/>
      </xdr:nvSpPr>
      <xdr:spPr>
        <a:xfrm>
          <a:off x="41259125" y="12646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85</xdr:col>
      <xdr:colOff>238125</xdr:colOff>
      <xdr:row>24</xdr:row>
      <xdr:rowOff>238125</xdr:rowOff>
    </xdr:from>
    <xdr:to>
      <xdr:col>85</xdr:col>
      <xdr:colOff>238125</xdr:colOff>
      <xdr:row>24</xdr:row>
      <xdr:rowOff>238125</xdr:rowOff>
    </xdr:to>
    <xdr:sp macro="" textlink="">
      <xdr:nvSpPr>
        <xdr:cNvPr id="43271" name="rteShptp85c13c22size26color255routev"/>
        <xdr:cNvSpPr/>
      </xdr:nvSpPr>
      <xdr:spPr>
        <a:xfrm>
          <a:off x="414242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85</xdr:col>
      <xdr:colOff>238125</xdr:colOff>
      <xdr:row>28</xdr:row>
      <xdr:rowOff>238125</xdr:rowOff>
    </xdr:from>
    <xdr:to>
      <xdr:col>85</xdr:col>
      <xdr:colOff>238125</xdr:colOff>
      <xdr:row>28</xdr:row>
      <xdr:rowOff>238125</xdr:rowOff>
    </xdr:to>
    <xdr:sp macro="" textlink="">
      <xdr:nvSpPr>
        <xdr:cNvPr id="43273" name="rteShptp85c13c26size0color0routecb"/>
        <xdr:cNvSpPr/>
      </xdr:nvSpPr>
      <xdr:spPr>
        <a:xfrm>
          <a:off x="41424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86</xdr:col>
      <xdr:colOff>73025</xdr:colOff>
      <xdr:row>4</xdr:row>
      <xdr:rowOff>73025</xdr:rowOff>
    </xdr:from>
    <xdr:to>
      <xdr:col>86</xdr:col>
      <xdr:colOff>403225</xdr:colOff>
      <xdr:row>4</xdr:row>
      <xdr:rowOff>403225</xdr:rowOff>
    </xdr:to>
    <xdr:sp macro="" textlink="">
      <xdr:nvSpPr>
        <xdr:cNvPr id="43276" name="tp86c11c22size26color65535routevcb"/>
        <xdr:cNvSpPr/>
      </xdr:nvSpPr>
      <xdr:spPr>
        <a:xfrm>
          <a:off x="4173537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86</xdr:col>
      <xdr:colOff>238125</xdr:colOff>
      <xdr:row>4</xdr:row>
      <xdr:rowOff>238125</xdr:rowOff>
    </xdr:from>
    <xdr:to>
      <xdr:col>86</xdr:col>
      <xdr:colOff>238125</xdr:colOff>
      <xdr:row>4</xdr:row>
      <xdr:rowOff>238125</xdr:rowOff>
    </xdr:to>
    <xdr:sp macro="" textlink="">
      <xdr:nvSpPr>
        <xdr:cNvPr id="43277" name="rteShptp86c11c22size26color65535routevcb"/>
        <xdr:cNvSpPr/>
      </xdr:nvSpPr>
      <xdr:spPr>
        <a:xfrm>
          <a:off x="41900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86</xdr:col>
      <xdr:colOff>123825</xdr:colOff>
      <xdr:row>13</xdr:row>
      <xdr:rowOff>123825</xdr:rowOff>
    </xdr:from>
    <xdr:to>
      <xdr:col>86</xdr:col>
      <xdr:colOff>352425</xdr:colOff>
      <xdr:row>13</xdr:row>
      <xdr:rowOff>352425</xdr:rowOff>
    </xdr:to>
    <xdr:sp macro="" textlink="">
      <xdr:nvSpPr>
        <xdr:cNvPr id="43281" name="tp86c12c21size18color16777215route"/>
        <xdr:cNvSpPr/>
      </xdr:nvSpPr>
      <xdr:spPr>
        <a:xfrm>
          <a:off x="4178617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86</xdr:col>
      <xdr:colOff>123825</xdr:colOff>
      <xdr:row>14</xdr:row>
      <xdr:rowOff>123825</xdr:rowOff>
    </xdr:from>
    <xdr:to>
      <xdr:col>86</xdr:col>
      <xdr:colOff>352425</xdr:colOff>
      <xdr:row>14</xdr:row>
      <xdr:rowOff>352425</xdr:rowOff>
    </xdr:to>
    <xdr:sp macro="" textlink="">
      <xdr:nvSpPr>
        <xdr:cNvPr id="43282" name="tp86c12c22size18color16777215routev"/>
        <xdr:cNvSpPr/>
      </xdr:nvSpPr>
      <xdr:spPr>
        <a:xfrm>
          <a:off x="4178617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86</xdr:col>
      <xdr:colOff>238125</xdr:colOff>
      <xdr:row>14</xdr:row>
      <xdr:rowOff>238125</xdr:rowOff>
    </xdr:from>
    <xdr:to>
      <xdr:col>86</xdr:col>
      <xdr:colOff>238125</xdr:colOff>
      <xdr:row>14</xdr:row>
      <xdr:rowOff>238125</xdr:rowOff>
    </xdr:to>
    <xdr:sp macro="" textlink="">
      <xdr:nvSpPr>
        <xdr:cNvPr id="43283" name="rteShptp86c12c22size18color16777215routev"/>
        <xdr:cNvSpPr/>
      </xdr:nvSpPr>
      <xdr:spPr>
        <a:xfrm>
          <a:off x="419004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86</xdr:col>
      <xdr:colOff>238125</xdr:colOff>
      <xdr:row>18</xdr:row>
      <xdr:rowOff>238125</xdr:rowOff>
    </xdr:from>
    <xdr:to>
      <xdr:col>86</xdr:col>
      <xdr:colOff>238125</xdr:colOff>
      <xdr:row>18</xdr:row>
      <xdr:rowOff>238125</xdr:rowOff>
    </xdr:to>
    <xdr:sp macro="" textlink="">
      <xdr:nvSpPr>
        <xdr:cNvPr id="43285" name="rteShptp86c12c26size0color0routecb"/>
        <xdr:cNvSpPr/>
      </xdr:nvSpPr>
      <xdr:spPr>
        <a:xfrm>
          <a:off x="4190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86</xdr:col>
      <xdr:colOff>73025</xdr:colOff>
      <xdr:row>24</xdr:row>
      <xdr:rowOff>73025</xdr:rowOff>
    </xdr:from>
    <xdr:to>
      <xdr:col>86</xdr:col>
      <xdr:colOff>403225</xdr:colOff>
      <xdr:row>24</xdr:row>
      <xdr:rowOff>403225</xdr:rowOff>
    </xdr:to>
    <xdr:sp macro="" textlink="">
      <xdr:nvSpPr>
        <xdr:cNvPr id="43288" name="tp86c13c22size26color65535routevb"/>
        <xdr:cNvSpPr/>
      </xdr:nvSpPr>
      <xdr:spPr>
        <a:xfrm>
          <a:off x="41735375" y="12646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86</xdr:col>
      <xdr:colOff>238125</xdr:colOff>
      <xdr:row>24</xdr:row>
      <xdr:rowOff>238125</xdr:rowOff>
    </xdr:from>
    <xdr:to>
      <xdr:col>86</xdr:col>
      <xdr:colOff>238125</xdr:colOff>
      <xdr:row>24</xdr:row>
      <xdr:rowOff>238125</xdr:rowOff>
    </xdr:to>
    <xdr:sp macro="" textlink="">
      <xdr:nvSpPr>
        <xdr:cNvPr id="43289" name="rteShptp86c13c22size26color65535routevb"/>
        <xdr:cNvSpPr/>
      </xdr:nvSpPr>
      <xdr:spPr>
        <a:xfrm>
          <a:off x="419004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86</xdr:col>
      <xdr:colOff>238125</xdr:colOff>
      <xdr:row>28</xdr:row>
      <xdr:rowOff>238125</xdr:rowOff>
    </xdr:from>
    <xdr:to>
      <xdr:col>86</xdr:col>
      <xdr:colOff>238125</xdr:colOff>
      <xdr:row>28</xdr:row>
      <xdr:rowOff>238125</xdr:rowOff>
    </xdr:to>
    <xdr:sp macro="" textlink="">
      <xdr:nvSpPr>
        <xdr:cNvPr id="43292" name="rteShptp86c13c26size0color0routec"/>
        <xdr:cNvSpPr/>
      </xdr:nvSpPr>
      <xdr:spPr>
        <a:xfrm>
          <a:off x="41900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73025</xdr:colOff>
      <xdr:row>4</xdr:row>
      <xdr:rowOff>73025</xdr:rowOff>
    </xdr:from>
    <xdr:to>
      <xdr:col>87</xdr:col>
      <xdr:colOff>403225</xdr:colOff>
      <xdr:row>4</xdr:row>
      <xdr:rowOff>403225</xdr:rowOff>
    </xdr:to>
    <xdr:sp macro="" textlink="">
      <xdr:nvSpPr>
        <xdr:cNvPr id="43294" name="tp87c11c22size26color255routevcb"/>
        <xdr:cNvSpPr/>
      </xdr:nvSpPr>
      <xdr:spPr>
        <a:xfrm>
          <a:off x="4221162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238125</xdr:colOff>
      <xdr:row>4</xdr:row>
      <xdr:rowOff>238125</xdr:rowOff>
    </xdr:from>
    <xdr:to>
      <xdr:col>87</xdr:col>
      <xdr:colOff>238125</xdr:colOff>
      <xdr:row>4</xdr:row>
      <xdr:rowOff>238125</xdr:rowOff>
    </xdr:to>
    <xdr:sp macro="" textlink="">
      <xdr:nvSpPr>
        <xdr:cNvPr id="43295" name="rteShptp87c11c22size26color255routevcb"/>
        <xdr:cNvSpPr/>
      </xdr:nvSpPr>
      <xdr:spPr>
        <a:xfrm>
          <a:off x="42376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123825</xdr:colOff>
      <xdr:row>13</xdr:row>
      <xdr:rowOff>123825</xdr:rowOff>
    </xdr:from>
    <xdr:to>
      <xdr:col>87</xdr:col>
      <xdr:colOff>352425</xdr:colOff>
      <xdr:row>13</xdr:row>
      <xdr:rowOff>352425</xdr:rowOff>
    </xdr:to>
    <xdr:sp macro="" textlink="">
      <xdr:nvSpPr>
        <xdr:cNvPr id="43299" name="tp87c12c21size18color16777215route"/>
        <xdr:cNvSpPr/>
      </xdr:nvSpPr>
      <xdr:spPr>
        <a:xfrm>
          <a:off x="42262425" y="7458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123825</xdr:colOff>
      <xdr:row>14</xdr:row>
      <xdr:rowOff>123825</xdr:rowOff>
    </xdr:from>
    <xdr:to>
      <xdr:col>87</xdr:col>
      <xdr:colOff>352425</xdr:colOff>
      <xdr:row>14</xdr:row>
      <xdr:rowOff>352425</xdr:rowOff>
    </xdr:to>
    <xdr:sp macro="" textlink="">
      <xdr:nvSpPr>
        <xdr:cNvPr id="43300" name="tp87c12c22size18color16777215routev"/>
        <xdr:cNvSpPr/>
      </xdr:nvSpPr>
      <xdr:spPr>
        <a:xfrm>
          <a:off x="42262425" y="79343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238125</xdr:colOff>
      <xdr:row>14</xdr:row>
      <xdr:rowOff>238125</xdr:rowOff>
    </xdr:from>
    <xdr:to>
      <xdr:col>87</xdr:col>
      <xdr:colOff>238125</xdr:colOff>
      <xdr:row>14</xdr:row>
      <xdr:rowOff>238125</xdr:rowOff>
    </xdr:to>
    <xdr:sp macro="" textlink="">
      <xdr:nvSpPr>
        <xdr:cNvPr id="43301" name="rteShptp87c12c22size18color16777215routev"/>
        <xdr:cNvSpPr/>
      </xdr:nvSpPr>
      <xdr:spPr>
        <a:xfrm>
          <a:off x="423767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123825</xdr:colOff>
      <xdr:row>15</xdr:row>
      <xdr:rowOff>123825</xdr:rowOff>
    </xdr:from>
    <xdr:to>
      <xdr:col>87</xdr:col>
      <xdr:colOff>352425</xdr:colOff>
      <xdr:row>15</xdr:row>
      <xdr:rowOff>352425</xdr:rowOff>
    </xdr:to>
    <xdr:sp macro="" textlink="">
      <xdr:nvSpPr>
        <xdr:cNvPr id="43303" name="tp87c12c23size18color16777215route"/>
        <xdr:cNvSpPr/>
      </xdr:nvSpPr>
      <xdr:spPr>
        <a:xfrm>
          <a:off x="42262425" y="84105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123825</xdr:colOff>
      <xdr:row>16</xdr:row>
      <xdr:rowOff>123825</xdr:rowOff>
    </xdr:from>
    <xdr:to>
      <xdr:col>87</xdr:col>
      <xdr:colOff>352425</xdr:colOff>
      <xdr:row>16</xdr:row>
      <xdr:rowOff>352425</xdr:rowOff>
    </xdr:to>
    <xdr:sp macro="" textlink="">
      <xdr:nvSpPr>
        <xdr:cNvPr id="43304" name="tp87c12c24size18color16777215route"/>
        <xdr:cNvSpPr/>
      </xdr:nvSpPr>
      <xdr:spPr>
        <a:xfrm>
          <a:off x="42262425" y="888682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123825</xdr:colOff>
      <xdr:row>17</xdr:row>
      <xdr:rowOff>123825</xdr:rowOff>
    </xdr:from>
    <xdr:to>
      <xdr:col>87</xdr:col>
      <xdr:colOff>352425</xdr:colOff>
      <xdr:row>17</xdr:row>
      <xdr:rowOff>352425</xdr:rowOff>
    </xdr:to>
    <xdr:sp macro="" textlink="">
      <xdr:nvSpPr>
        <xdr:cNvPr id="43305" name="tp87c12c25size18color16777215route"/>
        <xdr:cNvSpPr/>
      </xdr:nvSpPr>
      <xdr:spPr>
        <a:xfrm>
          <a:off x="42262425" y="9363075"/>
          <a:ext cx="228600" cy="228600"/>
        </a:xfrm>
        <a:prstGeom prst="ellipse">
          <a:avLst/>
        </a:prstGeom>
        <a:solidFill>
          <a:srgbClr val="FFFFFF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238125</xdr:colOff>
      <xdr:row>18</xdr:row>
      <xdr:rowOff>238125</xdr:rowOff>
    </xdr:from>
    <xdr:to>
      <xdr:col>87</xdr:col>
      <xdr:colOff>238125</xdr:colOff>
      <xdr:row>18</xdr:row>
      <xdr:rowOff>238125</xdr:rowOff>
    </xdr:to>
    <xdr:sp macro="" textlink="">
      <xdr:nvSpPr>
        <xdr:cNvPr id="43306" name="rteShptp87c12c26size0color0routecb"/>
        <xdr:cNvSpPr/>
      </xdr:nvSpPr>
      <xdr:spPr>
        <a:xfrm>
          <a:off x="42376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73025</xdr:colOff>
      <xdr:row>24</xdr:row>
      <xdr:rowOff>73025</xdr:rowOff>
    </xdr:from>
    <xdr:to>
      <xdr:col>87</xdr:col>
      <xdr:colOff>403225</xdr:colOff>
      <xdr:row>24</xdr:row>
      <xdr:rowOff>403225</xdr:rowOff>
    </xdr:to>
    <xdr:sp macro="" textlink="">
      <xdr:nvSpPr>
        <xdr:cNvPr id="43309" name="tp87c13c22size26color255routevb"/>
        <xdr:cNvSpPr/>
      </xdr:nvSpPr>
      <xdr:spPr>
        <a:xfrm>
          <a:off x="42211625" y="12646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238125</xdr:colOff>
      <xdr:row>24</xdr:row>
      <xdr:rowOff>238125</xdr:rowOff>
    </xdr:from>
    <xdr:to>
      <xdr:col>87</xdr:col>
      <xdr:colOff>238125</xdr:colOff>
      <xdr:row>24</xdr:row>
      <xdr:rowOff>238125</xdr:rowOff>
    </xdr:to>
    <xdr:sp macro="" textlink="">
      <xdr:nvSpPr>
        <xdr:cNvPr id="43310" name="rteShptp87c13c22size26color255routevb"/>
        <xdr:cNvSpPr/>
      </xdr:nvSpPr>
      <xdr:spPr>
        <a:xfrm>
          <a:off x="42376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87</xdr:col>
      <xdr:colOff>238125</xdr:colOff>
      <xdr:row>28</xdr:row>
      <xdr:rowOff>238125</xdr:rowOff>
    </xdr:from>
    <xdr:to>
      <xdr:col>87</xdr:col>
      <xdr:colOff>238125</xdr:colOff>
      <xdr:row>28</xdr:row>
      <xdr:rowOff>238125</xdr:rowOff>
    </xdr:to>
    <xdr:sp macro="" textlink="">
      <xdr:nvSpPr>
        <xdr:cNvPr id="43313" name="rteShptp87c13c26size0color0routec"/>
        <xdr:cNvSpPr/>
      </xdr:nvSpPr>
      <xdr:spPr>
        <a:xfrm>
          <a:off x="42376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73025</xdr:colOff>
      <xdr:row>4</xdr:row>
      <xdr:rowOff>73025</xdr:rowOff>
    </xdr:from>
    <xdr:to>
      <xdr:col>88</xdr:col>
      <xdr:colOff>403225</xdr:colOff>
      <xdr:row>4</xdr:row>
      <xdr:rowOff>403225</xdr:rowOff>
    </xdr:to>
    <xdr:sp macro="" textlink="">
      <xdr:nvSpPr>
        <xdr:cNvPr id="43315" name="tp88c11c22size26color65535routevcb"/>
        <xdr:cNvSpPr/>
      </xdr:nvSpPr>
      <xdr:spPr>
        <a:xfrm>
          <a:off x="4268787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238125</xdr:colOff>
      <xdr:row>4</xdr:row>
      <xdr:rowOff>238125</xdr:rowOff>
    </xdr:from>
    <xdr:to>
      <xdr:col>88</xdr:col>
      <xdr:colOff>238125</xdr:colOff>
      <xdr:row>4</xdr:row>
      <xdr:rowOff>238125</xdr:rowOff>
    </xdr:to>
    <xdr:sp macro="" textlink="">
      <xdr:nvSpPr>
        <xdr:cNvPr id="43316" name="rteShptp88c11c22size26color65535routevcb"/>
        <xdr:cNvSpPr/>
      </xdr:nvSpPr>
      <xdr:spPr>
        <a:xfrm>
          <a:off x="4285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73025</xdr:colOff>
      <xdr:row>14</xdr:row>
      <xdr:rowOff>73025</xdr:rowOff>
    </xdr:from>
    <xdr:to>
      <xdr:col>88</xdr:col>
      <xdr:colOff>403225</xdr:colOff>
      <xdr:row>14</xdr:row>
      <xdr:rowOff>403225</xdr:rowOff>
    </xdr:to>
    <xdr:sp macro="" textlink="">
      <xdr:nvSpPr>
        <xdr:cNvPr id="43320" name="tp88c12c22size26color65535routevcb"/>
        <xdr:cNvSpPr/>
      </xdr:nvSpPr>
      <xdr:spPr>
        <a:xfrm>
          <a:off x="42687875" y="7883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238125</xdr:colOff>
      <xdr:row>14</xdr:row>
      <xdr:rowOff>238125</xdr:rowOff>
    </xdr:from>
    <xdr:to>
      <xdr:col>88</xdr:col>
      <xdr:colOff>238125</xdr:colOff>
      <xdr:row>14</xdr:row>
      <xdr:rowOff>238125</xdr:rowOff>
    </xdr:to>
    <xdr:sp macro="" textlink="">
      <xdr:nvSpPr>
        <xdr:cNvPr id="43321" name="rteShptp88c12c22size26color65535routevcb"/>
        <xdr:cNvSpPr/>
      </xdr:nvSpPr>
      <xdr:spPr>
        <a:xfrm>
          <a:off x="428529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73025</xdr:colOff>
      <xdr:row>24</xdr:row>
      <xdr:rowOff>73025</xdr:rowOff>
    </xdr:from>
    <xdr:to>
      <xdr:col>88</xdr:col>
      <xdr:colOff>403225</xdr:colOff>
      <xdr:row>24</xdr:row>
      <xdr:rowOff>403225</xdr:rowOff>
    </xdr:to>
    <xdr:sp macro="" textlink="">
      <xdr:nvSpPr>
        <xdr:cNvPr id="43325" name="tp88c13c22size26color255routevcb"/>
        <xdr:cNvSpPr/>
      </xdr:nvSpPr>
      <xdr:spPr>
        <a:xfrm>
          <a:off x="42687875" y="12646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238125</xdr:colOff>
      <xdr:row>24</xdr:row>
      <xdr:rowOff>238125</xdr:rowOff>
    </xdr:from>
    <xdr:to>
      <xdr:col>88</xdr:col>
      <xdr:colOff>238125</xdr:colOff>
      <xdr:row>24</xdr:row>
      <xdr:rowOff>238125</xdr:rowOff>
    </xdr:to>
    <xdr:sp macro="" textlink="">
      <xdr:nvSpPr>
        <xdr:cNvPr id="43326" name="rteShptp88c13c22size26color255routevcb"/>
        <xdr:cNvSpPr/>
      </xdr:nvSpPr>
      <xdr:spPr>
        <a:xfrm>
          <a:off x="428529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89</xdr:col>
      <xdr:colOff>73025</xdr:colOff>
      <xdr:row>4</xdr:row>
      <xdr:rowOff>73025</xdr:rowOff>
    </xdr:from>
    <xdr:to>
      <xdr:col>89</xdr:col>
      <xdr:colOff>403225</xdr:colOff>
      <xdr:row>4</xdr:row>
      <xdr:rowOff>403225</xdr:rowOff>
    </xdr:to>
    <xdr:sp macro="" textlink="">
      <xdr:nvSpPr>
        <xdr:cNvPr id="43330" name="tp89c11c22size26color255routevcb"/>
        <xdr:cNvSpPr/>
      </xdr:nvSpPr>
      <xdr:spPr>
        <a:xfrm>
          <a:off x="4316412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89</xdr:col>
      <xdr:colOff>238125</xdr:colOff>
      <xdr:row>4</xdr:row>
      <xdr:rowOff>238125</xdr:rowOff>
    </xdr:from>
    <xdr:to>
      <xdr:col>89</xdr:col>
      <xdr:colOff>238125</xdr:colOff>
      <xdr:row>4</xdr:row>
      <xdr:rowOff>238125</xdr:rowOff>
    </xdr:to>
    <xdr:sp macro="" textlink="">
      <xdr:nvSpPr>
        <xdr:cNvPr id="43331" name="rteShptp89c11c22size26color255routevcb"/>
        <xdr:cNvSpPr/>
      </xdr:nvSpPr>
      <xdr:spPr>
        <a:xfrm>
          <a:off x="43329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89</xdr:col>
      <xdr:colOff>174625</xdr:colOff>
      <xdr:row>8</xdr:row>
      <xdr:rowOff>174625</xdr:rowOff>
    </xdr:from>
    <xdr:to>
      <xdr:col>89</xdr:col>
      <xdr:colOff>301625</xdr:colOff>
      <xdr:row>8</xdr:row>
      <xdr:rowOff>301625</xdr:rowOff>
    </xdr:to>
    <xdr:sp macro="" textlink="">
      <xdr:nvSpPr>
        <xdr:cNvPr id="43335" name="tp89c11c26size10color65535route"/>
        <xdr:cNvSpPr/>
      </xdr:nvSpPr>
      <xdr:spPr>
        <a:xfrm>
          <a:off x="43265725" y="512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89</xdr:col>
      <xdr:colOff>73025</xdr:colOff>
      <xdr:row>14</xdr:row>
      <xdr:rowOff>73025</xdr:rowOff>
    </xdr:from>
    <xdr:to>
      <xdr:col>89</xdr:col>
      <xdr:colOff>403225</xdr:colOff>
      <xdr:row>14</xdr:row>
      <xdr:rowOff>403225</xdr:rowOff>
    </xdr:to>
    <xdr:sp macro="" textlink="">
      <xdr:nvSpPr>
        <xdr:cNvPr id="43336" name="tp89c12c22size26color255routevb"/>
        <xdr:cNvSpPr/>
      </xdr:nvSpPr>
      <xdr:spPr>
        <a:xfrm>
          <a:off x="4316412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89</xdr:col>
      <xdr:colOff>238125</xdr:colOff>
      <xdr:row>14</xdr:row>
      <xdr:rowOff>238125</xdr:rowOff>
    </xdr:from>
    <xdr:to>
      <xdr:col>89</xdr:col>
      <xdr:colOff>238125</xdr:colOff>
      <xdr:row>14</xdr:row>
      <xdr:rowOff>238125</xdr:rowOff>
    </xdr:to>
    <xdr:sp macro="" textlink="">
      <xdr:nvSpPr>
        <xdr:cNvPr id="43337" name="rteShptp89c12c22size26color255routevb"/>
        <xdr:cNvSpPr/>
      </xdr:nvSpPr>
      <xdr:spPr>
        <a:xfrm>
          <a:off x="433292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89</xdr:col>
      <xdr:colOff>238125</xdr:colOff>
      <xdr:row>18</xdr:row>
      <xdr:rowOff>238125</xdr:rowOff>
    </xdr:from>
    <xdr:to>
      <xdr:col>89</xdr:col>
      <xdr:colOff>238125</xdr:colOff>
      <xdr:row>18</xdr:row>
      <xdr:rowOff>238125</xdr:rowOff>
    </xdr:to>
    <xdr:sp macro="" textlink="">
      <xdr:nvSpPr>
        <xdr:cNvPr id="43340" name="rteShptp89c12c26size0color0routec"/>
        <xdr:cNvSpPr/>
      </xdr:nvSpPr>
      <xdr:spPr>
        <a:xfrm>
          <a:off x="43329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89</xdr:col>
      <xdr:colOff>73025</xdr:colOff>
      <xdr:row>24</xdr:row>
      <xdr:rowOff>73025</xdr:rowOff>
    </xdr:from>
    <xdr:to>
      <xdr:col>89</xdr:col>
      <xdr:colOff>403225</xdr:colOff>
      <xdr:row>24</xdr:row>
      <xdr:rowOff>403225</xdr:rowOff>
    </xdr:to>
    <xdr:sp macro="" textlink="">
      <xdr:nvSpPr>
        <xdr:cNvPr id="43342" name="tp89c13c22size26color255routev"/>
        <xdr:cNvSpPr/>
      </xdr:nvSpPr>
      <xdr:spPr>
        <a:xfrm>
          <a:off x="43164125" y="12646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89</xdr:col>
      <xdr:colOff>238125</xdr:colOff>
      <xdr:row>24</xdr:row>
      <xdr:rowOff>238125</xdr:rowOff>
    </xdr:from>
    <xdr:to>
      <xdr:col>89</xdr:col>
      <xdr:colOff>238125</xdr:colOff>
      <xdr:row>24</xdr:row>
      <xdr:rowOff>238125</xdr:rowOff>
    </xdr:to>
    <xdr:sp macro="" textlink="">
      <xdr:nvSpPr>
        <xdr:cNvPr id="43343" name="rteShptp89c13c22size26color255routev"/>
        <xdr:cNvSpPr/>
      </xdr:nvSpPr>
      <xdr:spPr>
        <a:xfrm>
          <a:off x="433292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89</xdr:col>
      <xdr:colOff>174625</xdr:colOff>
      <xdr:row>28</xdr:row>
      <xdr:rowOff>174625</xdr:rowOff>
    </xdr:from>
    <xdr:to>
      <xdr:col>89</xdr:col>
      <xdr:colOff>301625</xdr:colOff>
      <xdr:row>28</xdr:row>
      <xdr:rowOff>301625</xdr:rowOff>
    </xdr:to>
    <xdr:sp macro="" textlink="">
      <xdr:nvSpPr>
        <xdr:cNvPr id="43345" name="tp89c13c26size10color65535routecb">
          <a:hlinkClick xmlns:r="http://schemas.openxmlformats.org/officeDocument/2006/relationships" r:id="" tooltip="Chris Shaw:&#10;customers prefer to manage as much online as possible"/>
        </xdr:cNvPr>
        <xdr:cNvSpPr/>
      </xdr:nvSpPr>
      <xdr:spPr>
        <a:xfrm>
          <a:off x="43265725" y="14652625"/>
          <a:ext cx="127000" cy="127000"/>
        </a:xfrm>
        <a:prstGeom prst="ellipse">
          <a:avLst/>
        </a:prstGeom>
        <a:solidFill>
          <a:srgbClr val="FFFF00"/>
        </a:solidFill>
        <a:ln w="31750">
          <a:solidFill>
            <a:srgbClr val="94BFFE"/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89</xdr:col>
      <xdr:colOff>238125</xdr:colOff>
      <xdr:row>28</xdr:row>
      <xdr:rowOff>238125</xdr:rowOff>
    </xdr:from>
    <xdr:to>
      <xdr:col>89</xdr:col>
      <xdr:colOff>238125</xdr:colOff>
      <xdr:row>28</xdr:row>
      <xdr:rowOff>238125</xdr:rowOff>
    </xdr:to>
    <xdr:sp macro="" textlink="">
      <xdr:nvSpPr>
        <xdr:cNvPr id="43346" name="rteShptp89c13c26size10color65535routecb"/>
        <xdr:cNvSpPr/>
      </xdr:nvSpPr>
      <xdr:spPr>
        <a:xfrm>
          <a:off x="43329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90</xdr:col>
      <xdr:colOff>73025</xdr:colOff>
      <xdr:row>4</xdr:row>
      <xdr:rowOff>73025</xdr:rowOff>
    </xdr:from>
    <xdr:to>
      <xdr:col>90</xdr:col>
      <xdr:colOff>403225</xdr:colOff>
      <xdr:row>4</xdr:row>
      <xdr:rowOff>403225</xdr:rowOff>
    </xdr:to>
    <xdr:sp macro="" textlink="">
      <xdr:nvSpPr>
        <xdr:cNvPr id="43349" name="tp90c11c22size26color65535routevcb"/>
        <xdr:cNvSpPr/>
      </xdr:nvSpPr>
      <xdr:spPr>
        <a:xfrm>
          <a:off x="4364037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90</xdr:col>
      <xdr:colOff>238125</xdr:colOff>
      <xdr:row>4</xdr:row>
      <xdr:rowOff>238125</xdr:rowOff>
    </xdr:from>
    <xdr:to>
      <xdr:col>90</xdr:col>
      <xdr:colOff>238125</xdr:colOff>
      <xdr:row>4</xdr:row>
      <xdr:rowOff>238125</xdr:rowOff>
    </xdr:to>
    <xdr:sp macro="" textlink="">
      <xdr:nvSpPr>
        <xdr:cNvPr id="43350" name="rteShptp90c11c22size26color65535routevcb"/>
        <xdr:cNvSpPr/>
      </xdr:nvSpPr>
      <xdr:spPr>
        <a:xfrm>
          <a:off x="43805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90</xdr:col>
      <xdr:colOff>73025</xdr:colOff>
      <xdr:row>14</xdr:row>
      <xdr:rowOff>73025</xdr:rowOff>
    </xdr:from>
    <xdr:to>
      <xdr:col>90</xdr:col>
      <xdr:colOff>403225</xdr:colOff>
      <xdr:row>14</xdr:row>
      <xdr:rowOff>403225</xdr:rowOff>
    </xdr:to>
    <xdr:sp macro="" textlink="">
      <xdr:nvSpPr>
        <xdr:cNvPr id="43354" name="tp90c12c22size26color65535routevcb"/>
        <xdr:cNvSpPr/>
      </xdr:nvSpPr>
      <xdr:spPr>
        <a:xfrm>
          <a:off x="43640375" y="78835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90</xdr:col>
      <xdr:colOff>238125</xdr:colOff>
      <xdr:row>14</xdr:row>
      <xdr:rowOff>238125</xdr:rowOff>
    </xdr:from>
    <xdr:to>
      <xdr:col>90</xdr:col>
      <xdr:colOff>238125</xdr:colOff>
      <xdr:row>14</xdr:row>
      <xdr:rowOff>238125</xdr:rowOff>
    </xdr:to>
    <xdr:sp macro="" textlink="">
      <xdr:nvSpPr>
        <xdr:cNvPr id="43355" name="rteShptp90c12c22size26color65535routevcb"/>
        <xdr:cNvSpPr/>
      </xdr:nvSpPr>
      <xdr:spPr>
        <a:xfrm>
          <a:off x="438054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90</xdr:col>
      <xdr:colOff>73025</xdr:colOff>
      <xdr:row>24</xdr:row>
      <xdr:rowOff>73025</xdr:rowOff>
    </xdr:from>
    <xdr:to>
      <xdr:col>90</xdr:col>
      <xdr:colOff>403225</xdr:colOff>
      <xdr:row>24</xdr:row>
      <xdr:rowOff>403225</xdr:rowOff>
    </xdr:to>
    <xdr:sp macro="" textlink="">
      <xdr:nvSpPr>
        <xdr:cNvPr id="43359" name="tp90c13c22size26color65535routevcb"/>
        <xdr:cNvSpPr/>
      </xdr:nvSpPr>
      <xdr:spPr>
        <a:xfrm>
          <a:off x="43640375" y="12646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90</xdr:col>
      <xdr:colOff>238125</xdr:colOff>
      <xdr:row>24</xdr:row>
      <xdr:rowOff>238125</xdr:rowOff>
    </xdr:from>
    <xdr:to>
      <xdr:col>90</xdr:col>
      <xdr:colOff>238125</xdr:colOff>
      <xdr:row>24</xdr:row>
      <xdr:rowOff>238125</xdr:rowOff>
    </xdr:to>
    <xdr:sp macro="" textlink="">
      <xdr:nvSpPr>
        <xdr:cNvPr id="43360" name="rteShptp90c13c22size26color65535routevcb"/>
        <xdr:cNvSpPr/>
      </xdr:nvSpPr>
      <xdr:spPr>
        <a:xfrm>
          <a:off x="438054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73025</xdr:colOff>
      <xdr:row>4</xdr:row>
      <xdr:rowOff>73025</xdr:rowOff>
    </xdr:from>
    <xdr:to>
      <xdr:col>91</xdr:col>
      <xdr:colOff>403225</xdr:colOff>
      <xdr:row>4</xdr:row>
      <xdr:rowOff>403225</xdr:rowOff>
    </xdr:to>
    <xdr:sp macro="" textlink="">
      <xdr:nvSpPr>
        <xdr:cNvPr id="43364" name="tp91c11c22size26color65535routevc"/>
        <xdr:cNvSpPr/>
      </xdr:nvSpPr>
      <xdr:spPr>
        <a:xfrm>
          <a:off x="4411662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238125</xdr:colOff>
      <xdr:row>4</xdr:row>
      <xdr:rowOff>238125</xdr:rowOff>
    </xdr:from>
    <xdr:to>
      <xdr:col>91</xdr:col>
      <xdr:colOff>238125</xdr:colOff>
      <xdr:row>4</xdr:row>
      <xdr:rowOff>238125</xdr:rowOff>
    </xdr:to>
    <xdr:sp macro="" textlink="">
      <xdr:nvSpPr>
        <xdr:cNvPr id="43365" name="rteShptp91c11c22size26color65535routevc"/>
        <xdr:cNvSpPr/>
      </xdr:nvSpPr>
      <xdr:spPr>
        <a:xfrm>
          <a:off x="44281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174625</xdr:colOff>
      <xdr:row>5</xdr:row>
      <xdr:rowOff>174625</xdr:rowOff>
    </xdr:from>
    <xdr:to>
      <xdr:col>91</xdr:col>
      <xdr:colOff>301625</xdr:colOff>
      <xdr:row>5</xdr:row>
      <xdr:rowOff>301625</xdr:rowOff>
    </xdr:to>
    <xdr:sp macro="" textlink="">
      <xdr:nvSpPr>
        <xdr:cNvPr id="43368" name="tp91c11c23size10color255route"/>
        <xdr:cNvSpPr/>
      </xdr:nvSpPr>
      <xdr:spPr>
        <a:xfrm>
          <a:off x="44218225" y="3698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174625</xdr:colOff>
      <xdr:row>6</xdr:row>
      <xdr:rowOff>174625</xdr:rowOff>
    </xdr:from>
    <xdr:to>
      <xdr:col>91</xdr:col>
      <xdr:colOff>301625</xdr:colOff>
      <xdr:row>6</xdr:row>
      <xdr:rowOff>301625</xdr:rowOff>
    </xdr:to>
    <xdr:sp macro="" textlink="">
      <xdr:nvSpPr>
        <xdr:cNvPr id="43369" name="tp91c11c24size10color65535route"/>
        <xdr:cNvSpPr/>
      </xdr:nvSpPr>
      <xdr:spPr>
        <a:xfrm>
          <a:off x="44218225" y="4175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123825</xdr:colOff>
      <xdr:row>8</xdr:row>
      <xdr:rowOff>123825</xdr:rowOff>
    </xdr:from>
    <xdr:to>
      <xdr:col>91</xdr:col>
      <xdr:colOff>352425</xdr:colOff>
      <xdr:row>8</xdr:row>
      <xdr:rowOff>352425</xdr:rowOff>
    </xdr:to>
    <xdr:sp macro="" textlink="">
      <xdr:nvSpPr>
        <xdr:cNvPr id="43370" name="tp91c11c26size18color65280routeb"/>
        <xdr:cNvSpPr/>
      </xdr:nvSpPr>
      <xdr:spPr>
        <a:xfrm>
          <a:off x="44167425" y="507682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238125</xdr:colOff>
      <xdr:row>8</xdr:row>
      <xdr:rowOff>238125</xdr:rowOff>
    </xdr:from>
    <xdr:to>
      <xdr:col>91</xdr:col>
      <xdr:colOff>238125</xdr:colOff>
      <xdr:row>8</xdr:row>
      <xdr:rowOff>238125</xdr:rowOff>
    </xdr:to>
    <xdr:sp macro="" textlink="">
      <xdr:nvSpPr>
        <xdr:cNvPr id="43371" name="rteShptp91c11c26size18color65280routeb"/>
        <xdr:cNvSpPr/>
      </xdr:nvSpPr>
      <xdr:spPr>
        <a:xfrm>
          <a:off x="44281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123825</xdr:colOff>
      <xdr:row>14</xdr:row>
      <xdr:rowOff>123825</xdr:rowOff>
    </xdr:from>
    <xdr:to>
      <xdr:col>91</xdr:col>
      <xdr:colOff>352425</xdr:colOff>
      <xdr:row>14</xdr:row>
      <xdr:rowOff>352425</xdr:rowOff>
    </xdr:to>
    <xdr:sp macro="" textlink="">
      <xdr:nvSpPr>
        <xdr:cNvPr id="43373" name="tp91c12c22size18color255routev"/>
        <xdr:cNvSpPr/>
      </xdr:nvSpPr>
      <xdr:spPr>
        <a:xfrm>
          <a:off x="44167425" y="79343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238125</xdr:colOff>
      <xdr:row>14</xdr:row>
      <xdr:rowOff>238125</xdr:rowOff>
    </xdr:from>
    <xdr:to>
      <xdr:col>91</xdr:col>
      <xdr:colOff>238125</xdr:colOff>
      <xdr:row>14</xdr:row>
      <xdr:rowOff>238125</xdr:rowOff>
    </xdr:to>
    <xdr:sp macro="" textlink="">
      <xdr:nvSpPr>
        <xdr:cNvPr id="43374" name="rteShptp91c12c22size18color255routev"/>
        <xdr:cNvSpPr/>
      </xdr:nvSpPr>
      <xdr:spPr>
        <a:xfrm>
          <a:off x="442817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174625</xdr:colOff>
      <xdr:row>15</xdr:row>
      <xdr:rowOff>174625</xdr:rowOff>
    </xdr:from>
    <xdr:to>
      <xdr:col>91</xdr:col>
      <xdr:colOff>301625</xdr:colOff>
      <xdr:row>15</xdr:row>
      <xdr:rowOff>301625</xdr:rowOff>
    </xdr:to>
    <xdr:sp macro="" textlink="">
      <xdr:nvSpPr>
        <xdr:cNvPr id="43376" name="tp91c12c23size10color255route"/>
        <xdr:cNvSpPr/>
      </xdr:nvSpPr>
      <xdr:spPr>
        <a:xfrm>
          <a:off x="44218225" y="8461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174625</xdr:colOff>
      <xdr:row>16</xdr:row>
      <xdr:rowOff>174625</xdr:rowOff>
    </xdr:from>
    <xdr:to>
      <xdr:col>91</xdr:col>
      <xdr:colOff>301625</xdr:colOff>
      <xdr:row>16</xdr:row>
      <xdr:rowOff>301625</xdr:rowOff>
    </xdr:to>
    <xdr:sp macro="" textlink="">
      <xdr:nvSpPr>
        <xdr:cNvPr id="43377" name="tp91c12c24size10color65535route"/>
        <xdr:cNvSpPr/>
      </xdr:nvSpPr>
      <xdr:spPr>
        <a:xfrm>
          <a:off x="44218225" y="893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123825</xdr:colOff>
      <xdr:row>18</xdr:row>
      <xdr:rowOff>123825</xdr:rowOff>
    </xdr:from>
    <xdr:to>
      <xdr:col>91</xdr:col>
      <xdr:colOff>352425</xdr:colOff>
      <xdr:row>18</xdr:row>
      <xdr:rowOff>352425</xdr:rowOff>
    </xdr:to>
    <xdr:sp macro="" textlink="">
      <xdr:nvSpPr>
        <xdr:cNvPr id="43378" name="tp91c12c26size18color65535routecb"/>
        <xdr:cNvSpPr/>
      </xdr:nvSpPr>
      <xdr:spPr>
        <a:xfrm>
          <a:off x="4416742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238125</xdr:colOff>
      <xdr:row>18</xdr:row>
      <xdr:rowOff>238125</xdr:rowOff>
    </xdr:from>
    <xdr:to>
      <xdr:col>91</xdr:col>
      <xdr:colOff>238125</xdr:colOff>
      <xdr:row>18</xdr:row>
      <xdr:rowOff>238125</xdr:rowOff>
    </xdr:to>
    <xdr:sp macro="" textlink="">
      <xdr:nvSpPr>
        <xdr:cNvPr id="43379" name="rteShptp91c12c26size18color65535routecb"/>
        <xdr:cNvSpPr/>
      </xdr:nvSpPr>
      <xdr:spPr>
        <a:xfrm>
          <a:off x="4428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123825</xdr:colOff>
      <xdr:row>24</xdr:row>
      <xdr:rowOff>123825</xdr:rowOff>
    </xdr:from>
    <xdr:to>
      <xdr:col>91</xdr:col>
      <xdr:colOff>352425</xdr:colOff>
      <xdr:row>24</xdr:row>
      <xdr:rowOff>352425</xdr:rowOff>
    </xdr:to>
    <xdr:sp macro="" textlink="">
      <xdr:nvSpPr>
        <xdr:cNvPr id="43382" name="tp91c13c22size18color65535routev"/>
        <xdr:cNvSpPr/>
      </xdr:nvSpPr>
      <xdr:spPr>
        <a:xfrm>
          <a:off x="44167425" y="1269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238125</xdr:colOff>
      <xdr:row>24</xdr:row>
      <xdr:rowOff>238125</xdr:rowOff>
    </xdr:from>
    <xdr:to>
      <xdr:col>91</xdr:col>
      <xdr:colOff>238125</xdr:colOff>
      <xdr:row>24</xdr:row>
      <xdr:rowOff>238125</xdr:rowOff>
    </xdr:to>
    <xdr:sp macro="" textlink="">
      <xdr:nvSpPr>
        <xdr:cNvPr id="43383" name="rteShptp91c13c22size18color65535routev"/>
        <xdr:cNvSpPr/>
      </xdr:nvSpPr>
      <xdr:spPr>
        <a:xfrm>
          <a:off x="44281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174625</xdr:colOff>
      <xdr:row>25</xdr:row>
      <xdr:rowOff>174625</xdr:rowOff>
    </xdr:from>
    <xdr:to>
      <xdr:col>91</xdr:col>
      <xdr:colOff>301625</xdr:colOff>
      <xdr:row>25</xdr:row>
      <xdr:rowOff>301625</xdr:rowOff>
    </xdr:to>
    <xdr:sp macro="" textlink="">
      <xdr:nvSpPr>
        <xdr:cNvPr id="43385" name="tp91c13c23size10color255route"/>
        <xdr:cNvSpPr/>
      </xdr:nvSpPr>
      <xdr:spPr>
        <a:xfrm>
          <a:off x="44218225" y="13223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174625</xdr:colOff>
      <xdr:row>26</xdr:row>
      <xdr:rowOff>174625</xdr:rowOff>
    </xdr:from>
    <xdr:to>
      <xdr:col>91</xdr:col>
      <xdr:colOff>301625</xdr:colOff>
      <xdr:row>26</xdr:row>
      <xdr:rowOff>301625</xdr:rowOff>
    </xdr:to>
    <xdr:sp macro="" textlink="">
      <xdr:nvSpPr>
        <xdr:cNvPr id="43386" name="tp91c13c24size10color65535route"/>
        <xdr:cNvSpPr/>
      </xdr:nvSpPr>
      <xdr:spPr>
        <a:xfrm>
          <a:off x="44218225" y="13700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123825</xdr:colOff>
      <xdr:row>28</xdr:row>
      <xdr:rowOff>123825</xdr:rowOff>
    </xdr:from>
    <xdr:to>
      <xdr:col>91</xdr:col>
      <xdr:colOff>352425</xdr:colOff>
      <xdr:row>28</xdr:row>
      <xdr:rowOff>352425</xdr:rowOff>
    </xdr:to>
    <xdr:sp macro="" textlink="">
      <xdr:nvSpPr>
        <xdr:cNvPr id="43387" name="tp91c13c26size18color65535routecb"/>
        <xdr:cNvSpPr/>
      </xdr:nvSpPr>
      <xdr:spPr>
        <a:xfrm>
          <a:off x="44167425" y="14601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91</xdr:col>
      <xdr:colOff>238125</xdr:colOff>
      <xdr:row>28</xdr:row>
      <xdr:rowOff>238125</xdr:rowOff>
    </xdr:from>
    <xdr:to>
      <xdr:col>91</xdr:col>
      <xdr:colOff>238125</xdr:colOff>
      <xdr:row>28</xdr:row>
      <xdr:rowOff>238125</xdr:rowOff>
    </xdr:to>
    <xdr:sp macro="" textlink="">
      <xdr:nvSpPr>
        <xdr:cNvPr id="43388" name="rteShptp91c13c26size18color65535routecb"/>
        <xdr:cNvSpPr/>
      </xdr:nvSpPr>
      <xdr:spPr>
        <a:xfrm>
          <a:off x="44281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73025</xdr:colOff>
      <xdr:row>4</xdr:row>
      <xdr:rowOff>73025</xdr:rowOff>
    </xdr:from>
    <xdr:to>
      <xdr:col>92</xdr:col>
      <xdr:colOff>403225</xdr:colOff>
      <xdr:row>4</xdr:row>
      <xdr:rowOff>403225</xdr:rowOff>
    </xdr:to>
    <xdr:sp macro="" textlink="">
      <xdr:nvSpPr>
        <xdr:cNvPr id="43391" name="tp92c11c22size26color65280routevcb"/>
        <xdr:cNvSpPr/>
      </xdr:nvSpPr>
      <xdr:spPr>
        <a:xfrm>
          <a:off x="44592875" y="312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238125</xdr:colOff>
      <xdr:row>4</xdr:row>
      <xdr:rowOff>238125</xdr:rowOff>
    </xdr:from>
    <xdr:to>
      <xdr:col>92</xdr:col>
      <xdr:colOff>238125</xdr:colOff>
      <xdr:row>4</xdr:row>
      <xdr:rowOff>238125</xdr:rowOff>
    </xdr:to>
    <xdr:sp macro="" textlink="">
      <xdr:nvSpPr>
        <xdr:cNvPr id="43392" name="rteShptp92c11c22size26color65280routevcb"/>
        <xdr:cNvSpPr/>
      </xdr:nvSpPr>
      <xdr:spPr>
        <a:xfrm>
          <a:off x="44757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123825</xdr:colOff>
      <xdr:row>5</xdr:row>
      <xdr:rowOff>123825</xdr:rowOff>
    </xdr:from>
    <xdr:to>
      <xdr:col>92</xdr:col>
      <xdr:colOff>352425</xdr:colOff>
      <xdr:row>5</xdr:row>
      <xdr:rowOff>352425</xdr:rowOff>
    </xdr:to>
    <xdr:sp macro="" textlink="">
      <xdr:nvSpPr>
        <xdr:cNvPr id="43396" name="tp92c11c23size18color65280route"/>
        <xdr:cNvSpPr/>
      </xdr:nvSpPr>
      <xdr:spPr>
        <a:xfrm>
          <a:off x="44643675" y="3648075"/>
          <a:ext cx="228600" cy="2286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73025</xdr:colOff>
      <xdr:row>14</xdr:row>
      <xdr:rowOff>73025</xdr:rowOff>
    </xdr:from>
    <xdr:to>
      <xdr:col>92</xdr:col>
      <xdr:colOff>403225</xdr:colOff>
      <xdr:row>14</xdr:row>
      <xdr:rowOff>403225</xdr:rowOff>
    </xdr:to>
    <xdr:sp macro="" textlink="">
      <xdr:nvSpPr>
        <xdr:cNvPr id="43397" name="tp92c12c22size26color255routevc"/>
        <xdr:cNvSpPr/>
      </xdr:nvSpPr>
      <xdr:spPr>
        <a:xfrm>
          <a:off x="4459287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238125</xdr:colOff>
      <xdr:row>14</xdr:row>
      <xdr:rowOff>238125</xdr:rowOff>
    </xdr:from>
    <xdr:to>
      <xdr:col>92</xdr:col>
      <xdr:colOff>238125</xdr:colOff>
      <xdr:row>14</xdr:row>
      <xdr:rowOff>238125</xdr:rowOff>
    </xdr:to>
    <xdr:sp macro="" textlink="">
      <xdr:nvSpPr>
        <xdr:cNvPr id="43398" name="rteShptp92c12c22size26color255routevc"/>
        <xdr:cNvSpPr/>
      </xdr:nvSpPr>
      <xdr:spPr>
        <a:xfrm>
          <a:off x="447579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174625</xdr:colOff>
      <xdr:row>15</xdr:row>
      <xdr:rowOff>174625</xdr:rowOff>
    </xdr:from>
    <xdr:to>
      <xdr:col>92</xdr:col>
      <xdr:colOff>301625</xdr:colOff>
      <xdr:row>15</xdr:row>
      <xdr:rowOff>301625</xdr:rowOff>
    </xdr:to>
    <xdr:sp macro="" textlink="">
      <xdr:nvSpPr>
        <xdr:cNvPr id="43401" name="tp92c12c23size10color255route"/>
        <xdr:cNvSpPr/>
      </xdr:nvSpPr>
      <xdr:spPr>
        <a:xfrm>
          <a:off x="44694475" y="8461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238125</xdr:colOff>
      <xdr:row>18</xdr:row>
      <xdr:rowOff>238125</xdr:rowOff>
    </xdr:from>
    <xdr:to>
      <xdr:col>92</xdr:col>
      <xdr:colOff>238125</xdr:colOff>
      <xdr:row>18</xdr:row>
      <xdr:rowOff>238125</xdr:rowOff>
    </xdr:to>
    <xdr:sp macro="" textlink="">
      <xdr:nvSpPr>
        <xdr:cNvPr id="43402" name="rteShptp92c12c26size0color0routeb"/>
        <xdr:cNvSpPr/>
      </xdr:nvSpPr>
      <xdr:spPr>
        <a:xfrm>
          <a:off x="4475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73025</xdr:colOff>
      <xdr:row>24</xdr:row>
      <xdr:rowOff>73025</xdr:rowOff>
    </xdr:from>
    <xdr:to>
      <xdr:col>92</xdr:col>
      <xdr:colOff>403225</xdr:colOff>
      <xdr:row>24</xdr:row>
      <xdr:rowOff>403225</xdr:rowOff>
    </xdr:to>
    <xdr:sp macro="" textlink="">
      <xdr:nvSpPr>
        <xdr:cNvPr id="43404" name="tp92c13c22size26color255routevc"/>
        <xdr:cNvSpPr/>
      </xdr:nvSpPr>
      <xdr:spPr>
        <a:xfrm>
          <a:off x="44592875" y="12646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238125</xdr:colOff>
      <xdr:row>24</xdr:row>
      <xdr:rowOff>238125</xdr:rowOff>
    </xdr:from>
    <xdr:to>
      <xdr:col>92</xdr:col>
      <xdr:colOff>238125</xdr:colOff>
      <xdr:row>24</xdr:row>
      <xdr:rowOff>238125</xdr:rowOff>
    </xdr:to>
    <xdr:sp macro="" textlink="">
      <xdr:nvSpPr>
        <xdr:cNvPr id="43405" name="rteShptp92c13c22size26color255routevc"/>
        <xdr:cNvSpPr/>
      </xdr:nvSpPr>
      <xdr:spPr>
        <a:xfrm>
          <a:off x="447579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174625</xdr:colOff>
      <xdr:row>25</xdr:row>
      <xdr:rowOff>174625</xdr:rowOff>
    </xdr:from>
    <xdr:to>
      <xdr:col>92</xdr:col>
      <xdr:colOff>301625</xdr:colOff>
      <xdr:row>25</xdr:row>
      <xdr:rowOff>301625</xdr:rowOff>
    </xdr:to>
    <xdr:sp macro="" textlink="">
      <xdr:nvSpPr>
        <xdr:cNvPr id="43408" name="tp92c13c23size10color255route"/>
        <xdr:cNvSpPr/>
      </xdr:nvSpPr>
      <xdr:spPr>
        <a:xfrm>
          <a:off x="44694475" y="13223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92</xdr:col>
      <xdr:colOff>238125</xdr:colOff>
      <xdr:row>28</xdr:row>
      <xdr:rowOff>238125</xdr:rowOff>
    </xdr:from>
    <xdr:to>
      <xdr:col>92</xdr:col>
      <xdr:colOff>238125</xdr:colOff>
      <xdr:row>28</xdr:row>
      <xdr:rowOff>238125</xdr:rowOff>
    </xdr:to>
    <xdr:sp macro="" textlink="">
      <xdr:nvSpPr>
        <xdr:cNvPr id="43409" name="rteShptp92c13c26size0color0routeb"/>
        <xdr:cNvSpPr/>
      </xdr:nvSpPr>
      <xdr:spPr>
        <a:xfrm>
          <a:off x="44757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238125</xdr:colOff>
      <xdr:row>4</xdr:row>
      <xdr:rowOff>238125</xdr:rowOff>
    </xdr:from>
    <xdr:to>
      <xdr:col>93</xdr:col>
      <xdr:colOff>238125</xdr:colOff>
      <xdr:row>4</xdr:row>
      <xdr:rowOff>238125</xdr:rowOff>
    </xdr:to>
    <xdr:sp macro="" textlink="">
      <xdr:nvSpPr>
        <xdr:cNvPr id="43411" name="rteShptp93c11c22size0color0routec"/>
        <xdr:cNvSpPr/>
      </xdr:nvSpPr>
      <xdr:spPr>
        <a:xfrm>
          <a:off x="45234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174625</xdr:colOff>
      <xdr:row>7</xdr:row>
      <xdr:rowOff>174625</xdr:rowOff>
    </xdr:from>
    <xdr:to>
      <xdr:col>93</xdr:col>
      <xdr:colOff>301625</xdr:colOff>
      <xdr:row>7</xdr:row>
      <xdr:rowOff>301625</xdr:rowOff>
    </xdr:to>
    <xdr:sp macro="" textlink="">
      <xdr:nvSpPr>
        <xdr:cNvPr id="43413" name="tp93c11c25size10color65280route"/>
        <xdr:cNvSpPr/>
      </xdr:nvSpPr>
      <xdr:spPr>
        <a:xfrm>
          <a:off x="45170725" y="46513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123825</xdr:colOff>
      <xdr:row>8</xdr:row>
      <xdr:rowOff>123825</xdr:rowOff>
    </xdr:from>
    <xdr:to>
      <xdr:col>93</xdr:col>
      <xdr:colOff>352425</xdr:colOff>
      <xdr:row>8</xdr:row>
      <xdr:rowOff>352425</xdr:rowOff>
    </xdr:to>
    <xdr:sp macro="" textlink="">
      <xdr:nvSpPr>
        <xdr:cNvPr id="43414" name="tp93c11c26size18color65535routevb"/>
        <xdr:cNvSpPr/>
      </xdr:nvSpPr>
      <xdr:spPr>
        <a:xfrm>
          <a:off x="45119925" y="507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238125</xdr:colOff>
      <xdr:row>8</xdr:row>
      <xdr:rowOff>238125</xdr:rowOff>
    </xdr:from>
    <xdr:to>
      <xdr:col>93</xdr:col>
      <xdr:colOff>238125</xdr:colOff>
      <xdr:row>8</xdr:row>
      <xdr:rowOff>238125</xdr:rowOff>
    </xdr:to>
    <xdr:sp macro="" textlink="">
      <xdr:nvSpPr>
        <xdr:cNvPr id="43415" name="rteShptp93c11c26size18color65535routevb"/>
        <xdr:cNvSpPr/>
      </xdr:nvSpPr>
      <xdr:spPr>
        <a:xfrm>
          <a:off x="452342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73025</xdr:colOff>
      <xdr:row>13</xdr:row>
      <xdr:rowOff>73025</xdr:rowOff>
    </xdr:from>
    <xdr:to>
      <xdr:col>93</xdr:col>
      <xdr:colOff>403225</xdr:colOff>
      <xdr:row>13</xdr:row>
      <xdr:rowOff>403225</xdr:rowOff>
    </xdr:to>
    <xdr:sp macro="" textlink="">
      <xdr:nvSpPr>
        <xdr:cNvPr id="43418" name="tp93c12c21size26color65535routevc"/>
        <xdr:cNvSpPr/>
      </xdr:nvSpPr>
      <xdr:spPr>
        <a:xfrm>
          <a:off x="45069125" y="7407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238125</xdr:colOff>
      <xdr:row>13</xdr:row>
      <xdr:rowOff>238125</xdr:rowOff>
    </xdr:from>
    <xdr:to>
      <xdr:col>93</xdr:col>
      <xdr:colOff>238125</xdr:colOff>
      <xdr:row>13</xdr:row>
      <xdr:rowOff>238125</xdr:rowOff>
    </xdr:to>
    <xdr:sp macro="" textlink="">
      <xdr:nvSpPr>
        <xdr:cNvPr id="43419" name="rteShptp93c12c21size26color65535routevc"/>
        <xdr:cNvSpPr/>
      </xdr:nvSpPr>
      <xdr:spPr>
        <a:xfrm>
          <a:off x="452342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174625</xdr:colOff>
      <xdr:row>14</xdr:row>
      <xdr:rowOff>174625</xdr:rowOff>
    </xdr:from>
    <xdr:to>
      <xdr:col>93</xdr:col>
      <xdr:colOff>301625</xdr:colOff>
      <xdr:row>14</xdr:row>
      <xdr:rowOff>301625</xdr:rowOff>
    </xdr:to>
    <xdr:sp macro="" textlink="">
      <xdr:nvSpPr>
        <xdr:cNvPr id="43422" name="tp93c12c22size10color65280route"/>
        <xdr:cNvSpPr/>
      </xdr:nvSpPr>
      <xdr:spPr>
        <a:xfrm>
          <a:off x="45170725" y="7985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174625</xdr:colOff>
      <xdr:row>16</xdr:row>
      <xdr:rowOff>174625</xdr:rowOff>
    </xdr:from>
    <xdr:to>
      <xdr:col>93</xdr:col>
      <xdr:colOff>301625</xdr:colOff>
      <xdr:row>16</xdr:row>
      <xdr:rowOff>301625</xdr:rowOff>
    </xdr:to>
    <xdr:sp macro="" textlink="">
      <xdr:nvSpPr>
        <xdr:cNvPr id="43423" name="tp93c12c24size10color65535route"/>
        <xdr:cNvSpPr/>
      </xdr:nvSpPr>
      <xdr:spPr>
        <a:xfrm>
          <a:off x="45170725" y="893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174625</xdr:colOff>
      <xdr:row>17</xdr:row>
      <xdr:rowOff>174625</xdr:rowOff>
    </xdr:from>
    <xdr:to>
      <xdr:col>93</xdr:col>
      <xdr:colOff>301625</xdr:colOff>
      <xdr:row>17</xdr:row>
      <xdr:rowOff>301625</xdr:rowOff>
    </xdr:to>
    <xdr:sp macro="" textlink="">
      <xdr:nvSpPr>
        <xdr:cNvPr id="43424" name="tp93c12c25size10color65535route"/>
        <xdr:cNvSpPr/>
      </xdr:nvSpPr>
      <xdr:spPr>
        <a:xfrm>
          <a:off x="45170725" y="94138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123825</xdr:colOff>
      <xdr:row>18</xdr:row>
      <xdr:rowOff>123825</xdr:rowOff>
    </xdr:from>
    <xdr:to>
      <xdr:col>93</xdr:col>
      <xdr:colOff>352425</xdr:colOff>
      <xdr:row>18</xdr:row>
      <xdr:rowOff>352425</xdr:rowOff>
    </xdr:to>
    <xdr:sp macro="" textlink="">
      <xdr:nvSpPr>
        <xdr:cNvPr id="43425" name="tp93c12c26size18color65535routeb"/>
        <xdr:cNvSpPr/>
      </xdr:nvSpPr>
      <xdr:spPr>
        <a:xfrm>
          <a:off x="4511992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238125</xdr:colOff>
      <xdr:row>18</xdr:row>
      <xdr:rowOff>238125</xdr:rowOff>
    </xdr:from>
    <xdr:to>
      <xdr:col>93</xdr:col>
      <xdr:colOff>238125</xdr:colOff>
      <xdr:row>18</xdr:row>
      <xdr:rowOff>238125</xdr:rowOff>
    </xdr:to>
    <xdr:sp macro="" textlink="">
      <xdr:nvSpPr>
        <xdr:cNvPr id="43426" name="rteShptp93c12c26size18color65535routeb"/>
        <xdr:cNvSpPr/>
      </xdr:nvSpPr>
      <xdr:spPr>
        <a:xfrm>
          <a:off x="4523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73025</xdr:colOff>
      <xdr:row>23</xdr:row>
      <xdr:rowOff>73025</xdr:rowOff>
    </xdr:from>
    <xdr:to>
      <xdr:col>93</xdr:col>
      <xdr:colOff>403225</xdr:colOff>
      <xdr:row>23</xdr:row>
      <xdr:rowOff>403225</xdr:rowOff>
    </xdr:to>
    <xdr:sp macro="" textlink="">
      <xdr:nvSpPr>
        <xdr:cNvPr id="43428" name="tp93c13c21size26color65280routevcb"/>
        <xdr:cNvSpPr/>
      </xdr:nvSpPr>
      <xdr:spPr>
        <a:xfrm>
          <a:off x="45069125" y="1216977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238125</xdr:colOff>
      <xdr:row>23</xdr:row>
      <xdr:rowOff>238125</xdr:rowOff>
    </xdr:from>
    <xdr:to>
      <xdr:col>93</xdr:col>
      <xdr:colOff>238125</xdr:colOff>
      <xdr:row>23</xdr:row>
      <xdr:rowOff>238125</xdr:rowOff>
    </xdr:to>
    <xdr:sp macro="" textlink="">
      <xdr:nvSpPr>
        <xdr:cNvPr id="43429" name="rteShptp93c13c21size26color65280routevcb"/>
        <xdr:cNvSpPr/>
      </xdr:nvSpPr>
      <xdr:spPr>
        <a:xfrm>
          <a:off x="452342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174625</xdr:colOff>
      <xdr:row>24</xdr:row>
      <xdr:rowOff>174625</xdr:rowOff>
    </xdr:from>
    <xdr:to>
      <xdr:col>93</xdr:col>
      <xdr:colOff>301625</xdr:colOff>
      <xdr:row>24</xdr:row>
      <xdr:rowOff>301625</xdr:rowOff>
    </xdr:to>
    <xdr:sp macro="" textlink="">
      <xdr:nvSpPr>
        <xdr:cNvPr id="43433" name="tp93c13c22size10color65535route"/>
        <xdr:cNvSpPr/>
      </xdr:nvSpPr>
      <xdr:spPr>
        <a:xfrm>
          <a:off x="45170725" y="1274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174625</xdr:colOff>
      <xdr:row>27</xdr:row>
      <xdr:rowOff>174625</xdr:rowOff>
    </xdr:from>
    <xdr:to>
      <xdr:col>93</xdr:col>
      <xdr:colOff>301625</xdr:colOff>
      <xdr:row>27</xdr:row>
      <xdr:rowOff>301625</xdr:rowOff>
    </xdr:to>
    <xdr:sp macro="" textlink="">
      <xdr:nvSpPr>
        <xdr:cNvPr id="43434" name="tp93c13c25size10color65535route"/>
        <xdr:cNvSpPr/>
      </xdr:nvSpPr>
      <xdr:spPr>
        <a:xfrm>
          <a:off x="45170725" y="141763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238125</xdr:colOff>
      <xdr:row>3</xdr:row>
      <xdr:rowOff>238125</xdr:rowOff>
    </xdr:from>
    <xdr:to>
      <xdr:col>94</xdr:col>
      <xdr:colOff>238125</xdr:colOff>
      <xdr:row>3</xdr:row>
      <xdr:rowOff>238125</xdr:rowOff>
    </xdr:to>
    <xdr:sp macro="" textlink="">
      <xdr:nvSpPr>
        <xdr:cNvPr id="43435" name="rteShptp94c11c21size0color0routevcb"/>
        <xdr:cNvSpPr/>
      </xdr:nvSpPr>
      <xdr:spPr>
        <a:xfrm>
          <a:off x="4571047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73025</xdr:colOff>
      <xdr:row>13</xdr:row>
      <xdr:rowOff>73025</xdr:rowOff>
    </xdr:from>
    <xdr:to>
      <xdr:col>94</xdr:col>
      <xdr:colOff>403225</xdr:colOff>
      <xdr:row>13</xdr:row>
      <xdr:rowOff>403225</xdr:rowOff>
    </xdr:to>
    <xdr:sp macro="" textlink="">
      <xdr:nvSpPr>
        <xdr:cNvPr id="43439" name="tp94c12c21size26color65535routevc"/>
        <xdr:cNvSpPr/>
      </xdr:nvSpPr>
      <xdr:spPr>
        <a:xfrm>
          <a:off x="45545375" y="7407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238125</xdr:colOff>
      <xdr:row>13</xdr:row>
      <xdr:rowOff>238125</xdr:rowOff>
    </xdr:from>
    <xdr:to>
      <xdr:col>94</xdr:col>
      <xdr:colOff>238125</xdr:colOff>
      <xdr:row>13</xdr:row>
      <xdr:rowOff>238125</xdr:rowOff>
    </xdr:to>
    <xdr:sp macro="" textlink="">
      <xdr:nvSpPr>
        <xdr:cNvPr id="43440" name="rteShptp94c12c21size26color65535routevc"/>
        <xdr:cNvSpPr/>
      </xdr:nvSpPr>
      <xdr:spPr>
        <a:xfrm>
          <a:off x="4571047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174625</xdr:colOff>
      <xdr:row>16</xdr:row>
      <xdr:rowOff>174625</xdr:rowOff>
    </xdr:from>
    <xdr:to>
      <xdr:col>94</xdr:col>
      <xdr:colOff>301625</xdr:colOff>
      <xdr:row>16</xdr:row>
      <xdr:rowOff>301625</xdr:rowOff>
    </xdr:to>
    <xdr:sp macro="" textlink="">
      <xdr:nvSpPr>
        <xdr:cNvPr id="43443" name="tp94c12c24size10color65535route"/>
        <xdr:cNvSpPr/>
      </xdr:nvSpPr>
      <xdr:spPr>
        <a:xfrm>
          <a:off x="45646975" y="893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174625</xdr:colOff>
      <xdr:row>17</xdr:row>
      <xdr:rowOff>174625</xdr:rowOff>
    </xdr:from>
    <xdr:to>
      <xdr:col>94</xdr:col>
      <xdr:colOff>301625</xdr:colOff>
      <xdr:row>17</xdr:row>
      <xdr:rowOff>301625</xdr:rowOff>
    </xdr:to>
    <xdr:sp macro="" textlink="">
      <xdr:nvSpPr>
        <xdr:cNvPr id="43444" name="tp94c12c25size10color65535route"/>
        <xdr:cNvSpPr/>
      </xdr:nvSpPr>
      <xdr:spPr>
        <a:xfrm>
          <a:off x="45646975" y="94138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123825</xdr:colOff>
      <xdr:row>18</xdr:row>
      <xdr:rowOff>123825</xdr:rowOff>
    </xdr:from>
    <xdr:to>
      <xdr:col>94</xdr:col>
      <xdr:colOff>352425</xdr:colOff>
      <xdr:row>18</xdr:row>
      <xdr:rowOff>352425</xdr:rowOff>
    </xdr:to>
    <xdr:sp macro="" textlink="">
      <xdr:nvSpPr>
        <xdr:cNvPr id="43445" name="tp94c12c26size18color65535routeb"/>
        <xdr:cNvSpPr/>
      </xdr:nvSpPr>
      <xdr:spPr>
        <a:xfrm>
          <a:off x="45596175" y="98393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238125</xdr:colOff>
      <xdr:row>18</xdr:row>
      <xdr:rowOff>238125</xdr:rowOff>
    </xdr:from>
    <xdr:to>
      <xdr:col>94</xdr:col>
      <xdr:colOff>238125</xdr:colOff>
      <xdr:row>18</xdr:row>
      <xdr:rowOff>238125</xdr:rowOff>
    </xdr:to>
    <xdr:sp macro="" textlink="">
      <xdr:nvSpPr>
        <xdr:cNvPr id="43446" name="rteShptp94c12c26size18color65535routeb"/>
        <xdr:cNvSpPr/>
      </xdr:nvSpPr>
      <xdr:spPr>
        <a:xfrm>
          <a:off x="45710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238125</xdr:colOff>
      <xdr:row>23</xdr:row>
      <xdr:rowOff>238125</xdr:rowOff>
    </xdr:from>
    <xdr:to>
      <xdr:col>94</xdr:col>
      <xdr:colOff>238125</xdr:colOff>
      <xdr:row>23</xdr:row>
      <xdr:rowOff>238125</xdr:rowOff>
    </xdr:to>
    <xdr:sp macro="" textlink="">
      <xdr:nvSpPr>
        <xdr:cNvPr id="43448" name="rteShptp94c13c21size0color0routecb"/>
        <xdr:cNvSpPr/>
      </xdr:nvSpPr>
      <xdr:spPr>
        <a:xfrm>
          <a:off x="4571047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174625</xdr:colOff>
      <xdr:row>26</xdr:row>
      <xdr:rowOff>174625</xdr:rowOff>
    </xdr:from>
    <xdr:to>
      <xdr:col>94</xdr:col>
      <xdr:colOff>301625</xdr:colOff>
      <xdr:row>26</xdr:row>
      <xdr:rowOff>301625</xdr:rowOff>
    </xdr:to>
    <xdr:sp macro="" textlink="">
      <xdr:nvSpPr>
        <xdr:cNvPr id="43451" name="tp94c13c24size10color65535route"/>
        <xdr:cNvSpPr/>
      </xdr:nvSpPr>
      <xdr:spPr>
        <a:xfrm>
          <a:off x="45646975" y="13700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73025</xdr:colOff>
      <xdr:row>28</xdr:row>
      <xdr:rowOff>73025</xdr:rowOff>
    </xdr:from>
    <xdr:to>
      <xdr:col>94</xdr:col>
      <xdr:colOff>403225</xdr:colOff>
      <xdr:row>28</xdr:row>
      <xdr:rowOff>403225</xdr:rowOff>
    </xdr:to>
    <xdr:sp macro="" textlink="">
      <xdr:nvSpPr>
        <xdr:cNvPr id="43452" name="tp94c13c26size26color65535routev"/>
        <xdr:cNvSpPr/>
      </xdr:nvSpPr>
      <xdr:spPr>
        <a:xfrm>
          <a:off x="45545375" y="1455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238125</xdr:colOff>
      <xdr:row>28</xdr:row>
      <xdr:rowOff>238125</xdr:rowOff>
    </xdr:from>
    <xdr:to>
      <xdr:col>94</xdr:col>
      <xdr:colOff>238125</xdr:colOff>
      <xdr:row>28</xdr:row>
      <xdr:rowOff>238125</xdr:rowOff>
    </xdr:to>
    <xdr:sp macro="" textlink="">
      <xdr:nvSpPr>
        <xdr:cNvPr id="43453" name="rteShptp94c13c26size26color65535routev"/>
        <xdr:cNvSpPr/>
      </xdr:nvSpPr>
      <xdr:spPr>
        <a:xfrm>
          <a:off x="45710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95</xdr:col>
      <xdr:colOff>238125</xdr:colOff>
      <xdr:row>3</xdr:row>
      <xdr:rowOff>238125</xdr:rowOff>
    </xdr:from>
    <xdr:to>
      <xdr:col>95</xdr:col>
      <xdr:colOff>238125</xdr:colOff>
      <xdr:row>3</xdr:row>
      <xdr:rowOff>238125</xdr:rowOff>
    </xdr:to>
    <xdr:sp macro="" textlink="">
      <xdr:nvSpPr>
        <xdr:cNvPr id="43455" name="rteShptp95c11c21size0color0routevcb"/>
        <xdr:cNvSpPr/>
      </xdr:nvSpPr>
      <xdr:spPr>
        <a:xfrm>
          <a:off x="46186725" y="2809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95</xdr:col>
      <xdr:colOff>73025</xdr:colOff>
      <xdr:row>13</xdr:row>
      <xdr:rowOff>73025</xdr:rowOff>
    </xdr:from>
    <xdr:to>
      <xdr:col>95</xdr:col>
      <xdr:colOff>403225</xdr:colOff>
      <xdr:row>13</xdr:row>
      <xdr:rowOff>403225</xdr:rowOff>
    </xdr:to>
    <xdr:sp macro="" textlink="">
      <xdr:nvSpPr>
        <xdr:cNvPr id="43459" name="tp95c12c21size26color65535routevcb"/>
        <xdr:cNvSpPr/>
      </xdr:nvSpPr>
      <xdr:spPr>
        <a:xfrm>
          <a:off x="46021625" y="7407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95</xdr:col>
      <xdr:colOff>238125</xdr:colOff>
      <xdr:row>13</xdr:row>
      <xdr:rowOff>238125</xdr:rowOff>
    </xdr:from>
    <xdr:to>
      <xdr:col>95</xdr:col>
      <xdr:colOff>238125</xdr:colOff>
      <xdr:row>13</xdr:row>
      <xdr:rowOff>238125</xdr:rowOff>
    </xdr:to>
    <xdr:sp macro="" textlink="">
      <xdr:nvSpPr>
        <xdr:cNvPr id="43460" name="rteShptp95c12c21size26color65535routevcb"/>
        <xdr:cNvSpPr/>
      </xdr:nvSpPr>
      <xdr:spPr>
        <a:xfrm>
          <a:off x="46186725" y="7572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95</xdr:col>
      <xdr:colOff>73025</xdr:colOff>
      <xdr:row>23</xdr:row>
      <xdr:rowOff>73025</xdr:rowOff>
    </xdr:from>
    <xdr:to>
      <xdr:col>95</xdr:col>
      <xdr:colOff>403225</xdr:colOff>
      <xdr:row>23</xdr:row>
      <xdr:rowOff>403225</xdr:rowOff>
    </xdr:to>
    <xdr:sp macro="" textlink="">
      <xdr:nvSpPr>
        <xdr:cNvPr id="43464" name="tp95c13c21size26color65535routevcb"/>
        <xdr:cNvSpPr/>
      </xdr:nvSpPr>
      <xdr:spPr>
        <a:xfrm>
          <a:off x="46021625" y="121697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95</xdr:col>
      <xdr:colOff>238125</xdr:colOff>
      <xdr:row>23</xdr:row>
      <xdr:rowOff>238125</xdr:rowOff>
    </xdr:from>
    <xdr:to>
      <xdr:col>95</xdr:col>
      <xdr:colOff>238125</xdr:colOff>
      <xdr:row>23</xdr:row>
      <xdr:rowOff>238125</xdr:rowOff>
    </xdr:to>
    <xdr:sp macro="" textlink="">
      <xdr:nvSpPr>
        <xdr:cNvPr id="43465" name="rteShptp95c13c21size26color65535routevcb"/>
        <xdr:cNvSpPr/>
      </xdr:nvSpPr>
      <xdr:spPr>
        <a:xfrm>
          <a:off x="46186725" y="1233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238125</xdr:colOff>
      <xdr:row>4</xdr:row>
      <xdr:rowOff>238125</xdr:rowOff>
    </xdr:from>
    <xdr:to>
      <xdr:col>96</xdr:col>
      <xdr:colOff>238125</xdr:colOff>
      <xdr:row>4</xdr:row>
      <xdr:rowOff>238125</xdr:rowOff>
    </xdr:to>
    <xdr:sp macro="" textlink="">
      <xdr:nvSpPr>
        <xdr:cNvPr id="43469" name="rteShptp96c11c22size0color0routevc"/>
        <xdr:cNvSpPr/>
      </xdr:nvSpPr>
      <xdr:spPr>
        <a:xfrm>
          <a:off x="4666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238125</xdr:colOff>
      <xdr:row>8</xdr:row>
      <xdr:rowOff>238125</xdr:rowOff>
    </xdr:from>
    <xdr:to>
      <xdr:col>96</xdr:col>
      <xdr:colOff>238125</xdr:colOff>
      <xdr:row>8</xdr:row>
      <xdr:rowOff>238125</xdr:rowOff>
    </xdr:to>
    <xdr:sp macro="" textlink="">
      <xdr:nvSpPr>
        <xdr:cNvPr id="43472" name="rteShptp96c11c26size0color0routeb"/>
        <xdr:cNvSpPr/>
      </xdr:nvSpPr>
      <xdr:spPr>
        <a:xfrm>
          <a:off x="46662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174625</xdr:colOff>
      <xdr:row>13</xdr:row>
      <xdr:rowOff>174625</xdr:rowOff>
    </xdr:from>
    <xdr:to>
      <xdr:col>96</xdr:col>
      <xdr:colOff>301625</xdr:colOff>
      <xdr:row>13</xdr:row>
      <xdr:rowOff>301625</xdr:rowOff>
    </xdr:to>
    <xdr:sp macro="" textlink="">
      <xdr:nvSpPr>
        <xdr:cNvPr id="43474" name="tp96c12c21size10color65535route"/>
        <xdr:cNvSpPr/>
      </xdr:nvSpPr>
      <xdr:spPr>
        <a:xfrm>
          <a:off x="46599475" y="75088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174625</xdr:colOff>
      <xdr:row>14</xdr:row>
      <xdr:rowOff>174625</xdr:rowOff>
    </xdr:from>
    <xdr:to>
      <xdr:col>96</xdr:col>
      <xdr:colOff>301625</xdr:colOff>
      <xdr:row>14</xdr:row>
      <xdr:rowOff>301625</xdr:rowOff>
    </xdr:to>
    <xdr:sp macro="" textlink="">
      <xdr:nvSpPr>
        <xdr:cNvPr id="43475" name="tp96c12c22size10color255route"/>
        <xdr:cNvSpPr/>
      </xdr:nvSpPr>
      <xdr:spPr>
        <a:xfrm>
          <a:off x="46599475" y="798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174625</xdr:colOff>
      <xdr:row>16</xdr:row>
      <xdr:rowOff>174625</xdr:rowOff>
    </xdr:from>
    <xdr:to>
      <xdr:col>96</xdr:col>
      <xdr:colOff>301625</xdr:colOff>
      <xdr:row>16</xdr:row>
      <xdr:rowOff>301625</xdr:rowOff>
    </xdr:to>
    <xdr:sp macro="" textlink="">
      <xdr:nvSpPr>
        <xdr:cNvPr id="43476" name="tp96c12c24size10color65280route"/>
        <xdr:cNvSpPr/>
      </xdr:nvSpPr>
      <xdr:spPr>
        <a:xfrm>
          <a:off x="46599475" y="89376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73025</xdr:colOff>
      <xdr:row>18</xdr:row>
      <xdr:rowOff>73025</xdr:rowOff>
    </xdr:from>
    <xdr:to>
      <xdr:col>96</xdr:col>
      <xdr:colOff>403225</xdr:colOff>
      <xdr:row>18</xdr:row>
      <xdr:rowOff>403225</xdr:rowOff>
    </xdr:to>
    <xdr:sp macro="" textlink="">
      <xdr:nvSpPr>
        <xdr:cNvPr id="43477" name="tp96c12c26size26color65280routevcb"/>
        <xdr:cNvSpPr/>
      </xdr:nvSpPr>
      <xdr:spPr>
        <a:xfrm>
          <a:off x="46497875" y="9788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238125</xdr:colOff>
      <xdr:row>18</xdr:row>
      <xdr:rowOff>238125</xdr:rowOff>
    </xdr:from>
    <xdr:to>
      <xdr:col>96</xdr:col>
      <xdr:colOff>238125</xdr:colOff>
      <xdr:row>18</xdr:row>
      <xdr:rowOff>238125</xdr:rowOff>
    </xdr:to>
    <xdr:sp macro="" textlink="">
      <xdr:nvSpPr>
        <xdr:cNvPr id="43478" name="rteShptp96c12c26size26color65280routevcb"/>
        <xdr:cNvSpPr/>
      </xdr:nvSpPr>
      <xdr:spPr>
        <a:xfrm>
          <a:off x="46662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174625</xdr:colOff>
      <xdr:row>23</xdr:row>
      <xdr:rowOff>174625</xdr:rowOff>
    </xdr:from>
    <xdr:to>
      <xdr:col>96</xdr:col>
      <xdr:colOff>301625</xdr:colOff>
      <xdr:row>23</xdr:row>
      <xdr:rowOff>301625</xdr:rowOff>
    </xdr:to>
    <xdr:sp macro="" textlink="">
      <xdr:nvSpPr>
        <xdr:cNvPr id="43482" name="tp96c13c21size10color65280route"/>
        <xdr:cNvSpPr/>
      </xdr:nvSpPr>
      <xdr:spPr>
        <a:xfrm>
          <a:off x="46599475" y="1227137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123825</xdr:colOff>
      <xdr:row>24</xdr:row>
      <xdr:rowOff>123825</xdr:rowOff>
    </xdr:from>
    <xdr:to>
      <xdr:col>96</xdr:col>
      <xdr:colOff>352425</xdr:colOff>
      <xdr:row>24</xdr:row>
      <xdr:rowOff>352425</xdr:rowOff>
    </xdr:to>
    <xdr:sp macro="" textlink="">
      <xdr:nvSpPr>
        <xdr:cNvPr id="43483" name="tp96c13c22size18color65535route"/>
        <xdr:cNvSpPr/>
      </xdr:nvSpPr>
      <xdr:spPr>
        <a:xfrm>
          <a:off x="46548675" y="12696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174625</xdr:colOff>
      <xdr:row>26</xdr:row>
      <xdr:rowOff>174625</xdr:rowOff>
    </xdr:from>
    <xdr:to>
      <xdr:col>96</xdr:col>
      <xdr:colOff>301625</xdr:colOff>
      <xdr:row>26</xdr:row>
      <xdr:rowOff>301625</xdr:rowOff>
    </xdr:to>
    <xdr:sp macro="" textlink="">
      <xdr:nvSpPr>
        <xdr:cNvPr id="43484" name="tp96c13c24size10color65280route"/>
        <xdr:cNvSpPr/>
      </xdr:nvSpPr>
      <xdr:spPr>
        <a:xfrm>
          <a:off x="46599475" y="13700125"/>
          <a:ext cx="127000" cy="1270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73025</xdr:colOff>
      <xdr:row>28</xdr:row>
      <xdr:rowOff>73025</xdr:rowOff>
    </xdr:from>
    <xdr:to>
      <xdr:col>96</xdr:col>
      <xdr:colOff>403225</xdr:colOff>
      <xdr:row>28</xdr:row>
      <xdr:rowOff>403225</xdr:rowOff>
    </xdr:to>
    <xdr:sp macro="" textlink="">
      <xdr:nvSpPr>
        <xdr:cNvPr id="43485" name="tp96c13c26size26color65280routevcb"/>
        <xdr:cNvSpPr/>
      </xdr:nvSpPr>
      <xdr:spPr>
        <a:xfrm>
          <a:off x="46497875" y="1455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96</xdr:col>
      <xdr:colOff>238125</xdr:colOff>
      <xdr:row>28</xdr:row>
      <xdr:rowOff>238125</xdr:rowOff>
    </xdr:from>
    <xdr:to>
      <xdr:col>96</xdr:col>
      <xdr:colOff>238125</xdr:colOff>
      <xdr:row>28</xdr:row>
      <xdr:rowOff>238125</xdr:rowOff>
    </xdr:to>
    <xdr:sp macro="" textlink="">
      <xdr:nvSpPr>
        <xdr:cNvPr id="43486" name="rteShptp96c13c26size26color65280routevcb"/>
        <xdr:cNvSpPr/>
      </xdr:nvSpPr>
      <xdr:spPr>
        <a:xfrm>
          <a:off x="46662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238125</xdr:colOff>
      <xdr:row>4</xdr:row>
      <xdr:rowOff>238125</xdr:rowOff>
    </xdr:from>
    <xdr:to>
      <xdr:col>97</xdr:col>
      <xdr:colOff>238125</xdr:colOff>
      <xdr:row>4</xdr:row>
      <xdr:rowOff>238125</xdr:rowOff>
    </xdr:to>
    <xdr:sp macro="" textlink="">
      <xdr:nvSpPr>
        <xdr:cNvPr id="43490" name="rteShptp97c11c22size0color0routevcb"/>
        <xdr:cNvSpPr/>
      </xdr:nvSpPr>
      <xdr:spPr>
        <a:xfrm>
          <a:off x="47139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73025</xdr:colOff>
      <xdr:row>14</xdr:row>
      <xdr:rowOff>73025</xdr:rowOff>
    </xdr:from>
    <xdr:to>
      <xdr:col>97</xdr:col>
      <xdr:colOff>403225</xdr:colOff>
      <xdr:row>14</xdr:row>
      <xdr:rowOff>403225</xdr:rowOff>
    </xdr:to>
    <xdr:sp macro="" textlink="">
      <xdr:nvSpPr>
        <xdr:cNvPr id="43494" name="tp97c12c22size26color255routev"/>
        <xdr:cNvSpPr/>
      </xdr:nvSpPr>
      <xdr:spPr>
        <a:xfrm>
          <a:off x="4697412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238125</xdr:colOff>
      <xdr:row>14</xdr:row>
      <xdr:rowOff>238125</xdr:rowOff>
    </xdr:from>
    <xdr:to>
      <xdr:col>97</xdr:col>
      <xdr:colOff>238125</xdr:colOff>
      <xdr:row>14</xdr:row>
      <xdr:rowOff>238125</xdr:rowOff>
    </xdr:to>
    <xdr:sp macro="" textlink="">
      <xdr:nvSpPr>
        <xdr:cNvPr id="43495" name="rteShptp97c12c22size26color255routev"/>
        <xdr:cNvSpPr/>
      </xdr:nvSpPr>
      <xdr:spPr>
        <a:xfrm>
          <a:off x="471392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174625</xdr:colOff>
      <xdr:row>15</xdr:row>
      <xdr:rowOff>174625</xdr:rowOff>
    </xdr:from>
    <xdr:to>
      <xdr:col>97</xdr:col>
      <xdr:colOff>301625</xdr:colOff>
      <xdr:row>15</xdr:row>
      <xdr:rowOff>301625</xdr:rowOff>
    </xdr:to>
    <xdr:sp macro="" textlink="">
      <xdr:nvSpPr>
        <xdr:cNvPr id="43497" name="tp97c12c23size10color255route"/>
        <xdr:cNvSpPr/>
      </xdr:nvSpPr>
      <xdr:spPr>
        <a:xfrm>
          <a:off x="47075725" y="8461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174625</xdr:colOff>
      <xdr:row>18</xdr:row>
      <xdr:rowOff>174625</xdr:rowOff>
    </xdr:from>
    <xdr:to>
      <xdr:col>97</xdr:col>
      <xdr:colOff>301625</xdr:colOff>
      <xdr:row>18</xdr:row>
      <xdr:rowOff>301625</xdr:rowOff>
    </xdr:to>
    <xdr:sp macro="" textlink="">
      <xdr:nvSpPr>
        <xdr:cNvPr id="43498" name="tp97c12c26size10color65535routecb"/>
        <xdr:cNvSpPr/>
      </xdr:nvSpPr>
      <xdr:spPr>
        <a:xfrm>
          <a:off x="47075725" y="98901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238125</xdr:colOff>
      <xdr:row>18</xdr:row>
      <xdr:rowOff>238125</xdr:rowOff>
    </xdr:from>
    <xdr:to>
      <xdr:col>97</xdr:col>
      <xdr:colOff>238125</xdr:colOff>
      <xdr:row>18</xdr:row>
      <xdr:rowOff>238125</xdr:rowOff>
    </xdr:to>
    <xdr:sp macro="" textlink="">
      <xdr:nvSpPr>
        <xdr:cNvPr id="43499" name="rteShptp97c12c26size10color65535routecb"/>
        <xdr:cNvSpPr/>
      </xdr:nvSpPr>
      <xdr:spPr>
        <a:xfrm>
          <a:off x="47139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123825</xdr:colOff>
      <xdr:row>24</xdr:row>
      <xdr:rowOff>123825</xdr:rowOff>
    </xdr:from>
    <xdr:to>
      <xdr:col>97</xdr:col>
      <xdr:colOff>352425</xdr:colOff>
      <xdr:row>24</xdr:row>
      <xdr:rowOff>352425</xdr:rowOff>
    </xdr:to>
    <xdr:sp macro="" textlink="">
      <xdr:nvSpPr>
        <xdr:cNvPr id="43502" name="tp97c13c22size18color255routevb"/>
        <xdr:cNvSpPr/>
      </xdr:nvSpPr>
      <xdr:spPr>
        <a:xfrm>
          <a:off x="47024925" y="126968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238125</xdr:colOff>
      <xdr:row>24</xdr:row>
      <xdr:rowOff>238125</xdr:rowOff>
    </xdr:from>
    <xdr:to>
      <xdr:col>97</xdr:col>
      <xdr:colOff>238125</xdr:colOff>
      <xdr:row>24</xdr:row>
      <xdr:rowOff>238125</xdr:rowOff>
    </xdr:to>
    <xdr:sp macro="" textlink="">
      <xdr:nvSpPr>
        <xdr:cNvPr id="43503" name="rteShptp97c13c22size18color255routevb"/>
        <xdr:cNvSpPr/>
      </xdr:nvSpPr>
      <xdr:spPr>
        <a:xfrm>
          <a:off x="471392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174625</xdr:colOff>
      <xdr:row>25</xdr:row>
      <xdr:rowOff>174625</xdr:rowOff>
    </xdr:from>
    <xdr:to>
      <xdr:col>97</xdr:col>
      <xdr:colOff>301625</xdr:colOff>
      <xdr:row>25</xdr:row>
      <xdr:rowOff>301625</xdr:rowOff>
    </xdr:to>
    <xdr:sp macro="" textlink="">
      <xdr:nvSpPr>
        <xdr:cNvPr id="43506" name="tp97c13c23size10color255route"/>
        <xdr:cNvSpPr/>
      </xdr:nvSpPr>
      <xdr:spPr>
        <a:xfrm>
          <a:off x="47075725" y="13223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123825</xdr:colOff>
      <xdr:row>28</xdr:row>
      <xdr:rowOff>123825</xdr:rowOff>
    </xdr:from>
    <xdr:to>
      <xdr:col>97</xdr:col>
      <xdr:colOff>352425</xdr:colOff>
      <xdr:row>28</xdr:row>
      <xdr:rowOff>352425</xdr:rowOff>
    </xdr:to>
    <xdr:sp macro="" textlink="">
      <xdr:nvSpPr>
        <xdr:cNvPr id="43507" name="tp97c13c26size18color65535routec"/>
        <xdr:cNvSpPr/>
      </xdr:nvSpPr>
      <xdr:spPr>
        <a:xfrm>
          <a:off x="47024925" y="14601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97</xdr:col>
      <xdr:colOff>238125</xdr:colOff>
      <xdr:row>28</xdr:row>
      <xdr:rowOff>238125</xdr:rowOff>
    </xdr:from>
    <xdr:to>
      <xdr:col>97</xdr:col>
      <xdr:colOff>238125</xdr:colOff>
      <xdr:row>28</xdr:row>
      <xdr:rowOff>238125</xdr:rowOff>
    </xdr:to>
    <xdr:sp macro="" textlink="">
      <xdr:nvSpPr>
        <xdr:cNvPr id="43508" name="rteShptp97c13c26size18color65535routec"/>
        <xdr:cNvSpPr/>
      </xdr:nvSpPr>
      <xdr:spPr>
        <a:xfrm>
          <a:off x="47139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73025</xdr:colOff>
      <xdr:row>4</xdr:row>
      <xdr:rowOff>73025</xdr:rowOff>
    </xdr:from>
    <xdr:to>
      <xdr:col>98</xdr:col>
      <xdr:colOff>403225</xdr:colOff>
      <xdr:row>4</xdr:row>
      <xdr:rowOff>403225</xdr:rowOff>
    </xdr:to>
    <xdr:sp macro="" textlink="">
      <xdr:nvSpPr>
        <xdr:cNvPr id="43510" name="tp98c11c22size26color255routevcb"/>
        <xdr:cNvSpPr/>
      </xdr:nvSpPr>
      <xdr:spPr>
        <a:xfrm>
          <a:off x="4745037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238125</xdr:colOff>
      <xdr:row>4</xdr:row>
      <xdr:rowOff>238125</xdr:rowOff>
    </xdr:from>
    <xdr:to>
      <xdr:col>98</xdr:col>
      <xdr:colOff>238125</xdr:colOff>
      <xdr:row>4</xdr:row>
      <xdr:rowOff>238125</xdr:rowOff>
    </xdr:to>
    <xdr:sp macro="" textlink="">
      <xdr:nvSpPr>
        <xdr:cNvPr id="43511" name="rteShptp98c11c22size26color255routevcb"/>
        <xdr:cNvSpPr/>
      </xdr:nvSpPr>
      <xdr:spPr>
        <a:xfrm>
          <a:off x="47615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174625</xdr:colOff>
      <xdr:row>5</xdr:row>
      <xdr:rowOff>174625</xdr:rowOff>
    </xdr:from>
    <xdr:to>
      <xdr:col>98</xdr:col>
      <xdr:colOff>301625</xdr:colOff>
      <xdr:row>5</xdr:row>
      <xdr:rowOff>301625</xdr:rowOff>
    </xdr:to>
    <xdr:sp macro="" textlink="">
      <xdr:nvSpPr>
        <xdr:cNvPr id="43515" name="tp98c11c23size10color255route"/>
        <xdr:cNvSpPr/>
      </xdr:nvSpPr>
      <xdr:spPr>
        <a:xfrm>
          <a:off x="47551975" y="3698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73025</xdr:colOff>
      <xdr:row>14</xdr:row>
      <xdr:rowOff>73025</xdr:rowOff>
    </xdr:from>
    <xdr:to>
      <xdr:col>98</xdr:col>
      <xdr:colOff>403225</xdr:colOff>
      <xdr:row>14</xdr:row>
      <xdr:rowOff>403225</xdr:rowOff>
    </xdr:to>
    <xdr:sp macro="" textlink="">
      <xdr:nvSpPr>
        <xdr:cNvPr id="43516" name="tp98c12c22size26color255routevb"/>
        <xdr:cNvSpPr/>
      </xdr:nvSpPr>
      <xdr:spPr>
        <a:xfrm>
          <a:off x="4745037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238125</xdr:colOff>
      <xdr:row>14</xdr:row>
      <xdr:rowOff>238125</xdr:rowOff>
    </xdr:from>
    <xdr:to>
      <xdr:col>98</xdr:col>
      <xdr:colOff>238125</xdr:colOff>
      <xdr:row>14</xdr:row>
      <xdr:rowOff>238125</xdr:rowOff>
    </xdr:to>
    <xdr:sp macro="" textlink="">
      <xdr:nvSpPr>
        <xdr:cNvPr id="43517" name="rteShptp98c12c22size26color255routevb"/>
        <xdr:cNvSpPr/>
      </xdr:nvSpPr>
      <xdr:spPr>
        <a:xfrm>
          <a:off x="476154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174625</xdr:colOff>
      <xdr:row>15</xdr:row>
      <xdr:rowOff>174625</xdr:rowOff>
    </xdr:from>
    <xdr:to>
      <xdr:col>98</xdr:col>
      <xdr:colOff>301625</xdr:colOff>
      <xdr:row>15</xdr:row>
      <xdr:rowOff>301625</xdr:rowOff>
    </xdr:to>
    <xdr:sp macro="" textlink="">
      <xdr:nvSpPr>
        <xdr:cNvPr id="43520" name="tp98c12c23size10color255route"/>
        <xdr:cNvSpPr/>
      </xdr:nvSpPr>
      <xdr:spPr>
        <a:xfrm>
          <a:off x="47551975" y="84613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238125</xdr:colOff>
      <xdr:row>18</xdr:row>
      <xdr:rowOff>238125</xdr:rowOff>
    </xdr:from>
    <xdr:to>
      <xdr:col>98</xdr:col>
      <xdr:colOff>238125</xdr:colOff>
      <xdr:row>18</xdr:row>
      <xdr:rowOff>238125</xdr:rowOff>
    </xdr:to>
    <xdr:sp macro="" textlink="">
      <xdr:nvSpPr>
        <xdr:cNvPr id="43521" name="rteShptp98c12c26size0color0routec"/>
        <xdr:cNvSpPr/>
      </xdr:nvSpPr>
      <xdr:spPr>
        <a:xfrm>
          <a:off x="476154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123825</xdr:colOff>
      <xdr:row>24</xdr:row>
      <xdr:rowOff>123825</xdr:rowOff>
    </xdr:from>
    <xdr:to>
      <xdr:col>98</xdr:col>
      <xdr:colOff>352425</xdr:colOff>
      <xdr:row>24</xdr:row>
      <xdr:rowOff>352425</xdr:rowOff>
    </xdr:to>
    <xdr:sp macro="" textlink="">
      <xdr:nvSpPr>
        <xdr:cNvPr id="43523" name="tp98c13c22size18color255routevb"/>
        <xdr:cNvSpPr/>
      </xdr:nvSpPr>
      <xdr:spPr>
        <a:xfrm>
          <a:off x="47501175" y="12696825"/>
          <a:ext cx="228600" cy="2286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238125</xdr:colOff>
      <xdr:row>24</xdr:row>
      <xdr:rowOff>238125</xdr:rowOff>
    </xdr:from>
    <xdr:to>
      <xdr:col>98</xdr:col>
      <xdr:colOff>238125</xdr:colOff>
      <xdr:row>24</xdr:row>
      <xdr:rowOff>238125</xdr:rowOff>
    </xdr:to>
    <xdr:sp macro="" textlink="">
      <xdr:nvSpPr>
        <xdr:cNvPr id="43524" name="rteShptp98c13c22size18color255routevb"/>
        <xdr:cNvSpPr/>
      </xdr:nvSpPr>
      <xdr:spPr>
        <a:xfrm>
          <a:off x="476154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174625</xdr:colOff>
      <xdr:row>25</xdr:row>
      <xdr:rowOff>174625</xdr:rowOff>
    </xdr:from>
    <xdr:to>
      <xdr:col>98</xdr:col>
      <xdr:colOff>301625</xdr:colOff>
      <xdr:row>25</xdr:row>
      <xdr:rowOff>301625</xdr:rowOff>
    </xdr:to>
    <xdr:sp macro="" textlink="">
      <xdr:nvSpPr>
        <xdr:cNvPr id="43527" name="tp98c13c23size10color255route"/>
        <xdr:cNvSpPr/>
      </xdr:nvSpPr>
      <xdr:spPr>
        <a:xfrm>
          <a:off x="47551975" y="13223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123825</xdr:colOff>
      <xdr:row>28</xdr:row>
      <xdr:rowOff>123825</xdr:rowOff>
    </xdr:from>
    <xdr:to>
      <xdr:col>98</xdr:col>
      <xdr:colOff>352425</xdr:colOff>
      <xdr:row>28</xdr:row>
      <xdr:rowOff>352425</xdr:rowOff>
    </xdr:to>
    <xdr:sp macro="" textlink="">
      <xdr:nvSpPr>
        <xdr:cNvPr id="43528" name="tp98c13c26size18color65535routec"/>
        <xdr:cNvSpPr/>
      </xdr:nvSpPr>
      <xdr:spPr>
        <a:xfrm>
          <a:off x="47501175" y="14601825"/>
          <a:ext cx="228600" cy="2286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98</xdr:col>
      <xdr:colOff>238125</xdr:colOff>
      <xdr:row>28</xdr:row>
      <xdr:rowOff>238125</xdr:rowOff>
    </xdr:from>
    <xdr:to>
      <xdr:col>98</xdr:col>
      <xdr:colOff>238125</xdr:colOff>
      <xdr:row>28</xdr:row>
      <xdr:rowOff>238125</xdr:rowOff>
    </xdr:to>
    <xdr:sp macro="" textlink="">
      <xdr:nvSpPr>
        <xdr:cNvPr id="43529" name="rteShptp98c13c26size18color65535routec"/>
        <xdr:cNvSpPr/>
      </xdr:nvSpPr>
      <xdr:spPr>
        <a:xfrm>
          <a:off x="47615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99</xdr:col>
      <xdr:colOff>73025</xdr:colOff>
      <xdr:row>4</xdr:row>
      <xdr:rowOff>73025</xdr:rowOff>
    </xdr:from>
    <xdr:to>
      <xdr:col>99</xdr:col>
      <xdr:colOff>403225</xdr:colOff>
      <xdr:row>4</xdr:row>
      <xdr:rowOff>403225</xdr:rowOff>
    </xdr:to>
    <xdr:sp macro="" textlink="">
      <xdr:nvSpPr>
        <xdr:cNvPr id="43531" name="tp99c11c22size26color65535routevc"/>
        <xdr:cNvSpPr/>
      </xdr:nvSpPr>
      <xdr:spPr>
        <a:xfrm>
          <a:off x="4792662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99</xdr:col>
      <xdr:colOff>238125</xdr:colOff>
      <xdr:row>4</xdr:row>
      <xdr:rowOff>238125</xdr:rowOff>
    </xdr:from>
    <xdr:to>
      <xdr:col>99</xdr:col>
      <xdr:colOff>238125</xdr:colOff>
      <xdr:row>4</xdr:row>
      <xdr:rowOff>238125</xdr:rowOff>
    </xdr:to>
    <xdr:sp macro="" textlink="">
      <xdr:nvSpPr>
        <xdr:cNvPr id="43532" name="rteShptp99c11c22size26color65535routevc"/>
        <xdr:cNvSpPr/>
      </xdr:nvSpPr>
      <xdr:spPr>
        <a:xfrm>
          <a:off x="48091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99</xdr:col>
      <xdr:colOff>174625</xdr:colOff>
      <xdr:row>5</xdr:row>
      <xdr:rowOff>174625</xdr:rowOff>
    </xdr:from>
    <xdr:to>
      <xdr:col>99</xdr:col>
      <xdr:colOff>301625</xdr:colOff>
      <xdr:row>5</xdr:row>
      <xdr:rowOff>301625</xdr:rowOff>
    </xdr:to>
    <xdr:sp macro="" textlink="">
      <xdr:nvSpPr>
        <xdr:cNvPr id="43535" name="tp99c11c23size10color65535route"/>
        <xdr:cNvSpPr/>
      </xdr:nvSpPr>
      <xdr:spPr>
        <a:xfrm>
          <a:off x="48028225" y="369887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99</xdr:col>
      <xdr:colOff>238125</xdr:colOff>
      <xdr:row>8</xdr:row>
      <xdr:rowOff>238125</xdr:rowOff>
    </xdr:from>
    <xdr:to>
      <xdr:col>99</xdr:col>
      <xdr:colOff>238125</xdr:colOff>
      <xdr:row>8</xdr:row>
      <xdr:rowOff>238125</xdr:rowOff>
    </xdr:to>
    <xdr:sp macro="" textlink="">
      <xdr:nvSpPr>
        <xdr:cNvPr id="43536" name="rteShptp99c11c26size0color0routeb"/>
        <xdr:cNvSpPr/>
      </xdr:nvSpPr>
      <xdr:spPr>
        <a:xfrm>
          <a:off x="48091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99</xdr:col>
      <xdr:colOff>73025</xdr:colOff>
      <xdr:row>14</xdr:row>
      <xdr:rowOff>73025</xdr:rowOff>
    </xdr:from>
    <xdr:to>
      <xdr:col>99</xdr:col>
      <xdr:colOff>403225</xdr:colOff>
      <xdr:row>14</xdr:row>
      <xdr:rowOff>403225</xdr:rowOff>
    </xdr:to>
    <xdr:sp macro="" textlink="">
      <xdr:nvSpPr>
        <xdr:cNvPr id="43538" name="tp99c12c22size26color65280routev"/>
        <xdr:cNvSpPr/>
      </xdr:nvSpPr>
      <xdr:spPr>
        <a:xfrm>
          <a:off x="47926625" y="78835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99</xdr:col>
      <xdr:colOff>238125</xdr:colOff>
      <xdr:row>14</xdr:row>
      <xdr:rowOff>238125</xdr:rowOff>
    </xdr:from>
    <xdr:to>
      <xdr:col>99</xdr:col>
      <xdr:colOff>238125</xdr:colOff>
      <xdr:row>14</xdr:row>
      <xdr:rowOff>238125</xdr:rowOff>
    </xdr:to>
    <xdr:sp macro="" textlink="">
      <xdr:nvSpPr>
        <xdr:cNvPr id="43539" name="rteShptp99c12c22size26color65280routev"/>
        <xdr:cNvSpPr/>
      </xdr:nvSpPr>
      <xdr:spPr>
        <a:xfrm>
          <a:off x="480917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99</xdr:col>
      <xdr:colOff>238125</xdr:colOff>
      <xdr:row>18</xdr:row>
      <xdr:rowOff>238125</xdr:rowOff>
    </xdr:from>
    <xdr:to>
      <xdr:col>99</xdr:col>
      <xdr:colOff>238125</xdr:colOff>
      <xdr:row>18</xdr:row>
      <xdr:rowOff>238125</xdr:rowOff>
    </xdr:to>
    <xdr:sp macro="" textlink="">
      <xdr:nvSpPr>
        <xdr:cNvPr id="43541" name="rteShptp99c12c26size0color0routecb"/>
        <xdr:cNvSpPr/>
      </xdr:nvSpPr>
      <xdr:spPr>
        <a:xfrm>
          <a:off x="48091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99</xdr:col>
      <xdr:colOff>73025</xdr:colOff>
      <xdr:row>24</xdr:row>
      <xdr:rowOff>73025</xdr:rowOff>
    </xdr:from>
    <xdr:to>
      <xdr:col>99</xdr:col>
      <xdr:colOff>403225</xdr:colOff>
      <xdr:row>24</xdr:row>
      <xdr:rowOff>403225</xdr:rowOff>
    </xdr:to>
    <xdr:sp macro="" textlink="">
      <xdr:nvSpPr>
        <xdr:cNvPr id="43544" name="tp99c13c22size26color65535routev"/>
        <xdr:cNvSpPr/>
      </xdr:nvSpPr>
      <xdr:spPr>
        <a:xfrm>
          <a:off x="47926625" y="12646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99</xdr:col>
      <xdr:colOff>238125</xdr:colOff>
      <xdr:row>24</xdr:row>
      <xdr:rowOff>238125</xdr:rowOff>
    </xdr:from>
    <xdr:to>
      <xdr:col>99</xdr:col>
      <xdr:colOff>238125</xdr:colOff>
      <xdr:row>24</xdr:row>
      <xdr:rowOff>238125</xdr:rowOff>
    </xdr:to>
    <xdr:sp macro="" textlink="">
      <xdr:nvSpPr>
        <xdr:cNvPr id="43545" name="rteShptp99c13c22size26color65535routev"/>
        <xdr:cNvSpPr/>
      </xdr:nvSpPr>
      <xdr:spPr>
        <a:xfrm>
          <a:off x="48091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99</xdr:col>
      <xdr:colOff>238125</xdr:colOff>
      <xdr:row>28</xdr:row>
      <xdr:rowOff>238125</xdr:rowOff>
    </xdr:from>
    <xdr:to>
      <xdr:col>99</xdr:col>
      <xdr:colOff>238125</xdr:colOff>
      <xdr:row>28</xdr:row>
      <xdr:rowOff>238125</xdr:rowOff>
    </xdr:to>
    <xdr:sp macro="" textlink="">
      <xdr:nvSpPr>
        <xdr:cNvPr id="43547" name="rteShptp99c13c26size0color0routecb"/>
        <xdr:cNvSpPr/>
      </xdr:nvSpPr>
      <xdr:spPr>
        <a:xfrm>
          <a:off x="48091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100</xdr:col>
      <xdr:colOff>73025</xdr:colOff>
      <xdr:row>4</xdr:row>
      <xdr:rowOff>73025</xdr:rowOff>
    </xdr:from>
    <xdr:to>
      <xdr:col>100</xdr:col>
      <xdr:colOff>403225</xdr:colOff>
      <xdr:row>4</xdr:row>
      <xdr:rowOff>403225</xdr:rowOff>
    </xdr:to>
    <xdr:sp macro="" textlink="">
      <xdr:nvSpPr>
        <xdr:cNvPr id="43550" name="tp100c11c22size26color65280routevc"/>
        <xdr:cNvSpPr/>
      </xdr:nvSpPr>
      <xdr:spPr>
        <a:xfrm>
          <a:off x="48402875" y="3121025"/>
          <a:ext cx="330200" cy="330200"/>
        </a:xfrm>
        <a:prstGeom prst="ellipse">
          <a:avLst/>
        </a:prstGeom>
        <a:solidFill>
          <a:srgbClr val="00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100</xdr:col>
      <xdr:colOff>238125</xdr:colOff>
      <xdr:row>4</xdr:row>
      <xdr:rowOff>238125</xdr:rowOff>
    </xdr:from>
    <xdr:to>
      <xdr:col>100</xdr:col>
      <xdr:colOff>238125</xdr:colOff>
      <xdr:row>4</xdr:row>
      <xdr:rowOff>238125</xdr:rowOff>
    </xdr:to>
    <xdr:sp macro="" textlink="">
      <xdr:nvSpPr>
        <xdr:cNvPr id="43551" name="rteShptp100c11c22size26color65280routevc"/>
        <xdr:cNvSpPr/>
      </xdr:nvSpPr>
      <xdr:spPr>
        <a:xfrm>
          <a:off x="48567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100</xdr:col>
      <xdr:colOff>238125</xdr:colOff>
      <xdr:row>8</xdr:row>
      <xdr:rowOff>238125</xdr:rowOff>
    </xdr:from>
    <xdr:to>
      <xdr:col>100</xdr:col>
      <xdr:colOff>238125</xdr:colOff>
      <xdr:row>8</xdr:row>
      <xdr:rowOff>238125</xdr:rowOff>
    </xdr:to>
    <xdr:sp macro="" textlink="">
      <xdr:nvSpPr>
        <xdr:cNvPr id="43554" name="rteShptp100c11c26size0color0routeb"/>
        <xdr:cNvSpPr/>
      </xdr:nvSpPr>
      <xdr:spPr>
        <a:xfrm>
          <a:off x="48567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100</xdr:col>
      <xdr:colOff>73025</xdr:colOff>
      <xdr:row>15</xdr:row>
      <xdr:rowOff>73025</xdr:rowOff>
    </xdr:from>
    <xdr:to>
      <xdr:col>100</xdr:col>
      <xdr:colOff>403225</xdr:colOff>
      <xdr:row>15</xdr:row>
      <xdr:rowOff>403225</xdr:rowOff>
    </xdr:to>
    <xdr:sp macro="" textlink="">
      <xdr:nvSpPr>
        <xdr:cNvPr id="43556" name="tp100c12c23size26color65535routevb"/>
        <xdr:cNvSpPr/>
      </xdr:nvSpPr>
      <xdr:spPr>
        <a:xfrm>
          <a:off x="48402875" y="83597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100</xdr:col>
      <xdr:colOff>238125</xdr:colOff>
      <xdr:row>15</xdr:row>
      <xdr:rowOff>238125</xdr:rowOff>
    </xdr:from>
    <xdr:to>
      <xdr:col>100</xdr:col>
      <xdr:colOff>238125</xdr:colOff>
      <xdr:row>15</xdr:row>
      <xdr:rowOff>238125</xdr:rowOff>
    </xdr:to>
    <xdr:sp macro="" textlink="">
      <xdr:nvSpPr>
        <xdr:cNvPr id="43557" name="rteShptp100c12c23size26color65535routevb"/>
        <xdr:cNvSpPr/>
      </xdr:nvSpPr>
      <xdr:spPr>
        <a:xfrm>
          <a:off x="48567975" y="85248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100</xdr:col>
      <xdr:colOff>238125</xdr:colOff>
      <xdr:row>18</xdr:row>
      <xdr:rowOff>238125</xdr:rowOff>
    </xdr:from>
    <xdr:to>
      <xdr:col>100</xdr:col>
      <xdr:colOff>238125</xdr:colOff>
      <xdr:row>18</xdr:row>
      <xdr:rowOff>238125</xdr:rowOff>
    </xdr:to>
    <xdr:sp macro="" textlink="">
      <xdr:nvSpPr>
        <xdr:cNvPr id="43560" name="rteShptp100c12c26size0color0routec"/>
        <xdr:cNvSpPr/>
      </xdr:nvSpPr>
      <xdr:spPr>
        <a:xfrm>
          <a:off x="48567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100</xdr:col>
      <xdr:colOff>73025</xdr:colOff>
      <xdr:row>25</xdr:row>
      <xdr:rowOff>73025</xdr:rowOff>
    </xdr:from>
    <xdr:to>
      <xdr:col>100</xdr:col>
      <xdr:colOff>403225</xdr:colOff>
      <xdr:row>25</xdr:row>
      <xdr:rowOff>403225</xdr:rowOff>
    </xdr:to>
    <xdr:sp macro="" textlink="">
      <xdr:nvSpPr>
        <xdr:cNvPr id="43562" name="tp100c13c23size26color65535routevcb"/>
        <xdr:cNvSpPr/>
      </xdr:nvSpPr>
      <xdr:spPr>
        <a:xfrm>
          <a:off x="48402875" y="1312227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100</xdr:col>
      <xdr:colOff>238125</xdr:colOff>
      <xdr:row>25</xdr:row>
      <xdr:rowOff>238125</xdr:rowOff>
    </xdr:from>
    <xdr:to>
      <xdr:col>100</xdr:col>
      <xdr:colOff>238125</xdr:colOff>
      <xdr:row>25</xdr:row>
      <xdr:rowOff>238125</xdr:rowOff>
    </xdr:to>
    <xdr:sp macro="" textlink="">
      <xdr:nvSpPr>
        <xdr:cNvPr id="43563" name="rteShptp100c13c23size26color65535routevcb"/>
        <xdr:cNvSpPr/>
      </xdr:nvSpPr>
      <xdr:spPr>
        <a:xfrm>
          <a:off x="48567975" y="1328737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101</xdr:col>
      <xdr:colOff>73025</xdr:colOff>
      <xdr:row>4</xdr:row>
      <xdr:rowOff>73025</xdr:rowOff>
    </xdr:from>
    <xdr:to>
      <xdr:col>101</xdr:col>
      <xdr:colOff>403225</xdr:colOff>
      <xdr:row>4</xdr:row>
      <xdr:rowOff>403225</xdr:rowOff>
    </xdr:to>
    <xdr:sp macro="" textlink="">
      <xdr:nvSpPr>
        <xdr:cNvPr id="43567" name="tp101c11c22size26color65535routevcb"/>
        <xdr:cNvSpPr/>
      </xdr:nvSpPr>
      <xdr:spPr>
        <a:xfrm>
          <a:off x="48879125" y="312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101</xdr:col>
      <xdr:colOff>238125</xdr:colOff>
      <xdr:row>4</xdr:row>
      <xdr:rowOff>238125</xdr:rowOff>
    </xdr:from>
    <xdr:to>
      <xdr:col>101</xdr:col>
      <xdr:colOff>238125</xdr:colOff>
      <xdr:row>4</xdr:row>
      <xdr:rowOff>238125</xdr:rowOff>
    </xdr:to>
    <xdr:sp macro="" textlink="">
      <xdr:nvSpPr>
        <xdr:cNvPr id="43568" name="rteShptp101c11c22size26color65535routevcb"/>
        <xdr:cNvSpPr/>
      </xdr:nvSpPr>
      <xdr:spPr>
        <a:xfrm>
          <a:off x="490442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101</xdr:col>
      <xdr:colOff>174625</xdr:colOff>
      <xdr:row>8</xdr:row>
      <xdr:rowOff>174625</xdr:rowOff>
    </xdr:from>
    <xdr:to>
      <xdr:col>101</xdr:col>
      <xdr:colOff>301625</xdr:colOff>
      <xdr:row>8</xdr:row>
      <xdr:rowOff>301625</xdr:rowOff>
    </xdr:to>
    <xdr:sp macro="" textlink="">
      <xdr:nvSpPr>
        <xdr:cNvPr id="43572" name="tp101c11c26size10color65535route"/>
        <xdr:cNvSpPr/>
      </xdr:nvSpPr>
      <xdr:spPr>
        <a:xfrm>
          <a:off x="48980725" y="5127625"/>
          <a:ext cx="127000" cy="1270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101</xdr:col>
      <xdr:colOff>73025</xdr:colOff>
      <xdr:row>18</xdr:row>
      <xdr:rowOff>73025</xdr:rowOff>
    </xdr:from>
    <xdr:to>
      <xdr:col>101</xdr:col>
      <xdr:colOff>403225</xdr:colOff>
      <xdr:row>18</xdr:row>
      <xdr:rowOff>403225</xdr:rowOff>
    </xdr:to>
    <xdr:sp macro="" textlink="">
      <xdr:nvSpPr>
        <xdr:cNvPr id="43573" name="tp101c12c26size26color255routevcb"/>
        <xdr:cNvSpPr/>
      </xdr:nvSpPr>
      <xdr:spPr>
        <a:xfrm>
          <a:off x="48879125" y="9788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101</xdr:col>
      <xdr:colOff>238125</xdr:colOff>
      <xdr:row>18</xdr:row>
      <xdr:rowOff>238125</xdr:rowOff>
    </xdr:from>
    <xdr:to>
      <xdr:col>101</xdr:col>
      <xdr:colOff>238125</xdr:colOff>
      <xdr:row>18</xdr:row>
      <xdr:rowOff>238125</xdr:rowOff>
    </xdr:to>
    <xdr:sp macro="" textlink="">
      <xdr:nvSpPr>
        <xdr:cNvPr id="43574" name="rteShptp101c12c26size26color255routevcb"/>
        <xdr:cNvSpPr/>
      </xdr:nvSpPr>
      <xdr:spPr>
        <a:xfrm>
          <a:off x="490442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101</xdr:col>
      <xdr:colOff>73025</xdr:colOff>
      <xdr:row>28</xdr:row>
      <xdr:rowOff>73025</xdr:rowOff>
    </xdr:from>
    <xdr:to>
      <xdr:col>101</xdr:col>
      <xdr:colOff>403225</xdr:colOff>
      <xdr:row>28</xdr:row>
      <xdr:rowOff>403225</xdr:rowOff>
    </xdr:to>
    <xdr:sp macro="" textlink="">
      <xdr:nvSpPr>
        <xdr:cNvPr id="43578" name="tp101c13c26size26color65535routevcb"/>
        <xdr:cNvSpPr/>
      </xdr:nvSpPr>
      <xdr:spPr>
        <a:xfrm>
          <a:off x="48879125" y="14551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101</xdr:col>
      <xdr:colOff>238125</xdr:colOff>
      <xdr:row>28</xdr:row>
      <xdr:rowOff>238125</xdr:rowOff>
    </xdr:from>
    <xdr:to>
      <xdr:col>101</xdr:col>
      <xdr:colOff>238125</xdr:colOff>
      <xdr:row>28</xdr:row>
      <xdr:rowOff>238125</xdr:rowOff>
    </xdr:to>
    <xdr:sp macro="" textlink="">
      <xdr:nvSpPr>
        <xdr:cNvPr id="43579" name="rteShptp101c13c26size26color65535routevcb"/>
        <xdr:cNvSpPr/>
      </xdr:nvSpPr>
      <xdr:spPr>
        <a:xfrm>
          <a:off x="490442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102</xdr:col>
      <xdr:colOff>73025</xdr:colOff>
      <xdr:row>4</xdr:row>
      <xdr:rowOff>73025</xdr:rowOff>
    </xdr:from>
    <xdr:to>
      <xdr:col>102</xdr:col>
      <xdr:colOff>403225</xdr:colOff>
      <xdr:row>4</xdr:row>
      <xdr:rowOff>403225</xdr:rowOff>
    </xdr:to>
    <xdr:sp macro="" textlink="">
      <xdr:nvSpPr>
        <xdr:cNvPr id="43583" name="tp102c11c22size26color255routevc"/>
        <xdr:cNvSpPr/>
      </xdr:nvSpPr>
      <xdr:spPr>
        <a:xfrm>
          <a:off x="4935537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102</xdr:col>
      <xdr:colOff>238125</xdr:colOff>
      <xdr:row>4</xdr:row>
      <xdr:rowOff>238125</xdr:rowOff>
    </xdr:from>
    <xdr:to>
      <xdr:col>102</xdr:col>
      <xdr:colOff>238125</xdr:colOff>
      <xdr:row>4</xdr:row>
      <xdr:rowOff>238125</xdr:rowOff>
    </xdr:to>
    <xdr:sp macro="" textlink="">
      <xdr:nvSpPr>
        <xdr:cNvPr id="43584" name="rteShptp102c11c22size26color255routevc"/>
        <xdr:cNvSpPr/>
      </xdr:nvSpPr>
      <xdr:spPr>
        <a:xfrm>
          <a:off x="495204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102</xdr:col>
      <xdr:colOff>238125</xdr:colOff>
      <xdr:row>8</xdr:row>
      <xdr:rowOff>238125</xdr:rowOff>
    </xdr:from>
    <xdr:to>
      <xdr:col>102</xdr:col>
      <xdr:colOff>238125</xdr:colOff>
      <xdr:row>8</xdr:row>
      <xdr:rowOff>238125</xdr:rowOff>
    </xdr:to>
    <xdr:sp macro="" textlink="">
      <xdr:nvSpPr>
        <xdr:cNvPr id="43587" name="rteShptp102c11c26size0color0routeb"/>
        <xdr:cNvSpPr/>
      </xdr:nvSpPr>
      <xdr:spPr>
        <a:xfrm>
          <a:off x="495204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102</xdr:col>
      <xdr:colOff>73025</xdr:colOff>
      <xdr:row>14</xdr:row>
      <xdr:rowOff>73025</xdr:rowOff>
    </xdr:from>
    <xdr:to>
      <xdr:col>102</xdr:col>
      <xdr:colOff>403225</xdr:colOff>
      <xdr:row>14</xdr:row>
      <xdr:rowOff>403225</xdr:rowOff>
    </xdr:to>
    <xdr:sp macro="" textlink="">
      <xdr:nvSpPr>
        <xdr:cNvPr id="43589" name="tp102c12c22size26color255routevcb"/>
        <xdr:cNvSpPr/>
      </xdr:nvSpPr>
      <xdr:spPr>
        <a:xfrm>
          <a:off x="4935537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102</xdr:col>
      <xdr:colOff>238125</xdr:colOff>
      <xdr:row>14</xdr:row>
      <xdr:rowOff>238125</xdr:rowOff>
    </xdr:from>
    <xdr:to>
      <xdr:col>102</xdr:col>
      <xdr:colOff>238125</xdr:colOff>
      <xdr:row>14</xdr:row>
      <xdr:rowOff>238125</xdr:rowOff>
    </xdr:to>
    <xdr:sp macro="" textlink="">
      <xdr:nvSpPr>
        <xdr:cNvPr id="43590" name="rteShptp102c12c22size26color255routevcb"/>
        <xdr:cNvSpPr/>
      </xdr:nvSpPr>
      <xdr:spPr>
        <a:xfrm>
          <a:off x="4952047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102</xdr:col>
      <xdr:colOff>73025</xdr:colOff>
      <xdr:row>24</xdr:row>
      <xdr:rowOff>73025</xdr:rowOff>
    </xdr:from>
    <xdr:to>
      <xdr:col>102</xdr:col>
      <xdr:colOff>403225</xdr:colOff>
      <xdr:row>24</xdr:row>
      <xdr:rowOff>403225</xdr:rowOff>
    </xdr:to>
    <xdr:sp macro="" textlink="">
      <xdr:nvSpPr>
        <xdr:cNvPr id="43594" name="tp102c13c22size26color255routev"/>
        <xdr:cNvSpPr/>
      </xdr:nvSpPr>
      <xdr:spPr>
        <a:xfrm>
          <a:off x="49355375" y="12646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102</xdr:col>
      <xdr:colOff>238125</xdr:colOff>
      <xdr:row>24</xdr:row>
      <xdr:rowOff>238125</xdr:rowOff>
    </xdr:from>
    <xdr:to>
      <xdr:col>102</xdr:col>
      <xdr:colOff>238125</xdr:colOff>
      <xdr:row>24</xdr:row>
      <xdr:rowOff>238125</xdr:rowOff>
    </xdr:to>
    <xdr:sp macro="" textlink="">
      <xdr:nvSpPr>
        <xdr:cNvPr id="43595" name="rteShptp102c13c22size26color255routev"/>
        <xdr:cNvSpPr/>
      </xdr:nvSpPr>
      <xdr:spPr>
        <a:xfrm>
          <a:off x="495204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102</xdr:col>
      <xdr:colOff>238125</xdr:colOff>
      <xdr:row>28</xdr:row>
      <xdr:rowOff>238125</xdr:rowOff>
    </xdr:from>
    <xdr:to>
      <xdr:col>102</xdr:col>
      <xdr:colOff>238125</xdr:colOff>
      <xdr:row>28</xdr:row>
      <xdr:rowOff>238125</xdr:rowOff>
    </xdr:to>
    <xdr:sp macro="" textlink="">
      <xdr:nvSpPr>
        <xdr:cNvPr id="43597" name="rteShptp102c13c26size0color0routecb"/>
        <xdr:cNvSpPr/>
      </xdr:nvSpPr>
      <xdr:spPr>
        <a:xfrm>
          <a:off x="495204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73025</xdr:colOff>
      <xdr:row>4</xdr:row>
      <xdr:rowOff>73025</xdr:rowOff>
    </xdr:from>
    <xdr:to>
      <xdr:col>103</xdr:col>
      <xdr:colOff>403225</xdr:colOff>
      <xdr:row>4</xdr:row>
      <xdr:rowOff>403225</xdr:rowOff>
    </xdr:to>
    <xdr:sp macro="" textlink="">
      <xdr:nvSpPr>
        <xdr:cNvPr id="43600" name="tp103c11c22size26color255routevc"/>
        <xdr:cNvSpPr/>
      </xdr:nvSpPr>
      <xdr:spPr>
        <a:xfrm>
          <a:off x="4983162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238125</xdr:colOff>
      <xdr:row>4</xdr:row>
      <xdr:rowOff>238125</xdr:rowOff>
    </xdr:from>
    <xdr:to>
      <xdr:col>103</xdr:col>
      <xdr:colOff>238125</xdr:colOff>
      <xdr:row>4</xdr:row>
      <xdr:rowOff>238125</xdr:rowOff>
    </xdr:to>
    <xdr:sp macro="" textlink="">
      <xdr:nvSpPr>
        <xdr:cNvPr id="43601" name="rteShptp103c11c22size26color255routevc"/>
        <xdr:cNvSpPr/>
      </xdr:nvSpPr>
      <xdr:spPr>
        <a:xfrm>
          <a:off x="4999672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174625</xdr:colOff>
      <xdr:row>8</xdr:row>
      <xdr:rowOff>174625</xdr:rowOff>
    </xdr:from>
    <xdr:to>
      <xdr:col>103</xdr:col>
      <xdr:colOff>301625</xdr:colOff>
      <xdr:row>8</xdr:row>
      <xdr:rowOff>301625</xdr:rowOff>
    </xdr:to>
    <xdr:sp macro="" textlink="">
      <xdr:nvSpPr>
        <xdr:cNvPr id="43604" name="tp103c11c26size10color255routeb"/>
        <xdr:cNvSpPr/>
      </xdr:nvSpPr>
      <xdr:spPr>
        <a:xfrm>
          <a:off x="49933225" y="512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238125</xdr:colOff>
      <xdr:row>8</xdr:row>
      <xdr:rowOff>238125</xdr:rowOff>
    </xdr:from>
    <xdr:to>
      <xdr:col>103</xdr:col>
      <xdr:colOff>238125</xdr:colOff>
      <xdr:row>8</xdr:row>
      <xdr:rowOff>238125</xdr:rowOff>
    </xdr:to>
    <xdr:sp macro="" textlink="">
      <xdr:nvSpPr>
        <xdr:cNvPr id="43605" name="rteShptp103c11c26size10color255routeb"/>
        <xdr:cNvSpPr/>
      </xdr:nvSpPr>
      <xdr:spPr>
        <a:xfrm>
          <a:off x="4999672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73025</xdr:colOff>
      <xdr:row>14</xdr:row>
      <xdr:rowOff>73025</xdr:rowOff>
    </xdr:from>
    <xdr:to>
      <xdr:col>103</xdr:col>
      <xdr:colOff>403225</xdr:colOff>
      <xdr:row>14</xdr:row>
      <xdr:rowOff>403225</xdr:rowOff>
    </xdr:to>
    <xdr:sp macro="" textlink="">
      <xdr:nvSpPr>
        <xdr:cNvPr id="43607" name="tp103c12c22size26color255routevb"/>
        <xdr:cNvSpPr/>
      </xdr:nvSpPr>
      <xdr:spPr>
        <a:xfrm>
          <a:off x="49831625" y="7883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238125</xdr:colOff>
      <xdr:row>14</xdr:row>
      <xdr:rowOff>238125</xdr:rowOff>
    </xdr:from>
    <xdr:to>
      <xdr:col>103</xdr:col>
      <xdr:colOff>238125</xdr:colOff>
      <xdr:row>14</xdr:row>
      <xdr:rowOff>238125</xdr:rowOff>
    </xdr:to>
    <xdr:sp macro="" textlink="">
      <xdr:nvSpPr>
        <xdr:cNvPr id="43608" name="rteShptp103c12c22size26color255routevb"/>
        <xdr:cNvSpPr/>
      </xdr:nvSpPr>
      <xdr:spPr>
        <a:xfrm>
          <a:off x="49996725" y="8048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238125</xdr:colOff>
      <xdr:row>18</xdr:row>
      <xdr:rowOff>238125</xdr:rowOff>
    </xdr:from>
    <xdr:to>
      <xdr:col>103</xdr:col>
      <xdr:colOff>238125</xdr:colOff>
      <xdr:row>18</xdr:row>
      <xdr:rowOff>238125</xdr:rowOff>
    </xdr:to>
    <xdr:sp macro="" textlink="">
      <xdr:nvSpPr>
        <xdr:cNvPr id="43611" name="rteShptp103c12c26size0color0routec"/>
        <xdr:cNvSpPr/>
      </xdr:nvSpPr>
      <xdr:spPr>
        <a:xfrm>
          <a:off x="4999672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73025</xdr:colOff>
      <xdr:row>24</xdr:row>
      <xdr:rowOff>73025</xdr:rowOff>
    </xdr:from>
    <xdr:to>
      <xdr:col>103</xdr:col>
      <xdr:colOff>403225</xdr:colOff>
      <xdr:row>24</xdr:row>
      <xdr:rowOff>403225</xdr:rowOff>
    </xdr:to>
    <xdr:sp macro="" textlink="">
      <xdr:nvSpPr>
        <xdr:cNvPr id="43613" name="tp103c13c22size26color65535routev"/>
        <xdr:cNvSpPr/>
      </xdr:nvSpPr>
      <xdr:spPr>
        <a:xfrm>
          <a:off x="49831625" y="12646025"/>
          <a:ext cx="330200" cy="330200"/>
        </a:xfrm>
        <a:prstGeom prst="ellipse">
          <a:avLst/>
        </a:prstGeom>
        <a:solidFill>
          <a:srgbClr val="FFFF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238125</xdr:colOff>
      <xdr:row>24</xdr:row>
      <xdr:rowOff>238125</xdr:rowOff>
    </xdr:from>
    <xdr:to>
      <xdr:col>103</xdr:col>
      <xdr:colOff>238125</xdr:colOff>
      <xdr:row>24</xdr:row>
      <xdr:rowOff>238125</xdr:rowOff>
    </xdr:to>
    <xdr:sp macro="" textlink="">
      <xdr:nvSpPr>
        <xdr:cNvPr id="43614" name="rteShptp103c13c22size26color65535routev"/>
        <xdr:cNvSpPr/>
      </xdr:nvSpPr>
      <xdr:spPr>
        <a:xfrm>
          <a:off x="4999672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238125</xdr:colOff>
      <xdr:row>28</xdr:row>
      <xdr:rowOff>238125</xdr:rowOff>
    </xdr:from>
    <xdr:to>
      <xdr:col>103</xdr:col>
      <xdr:colOff>238125</xdr:colOff>
      <xdr:row>28</xdr:row>
      <xdr:rowOff>238125</xdr:rowOff>
    </xdr:to>
    <xdr:sp macro="" textlink="">
      <xdr:nvSpPr>
        <xdr:cNvPr id="43616" name="rteShptp103c13c26size0color0routecb"/>
        <xdr:cNvSpPr/>
      </xdr:nvSpPr>
      <xdr:spPr>
        <a:xfrm>
          <a:off x="4999672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73025</xdr:colOff>
      <xdr:row>4</xdr:row>
      <xdr:rowOff>73025</xdr:rowOff>
    </xdr:from>
    <xdr:to>
      <xdr:col>104</xdr:col>
      <xdr:colOff>403225</xdr:colOff>
      <xdr:row>4</xdr:row>
      <xdr:rowOff>403225</xdr:rowOff>
    </xdr:to>
    <xdr:sp macro="" textlink="">
      <xdr:nvSpPr>
        <xdr:cNvPr id="43619" name="tp104c11c22size26color255routevc"/>
        <xdr:cNvSpPr/>
      </xdr:nvSpPr>
      <xdr:spPr>
        <a:xfrm>
          <a:off x="50307875" y="3121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238125</xdr:colOff>
      <xdr:row>4</xdr:row>
      <xdr:rowOff>238125</xdr:rowOff>
    </xdr:from>
    <xdr:to>
      <xdr:col>104</xdr:col>
      <xdr:colOff>238125</xdr:colOff>
      <xdr:row>4</xdr:row>
      <xdr:rowOff>238125</xdr:rowOff>
    </xdr:to>
    <xdr:sp macro="" textlink="">
      <xdr:nvSpPr>
        <xdr:cNvPr id="43620" name="rteShptp104c11c22size26color255routevc"/>
        <xdr:cNvSpPr/>
      </xdr:nvSpPr>
      <xdr:spPr>
        <a:xfrm>
          <a:off x="50472975" y="328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174625</xdr:colOff>
      <xdr:row>5</xdr:row>
      <xdr:rowOff>174625</xdr:rowOff>
    </xdr:from>
    <xdr:to>
      <xdr:col>104</xdr:col>
      <xdr:colOff>301625</xdr:colOff>
      <xdr:row>5</xdr:row>
      <xdr:rowOff>301625</xdr:rowOff>
    </xdr:to>
    <xdr:sp macro="" textlink="">
      <xdr:nvSpPr>
        <xdr:cNvPr id="43623" name="tp104c11c23size10color255route"/>
        <xdr:cNvSpPr/>
      </xdr:nvSpPr>
      <xdr:spPr>
        <a:xfrm>
          <a:off x="50409475" y="369887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174625</xdr:colOff>
      <xdr:row>8</xdr:row>
      <xdr:rowOff>174625</xdr:rowOff>
    </xdr:from>
    <xdr:to>
      <xdr:col>104</xdr:col>
      <xdr:colOff>301625</xdr:colOff>
      <xdr:row>8</xdr:row>
      <xdr:rowOff>301625</xdr:rowOff>
    </xdr:to>
    <xdr:sp macro="" textlink="">
      <xdr:nvSpPr>
        <xdr:cNvPr id="43624" name="tp104c11c26size10color255routeb"/>
        <xdr:cNvSpPr/>
      </xdr:nvSpPr>
      <xdr:spPr>
        <a:xfrm>
          <a:off x="50409475" y="5127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238125</xdr:colOff>
      <xdr:row>8</xdr:row>
      <xdr:rowOff>238125</xdr:rowOff>
    </xdr:from>
    <xdr:to>
      <xdr:col>104</xdr:col>
      <xdr:colOff>238125</xdr:colOff>
      <xdr:row>8</xdr:row>
      <xdr:rowOff>238125</xdr:rowOff>
    </xdr:to>
    <xdr:sp macro="" textlink="">
      <xdr:nvSpPr>
        <xdr:cNvPr id="43625" name="rteShptp104c11c26size10color255routeb"/>
        <xdr:cNvSpPr/>
      </xdr:nvSpPr>
      <xdr:spPr>
        <a:xfrm>
          <a:off x="50472975" y="519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174625</xdr:colOff>
      <xdr:row>14</xdr:row>
      <xdr:rowOff>174625</xdr:rowOff>
    </xdr:from>
    <xdr:to>
      <xdr:col>104</xdr:col>
      <xdr:colOff>301625</xdr:colOff>
      <xdr:row>14</xdr:row>
      <xdr:rowOff>301625</xdr:rowOff>
    </xdr:to>
    <xdr:sp macro="" textlink="">
      <xdr:nvSpPr>
        <xdr:cNvPr id="43627" name="tp104c12c22size10color255route"/>
        <xdr:cNvSpPr/>
      </xdr:nvSpPr>
      <xdr:spPr>
        <a:xfrm>
          <a:off x="50409475" y="79851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73025</xdr:colOff>
      <xdr:row>18</xdr:row>
      <xdr:rowOff>73025</xdr:rowOff>
    </xdr:from>
    <xdr:to>
      <xdr:col>104</xdr:col>
      <xdr:colOff>403225</xdr:colOff>
      <xdr:row>18</xdr:row>
      <xdr:rowOff>403225</xdr:rowOff>
    </xdr:to>
    <xdr:sp macro="" textlink="">
      <xdr:nvSpPr>
        <xdr:cNvPr id="43628" name="tp104c12c26size26color255routevcb"/>
        <xdr:cNvSpPr/>
      </xdr:nvSpPr>
      <xdr:spPr>
        <a:xfrm>
          <a:off x="50307875" y="97885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238125</xdr:colOff>
      <xdr:row>18</xdr:row>
      <xdr:rowOff>238125</xdr:rowOff>
    </xdr:from>
    <xdr:to>
      <xdr:col>104</xdr:col>
      <xdr:colOff>238125</xdr:colOff>
      <xdr:row>18</xdr:row>
      <xdr:rowOff>238125</xdr:rowOff>
    </xdr:to>
    <xdr:sp macro="" textlink="">
      <xdr:nvSpPr>
        <xdr:cNvPr id="43629" name="rteShptp104c12c26size26color255routevcb"/>
        <xdr:cNvSpPr/>
      </xdr:nvSpPr>
      <xdr:spPr>
        <a:xfrm>
          <a:off x="50472975" y="99536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73025</xdr:colOff>
      <xdr:row>24</xdr:row>
      <xdr:rowOff>73025</xdr:rowOff>
    </xdr:from>
    <xdr:to>
      <xdr:col>104</xdr:col>
      <xdr:colOff>403225</xdr:colOff>
      <xdr:row>24</xdr:row>
      <xdr:rowOff>403225</xdr:rowOff>
    </xdr:to>
    <xdr:sp macro="" textlink="">
      <xdr:nvSpPr>
        <xdr:cNvPr id="43633" name="tp104c13c22size26color255routev"/>
        <xdr:cNvSpPr/>
      </xdr:nvSpPr>
      <xdr:spPr>
        <a:xfrm>
          <a:off x="50307875" y="12646025"/>
          <a:ext cx="330200" cy="3302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238125</xdr:colOff>
      <xdr:row>24</xdr:row>
      <xdr:rowOff>238125</xdr:rowOff>
    </xdr:from>
    <xdr:to>
      <xdr:col>104</xdr:col>
      <xdr:colOff>238125</xdr:colOff>
      <xdr:row>24</xdr:row>
      <xdr:rowOff>238125</xdr:rowOff>
    </xdr:to>
    <xdr:sp macro="" textlink="">
      <xdr:nvSpPr>
        <xdr:cNvPr id="43634" name="rteShptp104c13c22size26color255routev"/>
        <xdr:cNvSpPr/>
      </xdr:nvSpPr>
      <xdr:spPr>
        <a:xfrm>
          <a:off x="50472975" y="12811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174625</xdr:colOff>
      <xdr:row>28</xdr:row>
      <xdr:rowOff>174625</xdr:rowOff>
    </xdr:from>
    <xdr:to>
      <xdr:col>104</xdr:col>
      <xdr:colOff>301625</xdr:colOff>
      <xdr:row>28</xdr:row>
      <xdr:rowOff>301625</xdr:rowOff>
    </xdr:to>
    <xdr:sp macro="" textlink="">
      <xdr:nvSpPr>
        <xdr:cNvPr id="43636" name="tp104c13c26size10color255routecb"/>
        <xdr:cNvSpPr/>
      </xdr:nvSpPr>
      <xdr:spPr>
        <a:xfrm>
          <a:off x="50409475" y="14652625"/>
          <a:ext cx="127000" cy="127000"/>
        </a:xfrm>
        <a:prstGeom prst="ellipse">
          <a:avLst/>
        </a:prstGeom>
        <a:solidFill>
          <a:srgbClr val="FF000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238125</xdr:colOff>
      <xdr:row>28</xdr:row>
      <xdr:rowOff>238125</xdr:rowOff>
    </xdr:from>
    <xdr:to>
      <xdr:col>104</xdr:col>
      <xdr:colOff>238125</xdr:colOff>
      <xdr:row>28</xdr:row>
      <xdr:rowOff>238125</xdr:rowOff>
    </xdr:to>
    <xdr:sp macro="" textlink="">
      <xdr:nvSpPr>
        <xdr:cNvPr id="43637" name="rteShptp104c13c26size10color255routecb"/>
        <xdr:cNvSpPr/>
      </xdr:nvSpPr>
      <xdr:spPr>
        <a:xfrm>
          <a:off x="50472975" y="14716125"/>
          <a:ext cx="0" cy="0"/>
        </a:xfrm>
        <a:prstGeom prst="ellipse">
          <a:avLst/>
        </a:prstGeom>
        <a:solidFill>
          <a:schemeClr val="accent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45720" tIns="45720" rIns="4572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difi Print">
  <a:themeElements>
    <a:clrScheme name="difi">
      <a:dk1>
        <a:srgbClr val="293033"/>
      </a:dk1>
      <a:lt1>
        <a:sysClr val="window" lastClr="FFFFFF"/>
      </a:lt1>
      <a:dk2>
        <a:srgbClr val="267BB1"/>
      </a:dk2>
      <a:lt2>
        <a:srgbClr val="C0C8CC"/>
      </a:lt2>
      <a:accent1>
        <a:srgbClr val="FF6600"/>
      </a:accent1>
      <a:accent2>
        <a:srgbClr val="94BFFE"/>
      </a:accent2>
      <a:accent3>
        <a:srgbClr val="FFBF3F"/>
      </a:accent3>
      <a:accent4>
        <a:srgbClr val="14CC6F"/>
      </a:accent4>
      <a:accent5>
        <a:srgbClr val="D74B9B"/>
      </a:accent5>
      <a:accent6>
        <a:srgbClr val="ED1C24"/>
      </a:accent6>
      <a:hlink>
        <a:srgbClr val="00A9B2"/>
      </a:hlink>
      <a:folHlink>
        <a:srgbClr val="00A9B2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ot="0" spcFirstLastPara="0" vertOverflow="overflow" horzOverflow="overflow" vert="horz" wrap="square" lIns="45720" tIns="45720" rIns="4572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8"/>
  <sheetViews>
    <sheetView workbookViewId="0">
      <selection activeCell="A13" sqref="A13"/>
    </sheetView>
  </sheetViews>
  <sheetFormatPr defaultRowHeight="14.25" x14ac:dyDescent="0.2"/>
  <cols>
    <col min="1" max="1" width="152.375" customWidth="1"/>
  </cols>
  <sheetData>
    <row r="1" spans="1:1" x14ac:dyDescent="0.2">
      <c r="A1" t="s">
        <v>20</v>
      </c>
    </row>
    <row r="2" spans="1:1" x14ac:dyDescent="0.2">
      <c r="A2" s="3" t="s">
        <v>21</v>
      </c>
    </row>
    <row r="3" spans="1:1" x14ac:dyDescent="0.2">
      <c r="A3" s="3" t="s">
        <v>22</v>
      </c>
    </row>
    <row r="4" spans="1:1" x14ac:dyDescent="0.2">
      <c r="A4" s="3" t="s">
        <v>23</v>
      </c>
    </row>
    <row r="5" spans="1:1" x14ac:dyDescent="0.2">
      <c r="A5" s="3" t="s">
        <v>32</v>
      </c>
    </row>
    <row r="7" spans="1:1" x14ac:dyDescent="0.2">
      <c r="A7" t="s">
        <v>35</v>
      </c>
    </row>
    <row r="9" spans="1:1" ht="15" x14ac:dyDescent="0.25">
      <c r="A9" t="s">
        <v>53</v>
      </c>
    </row>
    <row r="10" spans="1:1" ht="15" x14ac:dyDescent="0.25">
      <c r="A10" s="3" t="s">
        <v>55</v>
      </c>
    </row>
    <row r="12" spans="1:1" x14ac:dyDescent="0.2">
      <c r="A12" t="s">
        <v>36</v>
      </c>
    </row>
    <row r="13" spans="1:1" x14ac:dyDescent="0.2">
      <c r="A13" s="4" t="s">
        <v>37</v>
      </c>
    </row>
    <row r="14" spans="1:1" x14ac:dyDescent="0.2">
      <c r="A14" s="8" t="s">
        <v>38</v>
      </c>
    </row>
    <row r="15" spans="1:1" x14ac:dyDescent="0.2">
      <c r="A15" s="8" t="s">
        <v>39</v>
      </c>
    </row>
    <row r="16" spans="1:1" x14ac:dyDescent="0.2">
      <c r="A16" s="8" t="s">
        <v>40</v>
      </c>
    </row>
    <row r="17" spans="1:1" x14ac:dyDescent="0.2">
      <c r="A17" s="4" t="s">
        <v>41</v>
      </c>
    </row>
    <row r="18" spans="1:1" x14ac:dyDescent="0.2">
      <c r="A18" s="8" t="s">
        <v>42</v>
      </c>
    </row>
    <row r="19" spans="1:1" x14ac:dyDescent="0.2">
      <c r="A19" s="8" t="s">
        <v>43</v>
      </c>
    </row>
    <row r="20" spans="1:1" x14ac:dyDescent="0.2">
      <c r="A20" s="8" t="s">
        <v>44</v>
      </c>
    </row>
    <row r="21" spans="1:1" x14ac:dyDescent="0.2">
      <c r="A21" s="4" t="s">
        <v>45</v>
      </c>
    </row>
    <row r="22" spans="1:1" x14ac:dyDescent="0.2">
      <c r="A22" s="8" t="s">
        <v>48</v>
      </c>
    </row>
    <row r="23" spans="1:1" x14ac:dyDescent="0.2">
      <c r="A23" s="8" t="s">
        <v>46</v>
      </c>
    </row>
    <row r="24" spans="1:1" x14ac:dyDescent="0.2">
      <c r="A24" s="8" t="s">
        <v>47</v>
      </c>
    </row>
    <row r="25" spans="1:1" x14ac:dyDescent="0.2">
      <c r="A25" s="15" t="s">
        <v>49</v>
      </c>
    </row>
    <row r="26" spans="1:1" ht="15" x14ac:dyDescent="0.25">
      <c r="A26" s="14" t="s">
        <v>105</v>
      </c>
    </row>
    <row r="27" spans="1:1" x14ac:dyDescent="0.2">
      <c r="A27" s="16" t="s">
        <v>106</v>
      </c>
    </row>
    <row r="28" spans="1:1" x14ac:dyDescent="0.2">
      <c r="A28" s="16" t="s">
        <v>74</v>
      </c>
    </row>
    <row r="29" spans="1:1" x14ac:dyDescent="0.2">
      <c r="A29" s="17" t="s">
        <v>73</v>
      </c>
    </row>
    <row r="31" spans="1:1" ht="15" x14ac:dyDescent="0.25">
      <c r="A31" s="1" t="s">
        <v>51</v>
      </c>
    </row>
    <row r="33" spans="1:1" x14ac:dyDescent="0.2">
      <c r="A33" t="s">
        <v>52</v>
      </c>
    </row>
    <row r="34" spans="1:1" x14ac:dyDescent="0.2">
      <c r="A34" s="4" t="s">
        <v>87</v>
      </c>
    </row>
    <row r="35" spans="1:1" x14ac:dyDescent="0.2">
      <c r="A35" s="4" t="s">
        <v>107</v>
      </c>
    </row>
    <row r="36" spans="1:1" x14ac:dyDescent="0.2">
      <c r="A36" s="4" t="s">
        <v>114</v>
      </c>
    </row>
    <row r="38" spans="1:1" x14ac:dyDescent="0.2">
      <c r="A38" t="s">
        <v>54</v>
      </c>
    </row>
  </sheetData>
  <sheetProtection password="CA83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1"/>
  <sheetViews>
    <sheetView workbookViewId="0">
      <selection activeCell="C14" sqref="C14"/>
    </sheetView>
  </sheetViews>
  <sheetFormatPr defaultRowHeight="14.25" x14ac:dyDescent="0.2"/>
  <cols>
    <col min="1" max="1" width="12.375" style="6" customWidth="1"/>
    <col min="2" max="2" width="11.5" style="6" customWidth="1"/>
    <col min="3" max="3" width="11.5" customWidth="1"/>
    <col min="4" max="4" width="12.625" hidden="1" customWidth="1"/>
    <col min="5" max="5" width="0" hidden="1" customWidth="1"/>
  </cols>
  <sheetData>
    <row r="1" spans="1:5" s="2" customFormat="1" ht="15" x14ac:dyDescent="0.25">
      <c r="A1" s="2" t="s">
        <v>18</v>
      </c>
      <c r="B1" s="2" t="s">
        <v>19</v>
      </c>
      <c r="D1" s="2" t="s">
        <v>33</v>
      </c>
      <c r="E1" s="2" t="s">
        <v>31</v>
      </c>
    </row>
    <row r="2" spans="1:5" x14ac:dyDescent="0.2">
      <c r="A2" s="6" t="s">
        <v>62</v>
      </c>
      <c r="B2" s="6" t="s">
        <v>65</v>
      </c>
      <c r="E2" t="str">
        <f t="array" ref="E2">IFERROR(IF(INDEX(stages,MATCH(0,COUNTIF($E$1:E1,stages),0))=0,"",INDEX(stages,MATCH(0,COUNTIF($E$1:E1,stages),0))),"")</f>
        <v>Research</v>
      </c>
    </row>
    <row r="3" spans="1:5" x14ac:dyDescent="0.2">
      <c r="A3" s="6" t="s">
        <v>63</v>
      </c>
      <c r="B3" s="6" t="s">
        <v>66</v>
      </c>
      <c r="E3" t="str">
        <f t="array" ref="E3">IFERROR(IF(INDEX(stages,MATCH(0,COUNTIF($E$1:E2,stages),0))=0,"",INDEX(stages,MATCH(0,COUNTIF($E$1:E2,stages),0))),"")</f>
        <v>Apply</v>
      </c>
    </row>
    <row r="4" spans="1:5" x14ac:dyDescent="0.2">
      <c r="A4" s="6" t="s">
        <v>64</v>
      </c>
      <c r="B4" s="6" t="s">
        <v>67</v>
      </c>
      <c r="E4" t="str">
        <f t="array" ref="E4">IFERROR(IF(INDEX(stages,MATCH(0,COUNTIF($E$1:E3,stages),0))=0,"",INDEX(stages,MATCH(0,COUNTIF($E$1:E3,stages),0))),"")</f>
        <v>Account Onboarding</v>
      </c>
    </row>
    <row r="5" spans="1:5" x14ac:dyDescent="0.2">
      <c r="B5" s="6" t="s">
        <v>68</v>
      </c>
      <c r="E5" t="str">
        <f t="array" ref="E5">IFERROR(IF(INDEX(stages,MATCH(0,COUNTIF($E$1:E4,stages),0))=0,"",INDEX(stages,MATCH(0,COUNTIF($E$1:E4,stages),0))),"")</f>
        <v>Usage</v>
      </c>
    </row>
    <row r="6" spans="1:5" x14ac:dyDescent="0.2">
      <c r="B6" s="6" t="s">
        <v>69</v>
      </c>
      <c r="E6" t="str">
        <f t="array" ref="E6">IFERROR(IF(INDEX(stages,MATCH(0,COUNTIF($E$1:E5,stages),0))=0,"",INDEX(stages,MATCH(0,COUNTIF($E$1:E5,stages),0))),"")</f>
        <v>Maintenance/Servicing</v>
      </c>
    </row>
    <row r="7" spans="1:5" x14ac:dyDescent="0.2">
      <c r="B7" s="6" t="s">
        <v>70</v>
      </c>
      <c r="E7" t="str">
        <f t="array" ref="E7">IFERROR(IF(INDEX(stages,MATCH(0,COUNTIF($E$1:E6,stages),0))=0,"",INDEX(stages,MATCH(0,COUNTIF($E$1:E6,stages),0))),"")</f>
        <v>Close Account</v>
      </c>
    </row>
    <row r="8" spans="1:5" x14ac:dyDescent="0.2">
      <c r="B8" s="6" t="s">
        <v>71</v>
      </c>
      <c r="E8" t="str">
        <f t="array" ref="E8">IFERROR(IF(INDEX(stages,MATCH(0,COUNTIF($E$1:E7,stages),0))=0,"",INDEX(stages,MATCH(0,COUNTIF($E$1:E7,stages),0))),"")</f>
        <v/>
      </c>
    </row>
    <row r="9" spans="1:5" x14ac:dyDescent="0.2">
      <c r="B9" s="6" t="s">
        <v>72</v>
      </c>
      <c r="E9" t="str">
        <f t="array" ref="E9">IFERROR(IF(INDEX(stages,MATCH(0,COUNTIF($E$1:E8,stages),0))=0,"",INDEX(stages,MATCH(0,COUNTIF($E$1:E8,stages),0))),"")</f>
        <v/>
      </c>
    </row>
    <row r="10" spans="1:5" x14ac:dyDescent="0.2">
      <c r="E10" t="str">
        <f t="array" ref="E10">IFERROR(IF(INDEX(stages,MATCH(0,COUNTIF($E$1:E9,stages),0))=0,"",INDEX(stages,MATCH(0,COUNTIF($E$1:E9,stages),0))),"")</f>
        <v/>
      </c>
    </row>
    <row r="11" spans="1:5" x14ac:dyDescent="0.2">
      <c r="E11" t="str">
        <f t="array" ref="E11">IFERROR(IF(INDEX(stages,MATCH(0,COUNTIF($E$1:E10,stages),0))=0,"",INDEX(stages,MATCH(0,COUNTIF($E$1:E10,stages),0))),"")</f>
        <v/>
      </c>
    </row>
    <row r="12" spans="1:5" x14ac:dyDescent="0.2">
      <c r="E12" t="str">
        <f t="array" ref="E12">IFERROR(IF(INDEX(stages,MATCH(0,COUNTIF($E$1:E11,stages),0))=0,"",INDEX(stages,MATCH(0,COUNTIF($E$1:E11,stages),0))),"")</f>
        <v/>
      </c>
    </row>
    <row r="13" spans="1:5" x14ac:dyDescent="0.2">
      <c r="E13" t="str">
        <f t="array" ref="E13">IFERROR(IF(INDEX(stages,MATCH(0,COUNTIF($E$1:E12,stages),0))=0,"",INDEX(stages,MATCH(0,COUNTIF($E$1:E12,stages),0))),"")</f>
        <v/>
      </c>
    </row>
    <row r="14" spans="1:5" x14ac:dyDescent="0.2">
      <c r="E14" t="str">
        <f t="array" ref="E14">IFERROR(IF(INDEX(stages,MATCH(0,COUNTIF($E$1:E13,stages),0))=0,"",INDEX(stages,MATCH(0,COUNTIF($E$1:E13,stages),0))),"")</f>
        <v/>
      </c>
    </row>
    <row r="15" spans="1:5" x14ac:dyDescent="0.2">
      <c r="E15" t="str">
        <f t="array" ref="E15">IFERROR(IF(INDEX(stages,MATCH(0,COUNTIF($E$1:E14,stages),0))=0,"",INDEX(stages,MATCH(0,COUNTIF($E$1:E14,stages),0))),"")</f>
        <v/>
      </c>
    </row>
    <row r="16" spans="1:5" x14ac:dyDescent="0.2">
      <c r="E16" t="str">
        <f t="array" ref="E16">IFERROR(IF(INDEX(stages,MATCH(0,COUNTIF($E$1:E15,stages),0))=0,"",INDEX(stages,MATCH(0,COUNTIF($E$1:E15,stages),0))),"")</f>
        <v/>
      </c>
    </row>
    <row r="17" spans="5:5" x14ac:dyDescent="0.2">
      <c r="E17" t="str">
        <f t="array" ref="E17">IFERROR(IF(INDEX(stages,MATCH(0,COUNTIF($E$1:E16,stages),0))=0,"",INDEX(stages,MATCH(0,COUNTIF($E$1:E16,stages),0))),"")</f>
        <v/>
      </c>
    </row>
    <row r="18" spans="5:5" x14ac:dyDescent="0.2">
      <c r="E18" t="str">
        <f t="array" ref="E18">IFERROR(IF(INDEX(stages,MATCH(0,COUNTIF($E$1:E17,stages),0))=0,"",INDEX(stages,MATCH(0,COUNTIF($E$1:E17,stages),0))),"")</f>
        <v/>
      </c>
    </row>
    <row r="19" spans="5:5" x14ac:dyDescent="0.2">
      <c r="E19" t="str">
        <f t="array" ref="E19">IFERROR(IF(INDEX(stages,MATCH(0,COUNTIF($E$1:E18,stages),0))=0,"",INDEX(stages,MATCH(0,COUNTIF($E$1:E18,stages),0))),"")</f>
        <v/>
      </c>
    </row>
    <row r="20" spans="5:5" x14ac:dyDescent="0.2">
      <c r="E20" t="str">
        <f t="array" ref="E20">IFERROR(IF(INDEX(stages,MATCH(0,COUNTIF($E$1:E19,stages),0))=0,"",INDEX(stages,MATCH(0,COUNTIF($E$1:E19,stages),0))),"")</f>
        <v/>
      </c>
    </row>
    <row r="21" spans="5:5" x14ac:dyDescent="0.2">
      <c r="E21" t="str">
        <f t="array" ref="E21">IFERROR(IF(INDEX(stages,MATCH(0,COUNTIF($E$1:E20,stages),0))=0,"",INDEX(stages,MATCH(0,COUNTIF($E$1:E20,stages),0))),"")</f>
        <v/>
      </c>
    </row>
    <row r="22" spans="5:5" x14ac:dyDescent="0.2">
      <c r="E22" t="str">
        <f t="array" ref="E22">IFERROR(IF(INDEX(stages,MATCH(0,COUNTIF($E$1:E21,stages),0))=0,"",INDEX(stages,MATCH(0,COUNTIF($E$1:E21,stages),0))),"")</f>
        <v/>
      </c>
    </row>
    <row r="23" spans="5:5" x14ac:dyDescent="0.2">
      <c r="E23" t="str">
        <f t="array" ref="E23">IFERROR(IF(INDEX(stages,MATCH(0,COUNTIF($E$1:E22,stages),0))=0,"",INDEX(stages,MATCH(0,COUNTIF($E$1:E22,stages),0))),"")</f>
        <v/>
      </c>
    </row>
    <row r="24" spans="5:5" x14ac:dyDescent="0.2">
      <c r="E24" t="str">
        <f t="array" ref="E24">IFERROR(IF(INDEX(stages,MATCH(0,COUNTIF($E$1:E23,stages),0))=0,"",INDEX(stages,MATCH(0,COUNTIF($E$1:E23,stages),0))),"")</f>
        <v/>
      </c>
    </row>
    <row r="25" spans="5:5" x14ac:dyDescent="0.2">
      <c r="E25" t="str">
        <f t="array" ref="E25">IFERROR(IF(INDEX(stages,MATCH(0,COUNTIF($E$1:E24,stages),0))=0,"",INDEX(stages,MATCH(0,COUNTIF($E$1:E24,stages),0))),"")</f>
        <v/>
      </c>
    </row>
    <row r="26" spans="5:5" x14ac:dyDescent="0.2">
      <c r="E26" t="str">
        <f t="array" ref="E26">IFERROR(IF(INDEX(stages,MATCH(0,COUNTIF($E$1:E25,stages),0))=0,"",INDEX(stages,MATCH(0,COUNTIF($E$1:E25,stages),0))),"")</f>
        <v/>
      </c>
    </row>
    <row r="27" spans="5:5" x14ac:dyDescent="0.2">
      <c r="E27" t="str">
        <f t="array" ref="E27">IFERROR(IF(INDEX(stages,MATCH(0,COUNTIF($E$1:E26,stages),0))=0,"",INDEX(stages,MATCH(0,COUNTIF($E$1:E26,stages),0))),"")</f>
        <v/>
      </c>
    </row>
    <row r="28" spans="5:5" x14ac:dyDescent="0.2">
      <c r="E28" t="str">
        <f t="array" ref="E28">IFERROR(IF(INDEX(stages,MATCH(0,COUNTIF($E$1:E27,stages),0))=0,"",INDEX(stages,MATCH(0,COUNTIF($E$1:E27,stages),0))),"")</f>
        <v/>
      </c>
    </row>
    <row r="29" spans="5:5" x14ac:dyDescent="0.2">
      <c r="E29" t="str">
        <f t="array" ref="E29">IFERROR(IF(INDEX(stages,MATCH(0,COUNTIF($E$1:E28,stages),0))=0,"",INDEX(stages,MATCH(0,COUNTIF($E$1:E28,stages),0))),"")</f>
        <v/>
      </c>
    </row>
    <row r="30" spans="5:5" x14ac:dyDescent="0.2">
      <c r="E30" t="str">
        <f t="array" ref="E30">IFERROR(IF(INDEX(stages,MATCH(0,COUNTIF($E$1:E29,stages),0))=0,"",INDEX(stages,MATCH(0,COUNTIF($E$1:E29,stages),0))),"")</f>
        <v/>
      </c>
    </row>
    <row r="31" spans="5:5" x14ac:dyDescent="0.2">
      <c r="E31" t="str">
        <f t="array" ref="E31">IFERROR(IF(INDEX(stages,MATCH(0,COUNTIF($E$1:E30,stages),0))=0,"",INDEX(stages,MATCH(0,COUNTIF($E$1:E30,stages),0))),"")</f>
        <v/>
      </c>
    </row>
    <row r="32" spans="5:5" x14ac:dyDescent="0.2">
      <c r="E32" t="str">
        <f t="array" ref="E32">IFERROR(IF(INDEX(stages,MATCH(0,COUNTIF($E$1:E31,stages),0))=0,"",INDEX(stages,MATCH(0,COUNTIF($E$1:E31,stages),0))),"")</f>
        <v/>
      </c>
    </row>
    <row r="33" spans="5:5" x14ac:dyDescent="0.2">
      <c r="E33" t="str">
        <f t="array" ref="E33">IFERROR(IF(INDEX(stages,MATCH(0,COUNTIF($E$1:E32,stages),0))=0,"",INDEX(stages,MATCH(0,COUNTIF($E$1:E32,stages),0))),"")</f>
        <v/>
      </c>
    </row>
    <row r="34" spans="5:5" x14ac:dyDescent="0.2">
      <c r="E34" t="str">
        <f t="array" ref="E34">IFERROR(IF(INDEX(stages,MATCH(0,COUNTIF($E$1:E33,stages),0))=0,"",INDEX(stages,MATCH(0,COUNTIF($E$1:E33,stages),0))),"")</f>
        <v/>
      </c>
    </row>
    <row r="35" spans="5:5" x14ac:dyDescent="0.2">
      <c r="E35" t="str">
        <f t="array" ref="E35">IFERROR(IF(INDEX(stages,MATCH(0,COUNTIF($E$1:E34,stages),0))=0,"",INDEX(stages,MATCH(0,COUNTIF($E$1:E34,stages),0))),"")</f>
        <v/>
      </c>
    </row>
    <row r="36" spans="5:5" x14ac:dyDescent="0.2">
      <c r="E36" t="str">
        <f t="array" ref="E36">IFERROR(IF(INDEX(stages,MATCH(0,COUNTIF($E$1:E35,stages),0))=0,"",INDEX(stages,MATCH(0,COUNTIF($E$1:E35,stages),0))),"")</f>
        <v/>
      </c>
    </row>
    <row r="37" spans="5:5" x14ac:dyDescent="0.2">
      <c r="E37" t="str">
        <f t="array" ref="E37">IFERROR(IF(INDEX(stages,MATCH(0,COUNTIF($E$1:E36,stages),0))=0,"",INDEX(stages,MATCH(0,COUNTIF($E$1:E36,stages),0))),"")</f>
        <v/>
      </c>
    </row>
    <row r="38" spans="5:5" x14ac:dyDescent="0.2">
      <c r="E38" t="str">
        <f t="array" ref="E38">IFERROR(IF(INDEX(stages,MATCH(0,COUNTIF($E$1:E37,stages),0))=0,"",INDEX(stages,MATCH(0,COUNTIF($E$1:E37,stages),0))),"")</f>
        <v/>
      </c>
    </row>
    <row r="39" spans="5:5" x14ac:dyDescent="0.2">
      <c r="E39" t="str">
        <f t="array" ref="E39">IFERROR(IF(INDEX(stages,MATCH(0,COUNTIF($E$1:E38,stages),0))=0,"",INDEX(stages,MATCH(0,COUNTIF($E$1:E38,stages),0))),"")</f>
        <v/>
      </c>
    </row>
    <row r="40" spans="5:5" x14ac:dyDescent="0.2">
      <c r="E40" t="str">
        <f t="array" ref="E40">IFERROR(IF(INDEX(stages,MATCH(0,COUNTIF($E$1:E39,stages),0))=0,"",INDEX(stages,MATCH(0,COUNTIF($E$1:E39,stages),0))),"")</f>
        <v/>
      </c>
    </row>
    <row r="41" spans="5:5" x14ac:dyDescent="0.2">
      <c r="E41" t="str">
        <f t="array" ref="E41">IFERROR(IF(INDEX(stages,MATCH(0,COUNTIF($E$1:E40,stages),0))=0,"",INDEX(stages,MATCH(0,COUNTIF($E$1:E40,stages),0))),"")</f>
        <v/>
      </c>
    </row>
    <row r="42" spans="5:5" x14ac:dyDescent="0.2">
      <c r="E42" t="str">
        <f t="array" ref="E42">IFERROR(IF(INDEX(stages,MATCH(0,COUNTIF($E$1:E41,stages),0))=0,"",INDEX(stages,MATCH(0,COUNTIF($E$1:E41,stages),0))),"")</f>
        <v/>
      </c>
    </row>
    <row r="43" spans="5:5" x14ac:dyDescent="0.2">
      <c r="E43" t="str">
        <f t="array" ref="E43">IFERROR(IF(INDEX(stages,MATCH(0,COUNTIF($E$1:E42,stages),0))=0,"",INDEX(stages,MATCH(0,COUNTIF($E$1:E42,stages),0))),"")</f>
        <v/>
      </c>
    </row>
    <row r="44" spans="5:5" x14ac:dyDescent="0.2">
      <c r="E44" t="str">
        <f t="array" ref="E44">IFERROR(IF(INDEX(stages,MATCH(0,COUNTIF($E$1:E43,stages),0))=0,"",INDEX(stages,MATCH(0,COUNTIF($E$1:E43,stages),0))),"")</f>
        <v/>
      </c>
    </row>
    <row r="45" spans="5:5" x14ac:dyDescent="0.2">
      <c r="E45" t="str">
        <f t="array" ref="E45">IFERROR(IF(INDEX(stages,MATCH(0,COUNTIF($E$1:E44,stages),0))=0,"",INDEX(stages,MATCH(0,COUNTIF($E$1:E44,stages),0))),"")</f>
        <v/>
      </c>
    </row>
    <row r="46" spans="5:5" x14ac:dyDescent="0.2">
      <c r="E46" t="str">
        <f t="array" ref="E46">IFERROR(IF(INDEX(stages,MATCH(0,COUNTIF($E$1:E45,stages),0))=0,"",INDEX(stages,MATCH(0,COUNTIF($E$1:E45,stages),0))),"")</f>
        <v/>
      </c>
    </row>
    <row r="47" spans="5:5" x14ac:dyDescent="0.2">
      <c r="E47" t="str">
        <f t="array" ref="E47">IFERROR(IF(INDEX(stages,MATCH(0,COUNTIF($E$1:E46,stages),0))=0,"",INDEX(stages,MATCH(0,COUNTIF($E$1:E46,stages),0))),"")</f>
        <v/>
      </c>
    </row>
    <row r="48" spans="5:5" x14ac:dyDescent="0.2">
      <c r="E48" t="str">
        <f t="array" ref="E48">IFERROR(IF(INDEX(stages,MATCH(0,COUNTIF($E$1:E47,stages),0))=0,"",INDEX(stages,MATCH(0,COUNTIF($E$1:E47,stages),0))),"")</f>
        <v/>
      </c>
    </row>
    <row r="49" spans="5:5" x14ac:dyDescent="0.2">
      <c r="E49" t="str">
        <f t="array" ref="E49">IFERROR(IF(INDEX(stages,MATCH(0,COUNTIF($E$1:E48,stages),0))=0,"",INDEX(stages,MATCH(0,COUNTIF($E$1:E48,stages),0))),"")</f>
        <v/>
      </c>
    </row>
    <row r="50" spans="5:5" x14ac:dyDescent="0.2">
      <c r="E50" t="str">
        <f t="array" ref="E50">IFERROR(IF(INDEX(stages,MATCH(0,COUNTIF($E$1:E49,stages),0))=0,"",INDEX(stages,MATCH(0,COUNTIF($E$1:E49,stages),0))),"")</f>
        <v/>
      </c>
    </row>
    <row r="51" spans="5:5" x14ac:dyDescent="0.2">
      <c r="E51" t="str">
        <f t="array" ref="E51">IFERROR(IF(INDEX(stages,MATCH(0,COUNTIF($E$1:E50,stages),0))=0,"",INDEX(stages,MATCH(0,COUNTIF($E$1:E50,stages),0))),"")</f>
        <v/>
      </c>
    </row>
    <row r="52" spans="5:5" x14ac:dyDescent="0.2">
      <c r="E52" t="str">
        <f t="array" ref="E52">IFERROR(IF(INDEX(stages,MATCH(0,COUNTIF($E$1:E51,stages),0))=0,"",INDEX(stages,MATCH(0,COUNTIF($E$1:E51,stages),0))),"")</f>
        <v/>
      </c>
    </row>
    <row r="53" spans="5:5" x14ac:dyDescent="0.2">
      <c r="E53" t="str">
        <f t="array" ref="E53">IFERROR(IF(INDEX(stages,MATCH(0,COUNTIF($E$1:E52,stages),0))=0,"",INDEX(stages,MATCH(0,COUNTIF($E$1:E52,stages),0))),"")</f>
        <v/>
      </c>
    </row>
    <row r="54" spans="5:5" x14ac:dyDescent="0.2">
      <c r="E54" t="str">
        <f t="array" ref="E54">IFERROR(IF(INDEX(stages,MATCH(0,COUNTIF($E$1:E53,stages),0))=0,"",INDEX(stages,MATCH(0,COUNTIF($E$1:E53,stages),0))),"")</f>
        <v/>
      </c>
    </row>
    <row r="55" spans="5:5" x14ac:dyDescent="0.2">
      <c r="E55" t="str">
        <f t="array" ref="E55">IFERROR(IF(INDEX(stages,MATCH(0,COUNTIF($E$1:E54,stages),0))=0,"",INDEX(stages,MATCH(0,COUNTIF($E$1:E54,stages),0))),"")</f>
        <v/>
      </c>
    </row>
    <row r="56" spans="5:5" x14ac:dyDescent="0.2">
      <c r="E56" t="str">
        <f t="array" ref="E56">IFERROR(IF(INDEX(stages,MATCH(0,COUNTIF($E$1:E55,stages),0))=0,"",INDEX(stages,MATCH(0,COUNTIF($E$1:E55,stages),0))),"")</f>
        <v/>
      </c>
    </row>
    <row r="57" spans="5:5" x14ac:dyDescent="0.2">
      <c r="E57" t="str">
        <f t="array" ref="E57">IFERROR(IF(INDEX(stages,MATCH(0,COUNTIF($E$1:E56,stages),0))=0,"",INDEX(stages,MATCH(0,COUNTIF($E$1:E56,stages),0))),"")</f>
        <v/>
      </c>
    </row>
    <row r="58" spans="5:5" x14ac:dyDescent="0.2">
      <c r="E58" t="str">
        <f t="array" ref="E58">IFERROR(IF(INDEX(stages,MATCH(0,COUNTIF($E$1:E57,stages),0))=0,"",INDEX(stages,MATCH(0,COUNTIF($E$1:E57,stages),0))),"")</f>
        <v/>
      </c>
    </row>
    <row r="59" spans="5:5" x14ac:dyDescent="0.2">
      <c r="E59" t="str">
        <f t="array" ref="E59">IFERROR(IF(INDEX(stages,MATCH(0,COUNTIF($E$1:E58,stages),0))=0,"",INDEX(stages,MATCH(0,COUNTIF($E$1:E58,stages),0))),"")</f>
        <v/>
      </c>
    </row>
    <row r="60" spans="5:5" x14ac:dyDescent="0.2">
      <c r="E60" t="str">
        <f t="array" ref="E60">IFERROR(IF(INDEX(stages,MATCH(0,COUNTIF($E$1:E59,stages),0))=0,"",INDEX(stages,MATCH(0,COUNTIF($E$1:E59,stages),0))),"")</f>
        <v/>
      </c>
    </row>
    <row r="61" spans="5:5" x14ac:dyDescent="0.2">
      <c r="E61" t="str">
        <f t="array" ref="E61">IFERROR(IF(INDEX(stages,MATCH(0,COUNTIF($E$1:E60,stages),0))=0,"",INDEX(stages,MATCH(0,COUNTIF($E$1:E60,stages),0))),"")</f>
        <v/>
      </c>
    </row>
    <row r="62" spans="5:5" x14ac:dyDescent="0.2">
      <c r="E62" t="str">
        <f t="array" ref="E62">IFERROR(IF(INDEX(stages,MATCH(0,COUNTIF($E$1:E61,stages),0))=0,"",INDEX(stages,MATCH(0,COUNTIF($E$1:E61,stages),0))),"")</f>
        <v/>
      </c>
    </row>
    <row r="63" spans="5:5" x14ac:dyDescent="0.2">
      <c r="E63" t="str">
        <f t="array" ref="E63">IFERROR(IF(INDEX(stages,MATCH(0,COUNTIF($E$1:E62,stages),0))=0,"",INDEX(stages,MATCH(0,COUNTIF($E$1:E62,stages),0))),"")</f>
        <v/>
      </c>
    </row>
    <row r="64" spans="5:5" x14ac:dyDescent="0.2">
      <c r="E64" t="str">
        <f t="array" ref="E64">IFERROR(IF(INDEX(stages,MATCH(0,COUNTIF($E$1:E63,stages),0))=0,"",INDEX(stages,MATCH(0,COUNTIF($E$1:E63,stages),0))),"")</f>
        <v/>
      </c>
    </row>
    <row r="65" spans="5:5" x14ac:dyDescent="0.2">
      <c r="E65" t="str">
        <f t="array" ref="E65">IFERROR(IF(INDEX(stages,MATCH(0,COUNTIF($E$1:E64,stages),0))=0,"",INDEX(stages,MATCH(0,COUNTIF($E$1:E64,stages),0))),"")</f>
        <v/>
      </c>
    </row>
    <row r="66" spans="5:5" x14ac:dyDescent="0.2">
      <c r="E66" t="str">
        <f t="array" ref="E66">IFERROR(IF(INDEX(stages,MATCH(0,COUNTIF($E$1:E65,stages),0))=0,"",INDEX(stages,MATCH(0,COUNTIF($E$1:E65,stages),0))),"")</f>
        <v/>
      </c>
    </row>
    <row r="67" spans="5:5" x14ac:dyDescent="0.2">
      <c r="E67" t="str">
        <f t="array" ref="E67">IFERROR(IF(INDEX(stages,MATCH(0,COUNTIF($E$1:E66,stages),0))=0,"",INDEX(stages,MATCH(0,COUNTIF($E$1:E66,stages),0))),"")</f>
        <v/>
      </c>
    </row>
    <row r="68" spans="5:5" x14ac:dyDescent="0.2">
      <c r="E68" t="str">
        <f t="array" ref="E68">IFERROR(IF(INDEX(stages,MATCH(0,COUNTIF($E$1:E67,stages),0))=0,"",INDEX(stages,MATCH(0,COUNTIF($E$1:E67,stages),0))),"")</f>
        <v/>
      </c>
    </row>
    <row r="69" spans="5:5" x14ac:dyDescent="0.2">
      <c r="E69" t="str">
        <f t="array" ref="E69">IFERROR(IF(INDEX(stages,MATCH(0,COUNTIF($E$1:E68,stages),0))=0,"",INDEX(stages,MATCH(0,COUNTIF($E$1:E68,stages),0))),"")</f>
        <v/>
      </c>
    </row>
    <row r="70" spans="5:5" x14ac:dyDescent="0.2">
      <c r="E70" t="str">
        <f t="array" ref="E70">IFERROR(IF(INDEX(stages,MATCH(0,COUNTIF($E$1:E69,stages),0))=0,"",INDEX(stages,MATCH(0,COUNTIF($E$1:E69,stages),0))),"")</f>
        <v/>
      </c>
    </row>
    <row r="71" spans="5:5" x14ac:dyDescent="0.2">
      <c r="E71" t="str">
        <f t="array" ref="E71">IFERROR(IF(INDEX(stages,MATCH(0,COUNTIF($E$1:E70,stages),0))=0,"",INDEX(stages,MATCH(0,COUNTIF($E$1:E70,stages),0))),"")</f>
        <v/>
      </c>
    </row>
    <row r="72" spans="5:5" x14ac:dyDescent="0.2">
      <c r="E72" t="str">
        <f t="array" ref="E72">IFERROR(IF(INDEX(stages,MATCH(0,COUNTIF($E$1:E71,stages),0))=0,"",INDEX(stages,MATCH(0,COUNTIF($E$1:E71,stages),0))),"")</f>
        <v/>
      </c>
    </row>
    <row r="73" spans="5:5" x14ac:dyDescent="0.2">
      <c r="E73" t="str">
        <f t="array" ref="E73">IFERROR(IF(INDEX(stages,MATCH(0,COUNTIF($E$1:E72,stages),0))=0,"",INDEX(stages,MATCH(0,COUNTIF($E$1:E72,stages),0))),"")</f>
        <v/>
      </c>
    </row>
    <row r="74" spans="5:5" x14ac:dyDescent="0.2">
      <c r="E74" t="str">
        <f t="array" ref="E74">IFERROR(IF(INDEX(stages,MATCH(0,COUNTIF($E$1:E73,stages),0))=0,"",INDEX(stages,MATCH(0,COUNTIF($E$1:E73,stages),0))),"")</f>
        <v/>
      </c>
    </row>
    <row r="75" spans="5:5" x14ac:dyDescent="0.2">
      <c r="E75" t="str">
        <f t="array" ref="E75">IFERROR(IF(INDEX(stages,MATCH(0,COUNTIF($E$1:E74,stages),0))=0,"",INDEX(stages,MATCH(0,COUNTIF($E$1:E74,stages),0))),"")</f>
        <v/>
      </c>
    </row>
    <row r="76" spans="5:5" x14ac:dyDescent="0.2">
      <c r="E76" t="str">
        <f t="array" ref="E76">IFERROR(IF(INDEX(stages,MATCH(0,COUNTIF($E$1:E75,stages),0))=0,"",INDEX(stages,MATCH(0,COUNTIF($E$1:E75,stages),0))),"")</f>
        <v/>
      </c>
    </row>
    <row r="77" spans="5:5" x14ac:dyDescent="0.2">
      <c r="E77" t="str">
        <f t="array" ref="E77">IFERROR(IF(INDEX(stages,MATCH(0,COUNTIF($E$1:E76,stages),0))=0,"",INDEX(stages,MATCH(0,COUNTIF($E$1:E76,stages),0))),"")</f>
        <v/>
      </c>
    </row>
    <row r="78" spans="5:5" x14ac:dyDescent="0.2">
      <c r="E78" t="str">
        <f t="array" ref="E78">IFERROR(IF(INDEX(stages,MATCH(0,COUNTIF($E$1:E77,stages),0))=0,"",INDEX(stages,MATCH(0,COUNTIF($E$1:E77,stages),0))),"")</f>
        <v/>
      </c>
    </row>
    <row r="79" spans="5:5" x14ac:dyDescent="0.2">
      <c r="E79" t="str">
        <f t="array" ref="E79">IFERROR(IF(INDEX(stages,MATCH(0,COUNTIF($E$1:E78,stages),0))=0,"",INDEX(stages,MATCH(0,COUNTIF($E$1:E78,stages),0))),"")</f>
        <v/>
      </c>
    </row>
    <row r="80" spans="5:5" x14ac:dyDescent="0.2">
      <c r="E80" t="str">
        <f t="array" ref="E80">IFERROR(IF(INDEX(stages,MATCH(0,COUNTIF($E$1:E79,stages),0))=0,"",INDEX(stages,MATCH(0,COUNTIF($E$1:E79,stages),0))),"")</f>
        <v/>
      </c>
    </row>
    <row r="81" spans="5:5" x14ac:dyDescent="0.2">
      <c r="E81" t="str">
        <f t="array" ref="E81">IFERROR(IF(INDEX(stages,MATCH(0,COUNTIF($E$1:E80,stages),0))=0,"",INDEX(stages,MATCH(0,COUNTIF($E$1:E80,stages),0))),"")</f>
        <v/>
      </c>
    </row>
    <row r="82" spans="5:5" x14ac:dyDescent="0.2">
      <c r="E82" t="str">
        <f t="array" ref="E82">IFERROR(IF(INDEX(stages,MATCH(0,COUNTIF($E$1:E81,stages),0))=0,"",INDEX(stages,MATCH(0,COUNTIF($E$1:E81,stages),0))),"")</f>
        <v/>
      </c>
    </row>
    <row r="83" spans="5:5" x14ac:dyDescent="0.2">
      <c r="E83" t="str">
        <f t="array" ref="E83">IFERROR(IF(INDEX(stages,MATCH(0,COUNTIF($E$1:E82,stages),0))=0,"",INDEX(stages,MATCH(0,COUNTIF($E$1:E82,stages),0))),"")</f>
        <v/>
      </c>
    </row>
    <row r="84" spans="5:5" x14ac:dyDescent="0.2">
      <c r="E84" t="str">
        <f t="array" ref="E84">IFERROR(IF(INDEX(stages,MATCH(0,COUNTIF($E$1:E83,stages),0))=0,"",INDEX(stages,MATCH(0,COUNTIF($E$1:E83,stages),0))),"")</f>
        <v/>
      </c>
    </row>
    <row r="85" spans="5:5" x14ac:dyDescent="0.2">
      <c r="E85" t="str">
        <f t="array" ref="E85">IFERROR(IF(INDEX(stages,MATCH(0,COUNTIF($E$1:E84,stages),0))=0,"",INDEX(stages,MATCH(0,COUNTIF($E$1:E84,stages),0))),"")</f>
        <v/>
      </c>
    </row>
    <row r="86" spans="5:5" x14ac:dyDescent="0.2">
      <c r="E86" t="str">
        <f t="array" ref="E86">IFERROR(IF(INDEX(stages,MATCH(0,COUNTIF($E$1:E85,stages),0))=0,"",INDEX(stages,MATCH(0,COUNTIF($E$1:E85,stages),0))),"")</f>
        <v/>
      </c>
    </row>
    <row r="87" spans="5:5" x14ac:dyDescent="0.2">
      <c r="E87" t="str">
        <f t="array" ref="E87">IFERROR(IF(INDEX(stages,MATCH(0,COUNTIF($E$1:E86,stages),0))=0,"",INDEX(stages,MATCH(0,COUNTIF($E$1:E86,stages),0))),"")</f>
        <v/>
      </c>
    </row>
    <row r="88" spans="5:5" x14ac:dyDescent="0.2">
      <c r="E88" t="str">
        <f t="array" ref="E88">IFERROR(IF(INDEX(stages,MATCH(0,COUNTIF($E$1:E87,stages),0))=0,"",INDEX(stages,MATCH(0,COUNTIF($E$1:E87,stages),0))),"")</f>
        <v/>
      </c>
    </row>
    <row r="89" spans="5:5" x14ac:dyDescent="0.2">
      <c r="E89" t="str">
        <f t="array" ref="E89">IFERROR(IF(INDEX(stages,MATCH(0,COUNTIF($E$1:E88,stages),0))=0,"",INDEX(stages,MATCH(0,COUNTIF($E$1:E88,stages),0))),"")</f>
        <v/>
      </c>
    </row>
    <row r="90" spans="5:5" x14ac:dyDescent="0.2">
      <c r="E90" t="str">
        <f t="array" ref="E90">IFERROR(IF(INDEX(stages,MATCH(0,COUNTIF($E$1:E89,stages),0))=0,"",INDEX(stages,MATCH(0,COUNTIF($E$1:E89,stages),0))),"")</f>
        <v/>
      </c>
    </row>
    <row r="91" spans="5:5" x14ac:dyDescent="0.2">
      <c r="E91" t="str">
        <f t="array" ref="E91">IFERROR(IF(INDEX(stages,MATCH(0,COUNTIF($E$1:E90,stages),0))=0,"",INDEX(stages,MATCH(0,COUNTIF($E$1:E90,stages),0))),"")</f>
        <v/>
      </c>
    </row>
    <row r="92" spans="5:5" x14ac:dyDescent="0.2">
      <c r="E92" t="str">
        <f t="array" ref="E92">IFERROR(IF(INDEX(stages,MATCH(0,COUNTIF($E$1:E91,stages),0))=0,"",INDEX(stages,MATCH(0,COUNTIF($E$1:E91,stages),0))),"")</f>
        <v/>
      </c>
    </row>
    <row r="93" spans="5:5" x14ac:dyDescent="0.2">
      <c r="E93" t="str">
        <f t="array" ref="E93">IFERROR(IF(INDEX(stages,MATCH(0,COUNTIF($E$1:E92,stages),0))=0,"",INDEX(stages,MATCH(0,COUNTIF($E$1:E92,stages),0))),"")</f>
        <v/>
      </c>
    </row>
    <row r="94" spans="5:5" x14ac:dyDescent="0.2">
      <c r="E94" t="str">
        <f t="array" ref="E94">IFERROR(IF(INDEX(stages,MATCH(0,COUNTIF($E$1:E93,stages),0))=0,"",INDEX(stages,MATCH(0,COUNTIF($E$1:E93,stages),0))),"")</f>
        <v/>
      </c>
    </row>
    <row r="95" spans="5:5" x14ac:dyDescent="0.2">
      <c r="E95" t="str">
        <f t="array" ref="E95">IFERROR(IF(INDEX(stages,MATCH(0,COUNTIF($E$1:E94,stages),0))=0,"",INDEX(stages,MATCH(0,COUNTIF($E$1:E94,stages),0))),"")</f>
        <v/>
      </c>
    </row>
    <row r="96" spans="5:5" x14ac:dyDescent="0.2">
      <c r="E96" t="str">
        <f t="array" ref="E96">IFERROR(IF(INDEX(stages,MATCH(0,COUNTIF($E$1:E95,stages),0))=0,"",INDEX(stages,MATCH(0,COUNTIF($E$1:E95,stages),0))),"")</f>
        <v/>
      </c>
    </row>
    <row r="97" spans="5:5" x14ac:dyDescent="0.2">
      <c r="E97" t="str">
        <f t="array" ref="E97">IFERROR(IF(INDEX(stages,MATCH(0,COUNTIF($E$1:E96,stages),0))=0,"",INDEX(stages,MATCH(0,COUNTIF($E$1:E96,stages),0))),"")</f>
        <v/>
      </c>
    </row>
    <row r="98" spans="5:5" x14ac:dyDescent="0.2">
      <c r="E98" t="str">
        <f t="array" ref="E98">IFERROR(IF(INDEX(stages,MATCH(0,COUNTIF($E$1:E97,stages),0))=0,"",INDEX(stages,MATCH(0,COUNTIF($E$1:E97,stages),0))),"")</f>
        <v/>
      </c>
    </row>
    <row r="99" spans="5:5" x14ac:dyDescent="0.2">
      <c r="E99" t="str">
        <f t="array" ref="E99">IFERROR(IF(INDEX(stages,MATCH(0,COUNTIF($E$1:E98,stages),0))=0,"",INDEX(stages,MATCH(0,COUNTIF($E$1:E98,stages),0))),"")</f>
        <v/>
      </c>
    </row>
    <row r="100" spans="5:5" x14ac:dyDescent="0.2">
      <c r="E100" t="str">
        <f t="array" ref="E100">IFERROR(IF(INDEX(stages,MATCH(0,COUNTIF($E$1:E99,stages),0))=0,"",INDEX(stages,MATCH(0,COUNTIF($E$1:E99,stages),0))),"")</f>
        <v/>
      </c>
    </row>
    <row r="101" spans="5:5" x14ac:dyDescent="0.2">
      <c r="E101" t="str">
        <f t="array" ref="E101">IFERROR(IF(INDEX(stages,MATCH(0,COUNTIF($E$1:E100,stages),0))=0,"",INDEX(stages,MATCH(0,COUNTIF($E$1:E100,stages),0))),"")</f>
        <v/>
      </c>
    </row>
  </sheetData>
  <sheetProtection password="CA83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01"/>
  <sheetViews>
    <sheetView tabSelected="1" topLeftCell="A2" workbookViewId="0">
      <selection activeCell="B2" sqref="B2:B105"/>
    </sheetView>
  </sheetViews>
  <sheetFormatPr defaultRowHeight="14.25" x14ac:dyDescent="0.2"/>
  <cols>
    <col min="1" max="1" width="5.125" bestFit="1" customWidth="1"/>
    <col min="2" max="2" width="62" style="6" customWidth="1"/>
    <col min="3" max="3" width="18.125" style="6" customWidth="1"/>
    <col min="4" max="12" width="12.25" style="6" customWidth="1"/>
    <col min="13" max="16384" width="9" style="6"/>
  </cols>
  <sheetData>
    <row r="1" spans="1:12" customFormat="1" x14ac:dyDescent="0.2">
      <c r="A1" t="s">
        <v>2</v>
      </c>
      <c r="B1" t="s">
        <v>3</v>
      </c>
      <c r="C1" t="s">
        <v>24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</row>
    <row r="2" spans="1:12" x14ac:dyDescent="0.2">
      <c r="A2">
        <v>1</v>
      </c>
      <c r="B2" s="6" t="s">
        <v>158</v>
      </c>
      <c r="C2" s="6" t="s">
        <v>56</v>
      </c>
    </row>
    <row r="3" spans="1:12" x14ac:dyDescent="0.2">
      <c r="A3">
        <v>2</v>
      </c>
      <c r="B3" s="6" t="s">
        <v>158</v>
      </c>
      <c r="C3" s="6" t="s">
        <v>56</v>
      </c>
    </row>
    <row r="4" spans="1:12" x14ac:dyDescent="0.2">
      <c r="A4">
        <v>3</v>
      </c>
      <c r="B4" s="6" t="s">
        <v>158</v>
      </c>
      <c r="C4" s="6" t="s">
        <v>56</v>
      </c>
    </row>
    <row r="5" spans="1:12" x14ac:dyDescent="0.2">
      <c r="A5">
        <v>4</v>
      </c>
      <c r="B5" s="6" t="s">
        <v>158</v>
      </c>
      <c r="C5" s="6" t="s">
        <v>56</v>
      </c>
    </row>
    <row r="6" spans="1:12" x14ac:dyDescent="0.2">
      <c r="A6">
        <v>5</v>
      </c>
      <c r="B6" s="6" t="s">
        <v>158</v>
      </c>
      <c r="C6" s="6" t="s">
        <v>56</v>
      </c>
    </row>
    <row r="7" spans="1:12" x14ac:dyDescent="0.2">
      <c r="A7">
        <v>6</v>
      </c>
      <c r="B7" s="6" t="s">
        <v>158</v>
      </c>
      <c r="C7" s="6" t="s">
        <v>56</v>
      </c>
    </row>
    <row r="8" spans="1:12" x14ac:dyDescent="0.2">
      <c r="A8">
        <v>7</v>
      </c>
      <c r="B8" s="6" t="s">
        <v>158</v>
      </c>
      <c r="C8" s="6" t="s">
        <v>56</v>
      </c>
    </row>
    <row r="9" spans="1:12" x14ac:dyDescent="0.2">
      <c r="A9">
        <v>8</v>
      </c>
      <c r="B9" s="6" t="s">
        <v>158</v>
      </c>
      <c r="C9" s="6" t="s">
        <v>56</v>
      </c>
    </row>
    <row r="10" spans="1:12" x14ac:dyDescent="0.2">
      <c r="A10">
        <v>9</v>
      </c>
      <c r="B10" s="6" t="s">
        <v>158</v>
      </c>
      <c r="C10" s="6" t="s">
        <v>56</v>
      </c>
    </row>
    <row r="11" spans="1:12" x14ac:dyDescent="0.2">
      <c r="A11">
        <v>10</v>
      </c>
      <c r="B11" s="6" t="s">
        <v>158</v>
      </c>
      <c r="C11" s="6" t="s">
        <v>56</v>
      </c>
    </row>
    <row r="12" spans="1:12" x14ac:dyDescent="0.2">
      <c r="A12">
        <v>11</v>
      </c>
      <c r="B12" s="6" t="s">
        <v>158</v>
      </c>
      <c r="C12" s="6" t="s">
        <v>57</v>
      </c>
    </row>
    <row r="13" spans="1:12" x14ac:dyDescent="0.2">
      <c r="A13">
        <v>12</v>
      </c>
      <c r="B13" s="6" t="s">
        <v>158</v>
      </c>
      <c r="C13" s="6" t="s">
        <v>57</v>
      </c>
    </row>
    <row r="14" spans="1:12" x14ac:dyDescent="0.2">
      <c r="A14">
        <v>13</v>
      </c>
      <c r="B14" s="6" t="s">
        <v>158</v>
      </c>
      <c r="C14" s="6" t="s">
        <v>57</v>
      </c>
    </row>
    <row r="15" spans="1:12" x14ac:dyDescent="0.2">
      <c r="A15">
        <v>14</v>
      </c>
      <c r="B15" s="6" t="s">
        <v>158</v>
      </c>
      <c r="C15" s="6" t="s">
        <v>57</v>
      </c>
    </row>
    <row r="16" spans="1:12" x14ac:dyDescent="0.2">
      <c r="A16">
        <v>15</v>
      </c>
      <c r="B16" s="6" t="s">
        <v>158</v>
      </c>
      <c r="C16" s="6" t="s">
        <v>57</v>
      </c>
    </row>
    <row r="17" spans="1:3" x14ac:dyDescent="0.2">
      <c r="A17">
        <v>16</v>
      </c>
      <c r="B17" s="6" t="s">
        <v>158</v>
      </c>
      <c r="C17" s="6" t="s">
        <v>57</v>
      </c>
    </row>
    <row r="18" spans="1:3" x14ac:dyDescent="0.2">
      <c r="A18">
        <v>17</v>
      </c>
      <c r="B18" s="6" t="s">
        <v>158</v>
      </c>
      <c r="C18" s="6" t="s">
        <v>57</v>
      </c>
    </row>
    <row r="19" spans="1:3" x14ac:dyDescent="0.2">
      <c r="A19">
        <v>18</v>
      </c>
      <c r="B19" s="6" t="s">
        <v>158</v>
      </c>
      <c r="C19" s="6" t="s">
        <v>57</v>
      </c>
    </row>
    <row r="20" spans="1:3" x14ac:dyDescent="0.2">
      <c r="A20">
        <v>19</v>
      </c>
      <c r="B20" s="6" t="s">
        <v>158</v>
      </c>
      <c r="C20" s="6" t="s">
        <v>57</v>
      </c>
    </row>
    <row r="21" spans="1:3" x14ac:dyDescent="0.2">
      <c r="A21">
        <v>20</v>
      </c>
      <c r="B21" s="6" t="s">
        <v>158</v>
      </c>
      <c r="C21" s="6" t="s">
        <v>57</v>
      </c>
    </row>
    <row r="22" spans="1:3" x14ac:dyDescent="0.2">
      <c r="A22">
        <v>21</v>
      </c>
      <c r="B22" s="6" t="s">
        <v>158</v>
      </c>
      <c r="C22" s="6" t="s">
        <v>57</v>
      </c>
    </row>
    <row r="23" spans="1:3" x14ac:dyDescent="0.2">
      <c r="A23">
        <v>22</v>
      </c>
      <c r="B23" s="6" t="s">
        <v>158</v>
      </c>
      <c r="C23" s="6" t="s">
        <v>57</v>
      </c>
    </row>
    <row r="24" spans="1:3" x14ac:dyDescent="0.2">
      <c r="A24">
        <v>23</v>
      </c>
      <c r="B24" s="6" t="s">
        <v>158</v>
      </c>
      <c r="C24" s="6" t="s">
        <v>57</v>
      </c>
    </row>
    <row r="25" spans="1:3" x14ac:dyDescent="0.2">
      <c r="A25">
        <v>24</v>
      </c>
      <c r="B25" s="6" t="s">
        <v>158</v>
      </c>
      <c r="C25" s="6" t="s">
        <v>57</v>
      </c>
    </row>
    <row r="26" spans="1:3" x14ac:dyDescent="0.2">
      <c r="A26">
        <v>25</v>
      </c>
      <c r="B26" s="6" t="s">
        <v>158</v>
      </c>
      <c r="C26" s="6" t="s">
        <v>57</v>
      </c>
    </row>
    <row r="27" spans="1:3" x14ac:dyDescent="0.2">
      <c r="A27">
        <v>26</v>
      </c>
      <c r="B27" s="6" t="s">
        <v>158</v>
      </c>
      <c r="C27" s="6" t="s">
        <v>57</v>
      </c>
    </row>
    <row r="28" spans="1:3" x14ac:dyDescent="0.2">
      <c r="A28">
        <v>27</v>
      </c>
      <c r="B28" s="6" t="s">
        <v>158</v>
      </c>
      <c r="C28" s="6" t="s">
        <v>58</v>
      </c>
    </row>
    <row r="29" spans="1:3" x14ac:dyDescent="0.2">
      <c r="A29">
        <v>28</v>
      </c>
      <c r="B29" s="6" t="s">
        <v>158</v>
      </c>
      <c r="C29" s="6" t="s">
        <v>58</v>
      </c>
    </row>
    <row r="30" spans="1:3" x14ac:dyDescent="0.2">
      <c r="A30">
        <v>29</v>
      </c>
      <c r="B30" s="6" t="s">
        <v>158</v>
      </c>
      <c r="C30" s="6" t="s">
        <v>58</v>
      </c>
    </row>
    <row r="31" spans="1:3" x14ac:dyDescent="0.2">
      <c r="A31">
        <v>30</v>
      </c>
      <c r="B31" s="6" t="s">
        <v>158</v>
      </c>
      <c r="C31" s="6" t="s">
        <v>58</v>
      </c>
    </row>
    <row r="32" spans="1:3" x14ac:dyDescent="0.2">
      <c r="A32">
        <v>31</v>
      </c>
      <c r="B32" s="6" t="s">
        <v>158</v>
      </c>
      <c r="C32" s="6" t="s">
        <v>58</v>
      </c>
    </row>
    <row r="33" spans="1:3" x14ac:dyDescent="0.2">
      <c r="A33">
        <v>32</v>
      </c>
      <c r="B33" s="6" t="s">
        <v>158</v>
      </c>
      <c r="C33" s="6" t="s">
        <v>58</v>
      </c>
    </row>
    <row r="34" spans="1:3" x14ac:dyDescent="0.2">
      <c r="A34">
        <v>33</v>
      </c>
      <c r="B34" s="6" t="s">
        <v>158</v>
      </c>
      <c r="C34" s="6" t="s">
        <v>58</v>
      </c>
    </row>
    <row r="35" spans="1:3" x14ac:dyDescent="0.2">
      <c r="A35">
        <v>34</v>
      </c>
      <c r="B35" s="6" t="s">
        <v>158</v>
      </c>
      <c r="C35" s="6" t="s">
        <v>58</v>
      </c>
    </row>
    <row r="36" spans="1:3" x14ac:dyDescent="0.2">
      <c r="A36">
        <v>35</v>
      </c>
      <c r="B36" s="6" t="s">
        <v>158</v>
      </c>
      <c r="C36" s="6" t="s">
        <v>58</v>
      </c>
    </row>
    <row r="37" spans="1:3" x14ac:dyDescent="0.2">
      <c r="A37">
        <v>36</v>
      </c>
      <c r="B37" s="6" t="s">
        <v>158</v>
      </c>
      <c r="C37" s="6" t="s">
        <v>58</v>
      </c>
    </row>
    <row r="38" spans="1:3" x14ac:dyDescent="0.2">
      <c r="A38">
        <v>37</v>
      </c>
      <c r="B38" s="6" t="s">
        <v>158</v>
      </c>
      <c r="C38" s="6" t="s">
        <v>58</v>
      </c>
    </row>
    <row r="39" spans="1:3" x14ac:dyDescent="0.2">
      <c r="A39">
        <v>38</v>
      </c>
      <c r="B39" s="6" t="s">
        <v>158</v>
      </c>
      <c r="C39" s="6" t="s">
        <v>58</v>
      </c>
    </row>
    <row r="40" spans="1:3" x14ac:dyDescent="0.2">
      <c r="A40">
        <v>39</v>
      </c>
      <c r="B40" s="6" t="s">
        <v>158</v>
      </c>
      <c r="C40" s="6" t="s">
        <v>58</v>
      </c>
    </row>
    <row r="41" spans="1:3" x14ac:dyDescent="0.2">
      <c r="A41">
        <v>40</v>
      </c>
      <c r="B41" s="6" t="s">
        <v>158</v>
      </c>
      <c r="C41" s="6" t="s">
        <v>58</v>
      </c>
    </row>
    <row r="42" spans="1:3" x14ac:dyDescent="0.2">
      <c r="A42">
        <v>41</v>
      </c>
      <c r="B42" s="6" t="s">
        <v>158</v>
      </c>
      <c r="C42" s="6" t="s">
        <v>58</v>
      </c>
    </row>
    <row r="43" spans="1:3" x14ac:dyDescent="0.2">
      <c r="A43">
        <v>42</v>
      </c>
      <c r="B43" s="6" t="s">
        <v>158</v>
      </c>
      <c r="C43" s="6" t="s">
        <v>58</v>
      </c>
    </row>
    <row r="44" spans="1:3" x14ac:dyDescent="0.2">
      <c r="A44">
        <v>43</v>
      </c>
      <c r="B44" s="6" t="s">
        <v>158</v>
      </c>
      <c r="C44" s="6" t="s">
        <v>58</v>
      </c>
    </row>
    <row r="45" spans="1:3" x14ac:dyDescent="0.2">
      <c r="A45">
        <v>44</v>
      </c>
      <c r="B45" s="6" t="s">
        <v>158</v>
      </c>
      <c r="C45" s="6" t="s">
        <v>58</v>
      </c>
    </row>
    <row r="46" spans="1:3" x14ac:dyDescent="0.2">
      <c r="A46">
        <v>45</v>
      </c>
      <c r="B46" s="6" t="s">
        <v>158</v>
      </c>
      <c r="C46" s="6" t="s">
        <v>58</v>
      </c>
    </row>
    <row r="47" spans="1:3" x14ac:dyDescent="0.2">
      <c r="A47">
        <v>46</v>
      </c>
      <c r="B47" s="6" t="s">
        <v>158</v>
      </c>
      <c r="C47" s="6" t="s">
        <v>59</v>
      </c>
    </row>
    <row r="48" spans="1:3" x14ac:dyDescent="0.2">
      <c r="A48">
        <v>47</v>
      </c>
      <c r="B48" s="6" t="s">
        <v>158</v>
      </c>
      <c r="C48" s="6" t="s">
        <v>59</v>
      </c>
    </row>
    <row r="49" spans="1:3" x14ac:dyDescent="0.2">
      <c r="A49">
        <v>48</v>
      </c>
      <c r="B49" s="6" t="s">
        <v>158</v>
      </c>
      <c r="C49" s="6" t="s">
        <v>59</v>
      </c>
    </row>
    <row r="50" spans="1:3" x14ac:dyDescent="0.2">
      <c r="A50">
        <v>49</v>
      </c>
      <c r="B50" s="6" t="s">
        <v>158</v>
      </c>
      <c r="C50" s="6" t="s">
        <v>59</v>
      </c>
    </row>
    <row r="51" spans="1:3" x14ac:dyDescent="0.2">
      <c r="A51">
        <v>50</v>
      </c>
      <c r="B51" s="6" t="s">
        <v>158</v>
      </c>
      <c r="C51" s="6" t="s">
        <v>59</v>
      </c>
    </row>
    <row r="52" spans="1:3" x14ac:dyDescent="0.2">
      <c r="A52">
        <v>51</v>
      </c>
      <c r="B52" s="6" t="s">
        <v>158</v>
      </c>
      <c r="C52" s="6" t="s">
        <v>59</v>
      </c>
    </row>
    <row r="53" spans="1:3" x14ac:dyDescent="0.2">
      <c r="A53">
        <v>52</v>
      </c>
      <c r="B53" s="6" t="s">
        <v>158</v>
      </c>
      <c r="C53" s="6" t="s">
        <v>59</v>
      </c>
    </row>
    <row r="54" spans="1:3" x14ac:dyDescent="0.2">
      <c r="A54">
        <v>53</v>
      </c>
      <c r="B54" s="6" t="s">
        <v>158</v>
      </c>
      <c r="C54" s="6" t="s">
        <v>59</v>
      </c>
    </row>
    <row r="55" spans="1:3" x14ac:dyDescent="0.2">
      <c r="A55">
        <v>54</v>
      </c>
      <c r="B55" s="6" t="s">
        <v>158</v>
      </c>
      <c r="C55" s="6" t="s">
        <v>59</v>
      </c>
    </row>
    <row r="56" spans="1:3" x14ac:dyDescent="0.2">
      <c r="A56">
        <v>55</v>
      </c>
      <c r="B56" s="6" t="s">
        <v>158</v>
      </c>
      <c r="C56" s="6" t="s">
        <v>59</v>
      </c>
    </row>
    <row r="57" spans="1:3" x14ac:dyDescent="0.2">
      <c r="A57">
        <v>56</v>
      </c>
      <c r="B57" s="6" t="s">
        <v>158</v>
      </c>
      <c r="C57" s="6" t="s">
        <v>59</v>
      </c>
    </row>
    <row r="58" spans="1:3" x14ac:dyDescent="0.2">
      <c r="A58">
        <v>57</v>
      </c>
      <c r="B58" s="6" t="s">
        <v>158</v>
      </c>
      <c r="C58" s="6" t="s">
        <v>59</v>
      </c>
    </row>
    <row r="59" spans="1:3" x14ac:dyDescent="0.2">
      <c r="A59">
        <v>58</v>
      </c>
      <c r="B59" s="6" t="s">
        <v>158</v>
      </c>
      <c r="C59" s="6" t="s">
        <v>59</v>
      </c>
    </row>
    <row r="60" spans="1:3" x14ac:dyDescent="0.2">
      <c r="A60">
        <v>59</v>
      </c>
      <c r="B60" s="6" t="s">
        <v>158</v>
      </c>
      <c r="C60" s="6" t="s">
        <v>59</v>
      </c>
    </row>
    <row r="61" spans="1:3" x14ac:dyDescent="0.2">
      <c r="A61">
        <v>60</v>
      </c>
      <c r="B61" s="6" t="s">
        <v>158</v>
      </c>
      <c r="C61" s="6" t="s">
        <v>59</v>
      </c>
    </row>
    <row r="62" spans="1:3" x14ac:dyDescent="0.2">
      <c r="A62">
        <v>61</v>
      </c>
      <c r="B62" s="6" t="s">
        <v>158</v>
      </c>
      <c r="C62" s="6" t="s">
        <v>59</v>
      </c>
    </row>
    <row r="63" spans="1:3" x14ac:dyDescent="0.2">
      <c r="A63">
        <v>62</v>
      </c>
      <c r="B63" s="6" t="s">
        <v>158</v>
      </c>
      <c r="C63" s="6" t="s">
        <v>59</v>
      </c>
    </row>
    <row r="64" spans="1:3" x14ac:dyDescent="0.2">
      <c r="A64">
        <v>63</v>
      </c>
      <c r="B64" s="6" t="s">
        <v>158</v>
      </c>
      <c r="C64" s="6" t="s">
        <v>59</v>
      </c>
    </row>
    <row r="65" spans="1:3" x14ac:dyDescent="0.2">
      <c r="A65">
        <v>64</v>
      </c>
      <c r="B65" s="6" t="s">
        <v>158</v>
      </c>
      <c r="C65" s="6" t="s">
        <v>59</v>
      </c>
    </row>
    <row r="66" spans="1:3" x14ac:dyDescent="0.2">
      <c r="A66">
        <v>65</v>
      </c>
      <c r="B66" s="6" t="s">
        <v>158</v>
      </c>
      <c r="C66" s="6" t="s">
        <v>60</v>
      </c>
    </row>
    <row r="67" spans="1:3" x14ac:dyDescent="0.2">
      <c r="A67">
        <v>66</v>
      </c>
      <c r="B67" s="6" t="s">
        <v>158</v>
      </c>
      <c r="C67" s="6" t="s">
        <v>60</v>
      </c>
    </row>
    <row r="68" spans="1:3" x14ac:dyDescent="0.2">
      <c r="A68">
        <v>67</v>
      </c>
      <c r="B68" s="6" t="s">
        <v>158</v>
      </c>
      <c r="C68" s="6" t="s">
        <v>60</v>
      </c>
    </row>
    <row r="69" spans="1:3" x14ac:dyDescent="0.2">
      <c r="A69">
        <v>68</v>
      </c>
      <c r="B69" s="6" t="s">
        <v>158</v>
      </c>
      <c r="C69" s="6" t="s">
        <v>60</v>
      </c>
    </row>
    <row r="70" spans="1:3" x14ac:dyDescent="0.2">
      <c r="A70">
        <v>69</v>
      </c>
      <c r="B70" s="6" t="s">
        <v>158</v>
      </c>
      <c r="C70" s="6" t="s">
        <v>60</v>
      </c>
    </row>
    <row r="71" spans="1:3" x14ac:dyDescent="0.2">
      <c r="A71">
        <v>70</v>
      </c>
      <c r="B71" s="6" t="s">
        <v>158</v>
      </c>
      <c r="C71" s="6" t="s">
        <v>60</v>
      </c>
    </row>
    <row r="72" spans="1:3" x14ac:dyDescent="0.2">
      <c r="A72">
        <v>71</v>
      </c>
      <c r="B72" s="6" t="s">
        <v>158</v>
      </c>
      <c r="C72" s="6" t="s">
        <v>60</v>
      </c>
    </row>
    <row r="73" spans="1:3" x14ac:dyDescent="0.2">
      <c r="A73">
        <v>72</v>
      </c>
      <c r="B73" s="6" t="s">
        <v>158</v>
      </c>
      <c r="C73" s="6" t="s">
        <v>60</v>
      </c>
    </row>
    <row r="74" spans="1:3" x14ac:dyDescent="0.2">
      <c r="A74">
        <v>73</v>
      </c>
      <c r="B74" s="6" t="s">
        <v>158</v>
      </c>
      <c r="C74" s="6" t="s">
        <v>60</v>
      </c>
    </row>
    <row r="75" spans="1:3" x14ac:dyDescent="0.2">
      <c r="A75">
        <v>74</v>
      </c>
      <c r="B75" s="6" t="s">
        <v>158</v>
      </c>
      <c r="C75" s="6" t="s">
        <v>60</v>
      </c>
    </row>
    <row r="76" spans="1:3" x14ac:dyDescent="0.2">
      <c r="A76">
        <v>75</v>
      </c>
      <c r="B76" s="6" t="s">
        <v>158</v>
      </c>
      <c r="C76" s="6" t="s">
        <v>60</v>
      </c>
    </row>
    <row r="77" spans="1:3" x14ac:dyDescent="0.2">
      <c r="A77">
        <v>76</v>
      </c>
      <c r="B77" s="6" t="s">
        <v>158</v>
      </c>
      <c r="C77" s="6" t="s">
        <v>60</v>
      </c>
    </row>
    <row r="78" spans="1:3" x14ac:dyDescent="0.2">
      <c r="A78">
        <v>77</v>
      </c>
      <c r="B78" s="6" t="s">
        <v>158</v>
      </c>
      <c r="C78" s="6" t="s">
        <v>60</v>
      </c>
    </row>
    <row r="79" spans="1:3" x14ac:dyDescent="0.2">
      <c r="A79">
        <v>78</v>
      </c>
      <c r="B79" s="6" t="s">
        <v>158</v>
      </c>
      <c r="C79" s="6" t="s">
        <v>60</v>
      </c>
    </row>
    <row r="80" spans="1:3" x14ac:dyDescent="0.2">
      <c r="A80">
        <v>79</v>
      </c>
      <c r="B80" s="6" t="s">
        <v>158</v>
      </c>
      <c r="C80" s="6" t="s">
        <v>60</v>
      </c>
    </row>
    <row r="81" spans="1:3" x14ac:dyDescent="0.2">
      <c r="A81">
        <v>80</v>
      </c>
      <c r="B81" s="6" t="s">
        <v>158</v>
      </c>
      <c r="C81" s="6" t="s">
        <v>60</v>
      </c>
    </row>
    <row r="82" spans="1:3" x14ac:dyDescent="0.2">
      <c r="A82">
        <v>81</v>
      </c>
      <c r="B82" s="6" t="s">
        <v>158</v>
      </c>
      <c r="C82" s="6" t="s">
        <v>60</v>
      </c>
    </row>
    <row r="83" spans="1:3" x14ac:dyDescent="0.2">
      <c r="A83">
        <v>82</v>
      </c>
      <c r="B83" s="6" t="s">
        <v>158</v>
      </c>
      <c r="C83" s="6" t="s">
        <v>60</v>
      </c>
    </row>
    <row r="84" spans="1:3" x14ac:dyDescent="0.2">
      <c r="A84">
        <v>83</v>
      </c>
      <c r="B84" s="6" t="s">
        <v>158</v>
      </c>
      <c r="C84" s="6" t="s">
        <v>60</v>
      </c>
    </row>
    <row r="85" spans="1:3" x14ac:dyDescent="0.2">
      <c r="A85">
        <v>84</v>
      </c>
      <c r="B85" s="6" t="s">
        <v>158</v>
      </c>
      <c r="C85" s="6" t="s">
        <v>60</v>
      </c>
    </row>
    <row r="86" spans="1:3" x14ac:dyDescent="0.2">
      <c r="A86">
        <v>85</v>
      </c>
      <c r="B86" s="6" t="s">
        <v>158</v>
      </c>
      <c r="C86" s="6" t="s">
        <v>60</v>
      </c>
    </row>
    <row r="87" spans="1:3" x14ac:dyDescent="0.2">
      <c r="A87">
        <v>86</v>
      </c>
      <c r="B87" s="6" t="s">
        <v>158</v>
      </c>
      <c r="C87" s="6" t="s">
        <v>60</v>
      </c>
    </row>
    <row r="88" spans="1:3" x14ac:dyDescent="0.2">
      <c r="A88">
        <v>87</v>
      </c>
      <c r="B88" s="6" t="s">
        <v>158</v>
      </c>
      <c r="C88" s="6" t="s">
        <v>60</v>
      </c>
    </row>
    <row r="89" spans="1:3" x14ac:dyDescent="0.2">
      <c r="A89">
        <v>88</v>
      </c>
      <c r="B89" s="6" t="s">
        <v>158</v>
      </c>
      <c r="C89" s="6" t="s">
        <v>60</v>
      </c>
    </row>
    <row r="90" spans="1:3" x14ac:dyDescent="0.2">
      <c r="A90">
        <v>89</v>
      </c>
      <c r="B90" s="6" t="s">
        <v>158</v>
      </c>
      <c r="C90" s="6" t="s">
        <v>60</v>
      </c>
    </row>
    <row r="91" spans="1:3" x14ac:dyDescent="0.2">
      <c r="A91">
        <v>90</v>
      </c>
      <c r="B91" s="6" t="s">
        <v>158</v>
      </c>
      <c r="C91" s="6" t="s">
        <v>60</v>
      </c>
    </row>
    <row r="92" spans="1:3" x14ac:dyDescent="0.2">
      <c r="A92">
        <v>91</v>
      </c>
      <c r="B92" s="6" t="s">
        <v>158</v>
      </c>
      <c r="C92" s="6" t="s">
        <v>60</v>
      </c>
    </row>
    <row r="93" spans="1:3" x14ac:dyDescent="0.2">
      <c r="A93">
        <v>92</v>
      </c>
      <c r="B93" s="6" t="s">
        <v>158</v>
      </c>
      <c r="C93" s="6" t="s">
        <v>60</v>
      </c>
    </row>
    <row r="94" spans="1:3" x14ac:dyDescent="0.2">
      <c r="A94">
        <v>93</v>
      </c>
      <c r="B94" s="6" t="s">
        <v>158</v>
      </c>
      <c r="C94" s="6" t="s">
        <v>60</v>
      </c>
    </row>
    <row r="95" spans="1:3" x14ac:dyDescent="0.2">
      <c r="A95">
        <v>94</v>
      </c>
      <c r="B95" s="6" t="s">
        <v>158</v>
      </c>
      <c r="C95" s="6" t="s">
        <v>60</v>
      </c>
    </row>
    <row r="96" spans="1:3" x14ac:dyDescent="0.2">
      <c r="A96">
        <v>95</v>
      </c>
      <c r="B96" s="6" t="s">
        <v>158</v>
      </c>
      <c r="C96" s="6" t="s">
        <v>60</v>
      </c>
    </row>
    <row r="97" spans="1:3" x14ac:dyDescent="0.2">
      <c r="A97">
        <v>96</v>
      </c>
      <c r="B97" s="6" t="s">
        <v>158</v>
      </c>
      <c r="C97" s="6" t="s">
        <v>60</v>
      </c>
    </row>
    <row r="98" spans="1:3" x14ac:dyDescent="0.2">
      <c r="A98">
        <v>97</v>
      </c>
      <c r="B98" s="6" t="s">
        <v>158</v>
      </c>
      <c r="C98" s="6" t="s">
        <v>60</v>
      </c>
    </row>
    <row r="99" spans="1:3" x14ac:dyDescent="0.2">
      <c r="A99">
        <v>98</v>
      </c>
      <c r="B99" s="6" t="s">
        <v>158</v>
      </c>
      <c r="C99" s="6" t="s">
        <v>61</v>
      </c>
    </row>
    <row r="100" spans="1:3" x14ac:dyDescent="0.2">
      <c r="A100">
        <v>99</v>
      </c>
      <c r="B100" s="6" t="s">
        <v>158</v>
      </c>
      <c r="C100" s="6" t="s">
        <v>61</v>
      </c>
    </row>
    <row r="101" spans="1:3" x14ac:dyDescent="0.2">
      <c r="A101">
        <v>100</v>
      </c>
      <c r="B101" s="6" t="s">
        <v>158</v>
      </c>
      <c r="C101" s="6" t="s">
        <v>61</v>
      </c>
    </row>
    <row r="102" spans="1:3" x14ac:dyDescent="0.2">
      <c r="A102">
        <v>101</v>
      </c>
      <c r="B102" s="6" t="s">
        <v>158</v>
      </c>
      <c r="C102" s="6" t="s">
        <v>61</v>
      </c>
    </row>
    <row r="103" spans="1:3" x14ac:dyDescent="0.2">
      <c r="A103">
        <v>102</v>
      </c>
      <c r="B103" s="6" t="s">
        <v>158</v>
      </c>
      <c r="C103" s="6" t="s">
        <v>61</v>
      </c>
    </row>
    <row r="104" spans="1:3" x14ac:dyDescent="0.2">
      <c r="A104">
        <v>103</v>
      </c>
      <c r="B104" s="6" t="s">
        <v>158</v>
      </c>
      <c r="C104" s="6" t="s">
        <v>61</v>
      </c>
    </row>
    <row r="105" spans="1:3" x14ac:dyDescent="0.2">
      <c r="A105">
        <v>104</v>
      </c>
      <c r="B105" s="6" t="s">
        <v>158</v>
      </c>
      <c r="C105" s="6" t="s">
        <v>61</v>
      </c>
    </row>
    <row r="106" spans="1:3" x14ac:dyDescent="0.2">
      <c r="A106">
        <v>105</v>
      </c>
    </row>
    <row r="107" spans="1:3" x14ac:dyDescent="0.2">
      <c r="A107">
        <v>106</v>
      </c>
    </row>
    <row r="108" spans="1:3" x14ac:dyDescent="0.2">
      <c r="A108">
        <v>107</v>
      </c>
    </row>
    <row r="109" spans="1:3" x14ac:dyDescent="0.2">
      <c r="A109">
        <v>108</v>
      </c>
    </row>
    <row r="110" spans="1:3" x14ac:dyDescent="0.2">
      <c r="A110">
        <v>109</v>
      </c>
    </row>
    <row r="111" spans="1:3" x14ac:dyDescent="0.2">
      <c r="A111">
        <v>110</v>
      </c>
    </row>
    <row r="112" spans="1:3" x14ac:dyDescent="0.2">
      <c r="A112">
        <v>111</v>
      </c>
    </row>
    <row r="113" spans="1:1" x14ac:dyDescent="0.2">
      <c r="A113">
        <v>112</v>
      </c>
    </row>
    <row r="114" spans="1:1" x14ac:dyDescent="0.2">
      <c r="A114">
        <v>113</v>
      </c>
    </row>
    <row r="115" spans="1:1" x14ac:dyDescent="0.2">
      <c r="A115">
        <v>114</v>
      </c>
    </row>
    <row r="116" spans="1:1" x14ac:dyDescent="0.2">
      <c r="A116">
        <v>115</v>
      </c>
    </row>
    <row r="117" spans="1:1" x14ac:dyDescent="0.2">
      <c r="A117">
        <v>116</v>
      </c>
    </row>
    <row r="118" spans="1:1" x14ac:dyDescent="0.2">
      <c r="A118">
        <v>117</v>
      </c>
    </row>
    <row r="119" spans="1:1" x14ac:dyDescent="0.2">
      <c r="A119">
        <v>118</v>
      </c>
    </row>
    <row r="120" spans="1:1" x14ac:dyDescent="0.2">
      <c r="A120">
        <v>119</v>
      </c>
    </row>
    <row r="121" spans="1:1" x14ac:dyDescent="0.2">
      <c r="A121">
        <v>120</v>
      </c>
    </row>
    <row r="122" spans="1:1" x14ac:dyDescent="0.2">
      <c r="A122">
        <v>121</v>
      </c>
    </row>
    <row r="123" spans="1:1" x14ac:dyDescent="0.2">
      <c r="A123">
        <v>122</v>
      </c>
    </row>
    <row r="124" spans="1:1" x14ac:dyDescent="0.2">
      <c r="A124">
        <v>123</v>
      </c>
    </row>
    <row r="125" spans="1:1" x14ac:dyDescent="0.2">
      <c r="A125">
        <v>124</v>
      </c>
    </row>
    <row r="126" spans="1:1" x14ac:dyDescent="0.2">
      <c r="A126">
        <v>125</v>
      </c>
    </row>
    <row r="127" spans="1:1" x14ac:dyDescent="0.2">
      <c r="A127">
        <v>126</v>
      </c>
    </row>
    <row r="128" spans="1:1" x14ac:dyDescent="0.2">
      <c r="A128">
        <v>127</v>
      </c>
    </row>
    <row r="129" spans="1:1" x14ac:dyDescent="0.2">
      <c r="A129">
        <v>128</v>
      </c>
    </row>
    <row r="130" spans="1:1" x14ac:dyDescent="0.2">
      <c r="A130">
        <v>129</v>
      </c>
    </row>
    <row r="131" spans="1:1" x14ac:dyDescent="0.2">
      <c r="A131">
        <v>130</v>
      </c>
    </row>
    <row r="132" spans="1:1" x14ac:dyDescent="0.2">
      <c r="A132">
        <v>131</v>
      </c>
    </row>
    <row r="133" spans="1:1" x14ac:dyDescent="0.2">
      <c r="A133">
        <v>132</v>
      </c>
    </row>
    <row r="134" spans="1:1" x14ac:dyDescent="0.2">
      <c r="A134">
        <v>133</v>
      </c>
    </row>
    <row r="135" spans="1:1" x14ac:dyDescent="0.2">
      <c r="A135">
        <v>134</v>
      </c>
    </row>
    <row r="136" spans="1:1" x14ac:dyDescent="0.2">
      <c r="A136">
        <v>135</v>
      </c>
    </row>
    <row r="137" spans="1:1" x14ac:dyDescent="0.2">
      <c r="A137">
        <v>136</v>
      </c>
    </row>
    <row r="138" spans="1:1" x14ac:dyDescent="0.2">
      <c r="A138">
        <v>137</v>
      </c>
    </row>
    <row r="139" spans="1:1" x14ac:dyDescent="0.2">
      <c r="A139">
        <v>138</v>
      </c>
    </row>
    <row r="140" spans="1:1" x14ac:dyDescent="0.2">
      <c r="A140">
        <v>139</v>
      </c>
    </row>
    <row r="141" spans="1:1" x14ac:dyDescent="0.2">
      <c r="A141">
        <v>140</v>
      </c>
    </row>
    <row r="142" spans="1:1" x14ac:dyDescent="0.2">
      <c r="A142">
        <v>141</v>
      </c>
    </row>
    <row r="143" spans="1:1" x14ac:dyDescent="0.2">
      <c r="A143">
        <v>142</v>
      </c>
    </row>
    <row r="144" spans="1:1" x14ac:dyDescent="0.2">
      <c r="A144">
        <v>143</v>
      </c>
    </row>
    <row r="145" spans="1:1" x14ac:dyDescent="0.2">
      <c r="A145">
        <v>144</v>
      </c>
    </row>
    <row r="146" spans="1:1" x14ac:dyDescent="0.2">
      <c r="A146">
        <v>145</v>
      </c>
    </row>
    <row r="147" spans="1:1" x14ac:dyDescent="0.2">
      <c r="A147">
        <v>146</v>
      </c>
    </row>
    <row r="148" spans="1:1" x14ac:dyDescent="0.2">
      <c r="A148">
        <v>147</v>
      </c>
    </row>
    <row r="149" spans="1:1" x14ac:dyDescent="0.2">
      <c r="A149">
        <v>148</v>
      </c>
    </row>
    <row r="150" spans="1:1" x14ac:dyDescent="0.2">
      <c r="A150">
        <v>149</v>
      </c>
    </row>
    <row r="151" spans="1:1" x14ac:dyDescent="0.2">
      <c r="A151">
        <v>150</v>
      </c>
    </row>
    <row r="152" spans="1:1" x14ac:dyDescent="0.2">
      <c r="A152">
        <v>151</v>
      </c>
    </row>
    <row r="153" spans="1:1" x14ac:dyDescent="0.2">
      <c r="A153">
        <v>152</v>
      </c>
    </row>
    <row r="154" spans="1:1" x14ac:dyDescent="0.2">
      <c r="A154">
        <v>153</v>
      </c>
    </row>
    <row r="155" spans="1:1" x14ac:dyDescent="0.2">
      <c r="A155">
        <v>154</v>
      </c>
    </row>
    <row r="156" spans="1:1" x14ac:dyDescent="0.2">
      <c r="A156">
        <v>155</v>
      </c>
    </row>
    <row r="157" spans="1:1" x14ac:dyDescent="0.2">
      <c r="A157">
        <v>156</v>
      </c>
    </row>
    <row r="158" spans="1:1" x14ac:dyDescent="0.2">
      <c r="A158">
        <v>157</v>
      </c>
    </row>
    <row r="159" spans="1:1" x14ac:dyDescent="0.2">
      <c r="A159">
        <v>158</v>
      </c>
    </row>
    <row r="160" spans="1:1" x14ac:dyDescent="0.2">
      <c r="A160">
        <v>159</v>
      </c>
    </row>
    <row r="161" spans="1:1" x14ac:dyDescent="0.2">
      <c r="A161">
        <v>160</v>
      </c>
    </row>
    <row r="162" spans="1:1" x14ac:dyDescent="0.2">
      <c r="A162">
        <v>161</v>
      </c>
    </row>
    <row r="163" spans="1:1" x14ac:dyDescent="0.2">
      <c r="A163">
        <v>162</v>
      </c>
    </row>
    <row r="164" spans="1:1" x14ac:dyDescent="0.2">
      <c r="A164">
        <v>163</v>
      </c>
    </row>
    <row r="165" spans="1:1" x14ac:dyDescent="0.2">
      <c r="A165">
        <v>164</v>
      </c>
    </row>
    <row r="166" spans="1:1" x14ac:dyDescent="0.2">
      <c r="A166">
        <v>165</v>
      </c>
    </row>
    <row r="167" spans="1:1" x14ac:dyDescent="0.2">
      <c r="A167">
        <v>166</v>
      </c>
    </row>
    <row r="168" spans="1:1" x14ac:dyDescent="0.2">
      <c r="A168">
        <v>167</v>
      </c>
    </row>
    <row r="169" spans="1:1" x14ac:dyDescent="0.2">
      <c r="A169">
        <v>168</v>
      </c>
    </row>
    <row r="170" spans="1:1" x14ac:dyDescent="0.2">
      <c r="A170">
        <v>169</v>
      </c>
    </row>
    <row r="171" spans="1:1" x14ac:dyDescent="0.2">
      <c r="A171">
        <v>170</v>
      </c>
    </row>
    <row r="172" spans="1:1" x14ac:dyDescent="0.2">
      <c r="A172">
        <v>171</v>
      </c>
    </row>
    <row r="173" spans="1:1" x14ac:dyDescent="0.2">
      <c r="A173">
        <v>172</v>
      </c>
    </row>
    <row r="174" spans="1:1" x14ac:dyDescent="0.2">
      <c r="A174">
        <v>173</v>
      </c>
    </row>
    <row r="175" spans="1:1" x14ac:dyDescent="0.2">
      <c r="A175">
        <v>174</v>
      </c>
    </row>
    <row r="176" spans="1:1" x14ac:dyDescent="0.2">
      <c r="A176">
        <v>175</v>
      </c>
    </row>
    <row r="177" spans="1:1" x14ac:dyDescent="0.2">
      <c r="A177">
        <v>176</v>
      </c>
    </row>
    <row r="178" spans="1:1" x14ac:dyDescent="0.2">
      <c r="A178">
        <v>177</v>
      </c>
    </row>
    <row r="179" spans="1:1" x14ac:dyDescent="0.2">
      <c r="A179">
        <v>178</v>
      </c>
    </row>
    <row r="180" spans="1:1" x14ac:dyDescent="0.2">
      <c r="A180">
        <v>179</v>
      </c>
    </row>
    <row r="181" spans="1:1" x14ac:dyDescent="0.2">
      <c r="A181">
        <v>180</v>
      </c>
    </row>
    <row r="182" spans="1:1" x14ac:dyDescent="0.2">
      <c r="A182">
        <v>181</v>
      </c>
    </row>
    <row r="183" spans="1:1" x14ac:dyDescent="0.2">
      <c r="A183">
        <v>182</v>
      </c>
    </row>
    <row r="184" spans="1:1" x14ac:dyDescent="0.2">
      <c r="A184">
        <v>183</v>
      </c>
    </row>
    <row r="185" spans="1:1" x14ac:dyDescent="0.2">
      <c r="A185">
        <v>184</v>
      </c>
    </row>
    <row r="186" spans="1:1" x14ac:dyDescent="0.2">
      <c r="A186">
        <v>185</v>
      </c>
    </row>
    <row r="187" spans="1:1" x14ac:dyDescent="0.2">
      <c r="A187">
        <v>186</v>
      </c>
    </row>
    <row r="188" spans="1:1" x14ac:dyDescent="0.2">
      <c r="A188">
        <v>187</v>
      </c>
    </row>
    <row r="189" spans="1:1" x14ac:dyDescent="0.2">
      <c r="A189">
        <v>188</v>
      </c>
    </row>
    <row r="190" spans="1:1" x14ac:dyDescent="0.2">
      <c r="A190">
        <v>189</v>
      </c>
    </row>
    <row r="191" spans="1:1" x14ac:dyDescent="0.2">
      <c r="A191">
        <v>190</v>
      </c>
    </row>
    <row r="192" spans="1:1" x14ac:dyDescent="0.2">
      <c r="A192">
        <v>191</v>
      </c>
    </row>
    <row r="193" spans="1:1" x14ac:dyDescent="0.2">
      <c r="A193">
        <v>192</v>
      </c>
    </row>
    <row r="194" spans="1:1" x14ac:dyDescent="0.2">
      <c r="A194">
        <v>193</v>
      </c>
    </row>
    <row r="195" spans="1:1" x14ac:dyDescent="0.2">
      <c r="A195">
        <v>194</v>
      </c>
    </row>
    <row r="196" spans="1:1" x14ac:dyDescent="0.2">
      <c r="A196">
        <v>195</v>
      </c>
    </row>
    <row r="197" spans="1:1" x14ac:dyDescent="0.2">
      <c r="A197">
        <v>196</v>
      </c>
    </row>
    <row r="198" spans="1:1" x14ac:dyDescent="0.2">
      <c r="A198">
        <v>197</v>
      </c>
    </row>
    <row r="199" spans="1:1" x14ac:dyDescent="0.2">
      <c r="A199">
        <v>198</v>
      </c>
    </row>
    <row r="200" spans="1:1" x14ac:dyDescent="0.2">
      <c r="A200">
        <v>199</v>
      </c>
    </row>
    <row r="201" spans="1:1" x14ac:dyDescent="0.2">
      <c r="A201">
        <v>200</v>
      </c>
    </row>
    <row r="202" spans="1:1" x14ac:dyDescent="0.2">
      <c r="A202">
        <v>201</v>
      </c>
    </row>
    <row r="203" spans="1:1" x14ac:dyDescent="0.2">
      <c r="A203">
        <v>202</v>
      </c>
    </row>
    <row r="204" spans="1:1" x14ac:dyDescent="0.2">
      <c r="A204">
        <v>203</v>
      </c>
    </row>
    <row r="205" spans="1:1" x14ac:dyDescent="0.2">
      <c r="A205">
        <v>204</v>
      </c>
    </row>
    <row r="206" spans="1:1" x14ac:dyDescent="0.2">
      <c r="A206">
        <v>205</v>
      </c>
    </row>
    <row r="207" spans="1:1" x14ac:dyDescent="0.2">
      <c r="A207">
        <v>206</v>
      </c>
    </row>
    <row r="208" spans="1:1" x14ac:dyDescent="0.2">
      <c r="A208">
        <v>207</v>
      </c>
    </row>
    <row r="209" spans="1:1" x14ac:dyDescent="0.2">
      <c r="A209">
        <v>208</v>
      </c>
    </row>
    <row r="210" spans="1:1" x14ac:dyDescent="0.2">
      <c r="A210">
        <v>209</v>
      </c>
    </row>
    <row r="211" spans="1:1" x14ac:dyDescent="0.2">
      <c r="A211">
        <v>210</v>
      </c>
    </row>
    <row r="212" spans="1:1" x14ac:dyDescent="0.2">
      <c r="A212">
        <v>211</v>
      </c>
    </row>
    <row r="213" spans="1:1" x14ac:dyDescent="0.2">
      <c r="A213">
        <v>212</v>
      </c>
    </row>
    <row r="214" spans="1:1" x14ac:dyDescent="0.2">
      <c r="A214">
        <v>213</v>
      </c>
    </row>
    <row r="215" spans="1:1" x14ac:dyDescent="0.2">
      <c r="A215">
        <v>214</v>
      </c>
    </row>
    <row r="216" spans="1:1" x14ac:dyDescent="0.2">
      <c r="A216">
        <v>215</v>
      </c>
    </row>
    <row r="217" spans="1:1" x14ac:dyDescent="0.2">
      <c r="A217">
        <v>216</v>
      </c>
    </row>
    <row r="218" spans="1:1" x14ac:dyDescent="0.2">
      <c r="A218">
        <v>217</v>
      </c>
    </row>
    <row r="219" spans="1:1" x14ac:dyDescent="0.2">
      <c r="A219">
        <v>218</v>
      </c>
    </row>
    <row r="220" spans="1:1" x14ac:dyDescent="0.2">
      <c r="A220">
        <v>219</v>
      </c>
    </row>
    <row r="221" spans="1:1" x14ac:dyDescent="0.2">
      <c r="A221">
        <v>220</v>
      </c>
    </row>
    <row r="222" spans="1:1" x14ac:dyDescent="0.2">
      <c r="A222">
        <v>221</v>
      </c>
    </row>
    <row r="223" spans="1:1" x14ac:dyDescent="0.2">
      <c r="A223">
        <v>222</v>
      </c>
    </row>
    <row r="224" spans="1:1" x14ac:dyDescent="0.2">
      <c r="A224">
        <v>223</v>
      </c>
    </row>
    <row r="225" spans="1:1" x14ac:dyDescent="0.2">
      <c r="A225">
        <v>224</v>
      </c>
    </row>
    <row r="226" spans="1:1" x14ac:dyDescent="0.2">
      <c r="A226">
        <v>225</v>
      </c>
    </row>
    <row r="227" spans="1:1" x14ac:dyDescent="0.2">
      <c r="A227">
        <v>226</v>
      </c>
    </row>
    <row r="228" spans="1:1" x14ac:dyDescent="0.2">
      <c r="A228">
        <v>227</v>
      </c>
    </row>
    <row r="229" spans="1:1" x14ac:dyDescent="0.2">
      <c r="A229">
        <v>228</v>
      </c>
    </row>
    <row r="230" spans="1:1" x14ac:dyDescent="0.2">
      <c r="A230">
        <v>229</v>
      </c>
    </row>
    <row r="231" spans="1:1" x14ac:dyDescent="0.2">
      <c r="A231">
        <v>230</v>
      </c>
    </row>
    <row r="232" spans="1:1" x14ac:dyDescent="0.2">
      <c r="A232">
        <v>231</v>
      </c>
    </row>
    <row r="233" spans="1:1" x14ac:dyDescent="0.2">
      <c r="A233">
        <v>232</v>
      </c>
    </row>
    <row r="234" spans="1:1" x14ac:dyDescent="0.2">
      <c r="A234">
        <v>233</v>
      </c>
    </row>
    <row r="235" spans="1:1" x14ac:dyDescent="0.2">
      <c r="A235">
        <v>234</v>
      </c>
    </row>
    <row r="236" spans="1:1" x14ac:dyDescent="0.2">
      <c r="A236">
        <v>235</v>
      </c>
    </row>
    <row r="237" spans="1:1" x14ac:dyDescent="0.2">
      <c r="A237">
        <v>236</v>
      </c>
    </row>
    <row r="238" spans="1:1" x14ac:dyDescent="0.2">
      <c r="A238">
        <v>237</v>
      </c>
    </row>
    <row r="239" spans="1:1" x14ac:dyDescent="0.2">
      <c r="A239">
        <v>238</v>
      </c>
    </row>
    <row r="240" spans="1:1" x14ac:dyDescent="0.2">
      <c r="A240">
        <v>239</v>
      </c>
    </row>
    <row r="241" spans="1:1" x14ac:dyDescent="0.2">
      <c r="A241">
        <v>240</v>
      </c>
    </row>
    <row r="242" spans="1:1" x14ac:dyDescent="0.2">
      <c r="A242">
        <v>241</v>
      </c>
    </row>
    <row r="243" spans="1:1" x14ac:dyDescent="0.2">
      <c r="A243">
        <v>242</v>
      </c>
    </row>
    <row r="244" spans="1:1" x14ac:dyDescent="0.2">
      <c r="A244">
        <v>243</v>
      </c>
    </row>
    <row r="245" spans="1:1" x14ac:dyDescent="0.2">
      <c r="A245">
        <v>244</v>
      </c>
    </row>
    <row r="246" spans="1:1" x14ac:dyDescent="0.2">
      <c r="A246">
        <v>245</v>
      </c>
    </row>
    <row r="247" spans="1:1" x14ac:dyDescent="0.2">
      <c r="A247">
        <v>246</v>
      </c>
    </row>
    <row r="248" spans="1:1" x14ac:dyDescent="0.2">
      <c r="A248">
        <v>247</v>
      </c>
    </row>
    <row r="249" spans="1:1" x14ac:dyDescent="0.2">
      <c r="A249">
        <v>248</v>
      </c>
    </row>
    <row r="250" spans="1:1" x14ac:dyDescent="0.2">
      <c r="A250">
        <v>249</v>
      </c>
    </row>
    <row r="251" spans="1:1" x14ac:dyDescent="0.2">
      <c r="A251">
        <v>250</v>
      </c>
    </row>
    <row r="252" spans="1:1" x14ac:dyDescent="0.2">
      <c r="A252">
        <v>251</v>
      </c>
    </row>
    <row r="253" spans="1:1" x14ac:dyDescent="0.2">
      <c r="A253">
        <v>252</v>
      </c>
    </row>
    <row r="254" spans="1:1" x14ac:dyDescent="0.2">
      <c r="A254">
        <v>253</v>
      </c>
    </row>
    <row r="255" spans="1:1" x14ac:dyDescent="0.2">
      <c r="A255">
        <v>254</v>
      </c>
    </row>
    <row r="256" spans="1:1" x14ac:dyDescent="0.2">
      <c r="A256">
        <v>255</v>
      </c>
    </row>
    <row r="257" spans="1:1" x14ac:dyDescent="0.2">
      <c r="A257">
        <v>256</v>
      </c>
    </row>
    <row r="258" spans="1:1" x14ac:dyDescent="0.2">
      <c r="A258">
        <v>257</v>
      </c>
    </row>
    <row r="259" spans="1:1" x14ac:dyDescent="0.2">
      <c r="A259">
        <v>258</v>
      </c>
    </row>
    <row r="260" spans="1:1" x14ac:dyDescent="0.2">
      <c r="A260">
        <v>259</v>
      </c>
    </row>
    <row r="261" spans="1:1" x14ac:dyDescent="0.2">
      <c r="A261">
        <v>260</v>
      </c>
    </row>
    <row r="262" spans="1:1" x14ac:dyDescent="0.2">
      <c r="A262">
        <v>261</v>
      </c>
    </row>
    <row r="263" spans="1:1" x14ac:dyDescent="0.2">
      <c r="A263">
        <v>262</v>
      </c>
    </row>
    <row r="264" spans="1:1" x14ac:dyDescent="0.2">
      <c r="A264">
        <v>263</v>
      </c>
    </row>
    <row r="265" spans="1:1" x14ac:dyDescent="0.2">
      <c r="A265">
        <v>264</v>
      </c>
    </row>
    <row r="266" spans="1:1" x14ac:dyDescent="0.2">
      <c r="A266">
        <v>265</v>
      </c>
    </row>
    <row r="267" spans="1:1" x14ac:dyDescent="0.2">
      <c r="A267">
        <v>266</v>
      </c>
    </row>
    <row r="268" spans="1:1" x14ac:dyDescent="0.2">
      <c r="A268">
        <v>267</v>
      </c>
    </row>
    <row r="269" spans="1:1" x14ac:dyDescent="0.2">
      <c r="A269">
        <v>268</v>
      </c>
    </row>
    <row r="270" spans="1:1" x14ac:dyDescent="0.2">
      <c r="A270">
        <v>269</v>
      </c>
    </row>
    <row r="271" spans="1:1" x14ac:dyDescent="0.2">
      <c r="A271">
        <v>270</v>
      </c>
    </row>
    <row r="272" spans="1:1" x14ac:dyDescent="0.2">
      <c r="A272">
        <v>271</v>
      </c>
    </row>
    <row r="273" spans="1:1" x14ac:dyDescent="0.2">
      <c r="A273">
        <v>272</v>
      </c>
    </row>
    <row r="274" spans="1:1" x14ac:dyDescent="0.2">
      <c r="A274">
        <v>273</v>
      </c>
    </row>
    <row r="275" spans="1:1" x14ac:dyDescent="0.2">
      <c r="A275">
        <v>274</v>
      </c>
    </row>
    <row r="276" spans="1:1" x14ac:dyDescent="0.2">
      <c r="A276">
        <v>275</v>
      </c>
    </row>
    <row r="277" spans="1:1" x14ac:dyDescent="0.2">
      <c r="A277">
        <v>276</v>
      </c>
    </row>
    <row r="278" spans="1:1" x14ac:dyDescent="0.2">
      <c r="A278">
        <v>277</v>
      </c>
    </row>
    <row r="279" spans="1:1" x14ac:dyDescent="0.2">
      <c r="A279">
        <v>278</v>
      </c>
    </row>
    <row r="280" spans="1:1" x14ac:dyDescent="0.2">
      <c r="A280">
        <v>279</v>
      </c>
    </row>
    <row r="281" spans="1:1" x14ac:dyDescent="0.2">
      <c r="A281">
        <v>280</v>
      </c>
    </row>
    <row r="282" spans="1:1" x14ac:dyDescent="0.2">
      <c r="A282">
        <v>281</v>
      </c>
    </row>
    <row r="283" spans="1:1" x14ac:dyDescent="0.2">
      <c r="A283">
        <v>282</v>
      </c>
    </row>
    <row r="284" spans="1:1" x14ac:dyDescent="0.2">
      <c r="A284">
        <v>283</v>
      </c>
    </row>
    <row r="285" spans="1:1" x14ac:dyDescent="0.2">
      <c r="A285">
        <v>284</v>
      </c>
    </row>
    <row r="286" spans="1:1" x14ac:dyDescent="0.2">
      <c r="A286">
        <v>285</v>
      </c>
    </row>
    <row r="287" spans="1:1" x14ac:dyDescent="0.2">
      <c r="A287">
        <v>286</v>
      </c>
    </row>
    <row r="288" spans="1:1" x14ac:dyDescent="0.2">
      <c r="A288">
        <v>287</v>
      </c>
    </row>
    <row r="289" spans="1:1" x14ac:dyDescent="0.2">
      <c r="A289">
        <v>288</v>
      </c>
    </row>
    <row r="290" spans="1:1" x14ac:dyDescent="0.2">
      <c r="A290">
        <v>289</v>
      </c>
    </row>
    <row r="291" spans="1:1" x14ac:dyDescent="0.2">
      <c r="A291">
        <v>290</v>
      </c>
    </row>
    <row r="292" spans="1:1" x14ac:dyDescent="0.2">
      <c r="A292">
        <v>291</v>
      </c>
    </row>
    <row r="293" spans="1:1" x14ac:dyDescent="0.2">
      <c r="A293">
        <v>292</v>
      </c>
    </row>
    <row r="294" spans="1:1" x14ac:dyDescent="0.2">
      <c r="A294">
        <v>293</v>
      </c>
    </row>
    <row r="295" spans="1:1" x14ac:dyDescent="0.2">
      <c r="A295">
        <v>294</v>
      </c>
    </row>
    <row r="296" spans="1:1" x14ac:dyDescent="0.2">
      <c r="A296">
        <v>295</v>
      </c>
    </row>
    <row r="297" spans="1:1" x14ac:dyDescent="0.2">
      <c r="A297">
        <v>296</v>
      </c>
    </row>
    <row r="298" spans="1:1" x14ac:dyDescent="0.2">
      <c r="A298">
        <v>297</v>
      </c>
    </row>
    <row r="299" spans="1:1" x14ac:dyDescent="0.2">
      <c r="A299">
        <v>298</v>
      </c>
    </row>
    <row r="300" spans="1:1" x14ac:dyDescent="0.2">
      <c r="A300">
        <v>299</v>
      </c>
    </row>
    <row r="301" spans="1:1" x14ac:dyDescent="0.2">
      <c r="A301">
        <v>300</v>
      </c>
    </row>
    <row r="302" spans="1:1" x14ac:dyDescent="0.2">
      <c r="A302">
        <v>301</v>
      </c>
    </row>
    <row r="303" spans="1:1" x14ac:dyDescent="0.2">
      <c r="A303">
        <v>302</v>
      </c>
    </row>
    <row r="304" spans="1:1" x14ac:dyDescent="0.2">
      <c r="A304">
        <v>303</v>
      </c>
    </row>
    <row r="305" spans="1:1" x14ac:dyDescent="0.2">
      <c r="A305">
        <v>304</v>
      </c>
    </row>
    <row r="306" spans="1:1" x14ac:dyDescent="0.2">
      <c r="A306">
        <v>305</v>
      </c>
    </row>
    <row r="307" spans="1:1" x14ac:dyDescent="0.2">
      <c r="A307">
        <v>306</v>
      </c>
    </row>
    <row r="308" spans="1:1" x14ac:dyDescent="0.2">
      <c r="A308">
        <v>307</v>
      </c>
    </row>
    <row r="309" spans="1:1" x14ac:dyDescent="0.2">
      <c r="A309">
        <v>308</v>
      </c>
    </row>
    <row r="310" spans="1:1" x14ac:dyDescent="0.2">
      <c r="A310">
        <v>309</v>
      </c>
    </row>
    <row r="311" spans="1:1" x14ac:dyDescent="0.2">
      <c r="A311">
        <v>310</v>
      </c>
    </row>
    <row r="312" spans="1:1" x14ac:dyDescent="0.2">
      <c r="A312">
        <v>311</v>
      </c>
    </row>
    <row r="313" spans="1:1" x14ac:dyDescent="0.2">
      <c r="A313">
        <v>312</v>
      </c>
    </row>
    <row r="314" spans="1:1" x14ac:dyDescent="0.2">
      <c r="A314">
        <v>313</v>
      </c>
    </row>
    <row r="315" spans="1:1" x14ac:dyDescent="0.2">
      <c r="A315">
        <v>314</v>
      </c>
    </row>
    <row r="316" spans="1:1" x14ac:dyDescent="0.2">
      <c r="A316">
        <v>315</v>
      </c>
    </row>
    <row r="317" spans="1:1" x14ac:dyDescent="0.2">
      <c r="A317">
        <v>316</v>
      </c>
    </row>
    <row r="318" spans="1:1" x14ac:dyDescent="0.2">
      <c r="A318">
        <v>317</v>
      </c>
    </row>
    <row r="319" spans="1:1" x14ac:dyDescent="0.2">
      <c r="A319">
        <v>318</v>
      </c>
    </row>
    <row r="320" spans="1:1" x14ac:dyDescent="0.2">
      <c r="A320">
        <v>319</v>
      </c>
    </row>
    <row r="321" spans="1:1" x14ac:dyDescent="0.2">
      <c r="A321">
        <v>320</v>
      </c>
    </row>
    <row r="322" spans="1:1" x14ac:dyDescent="0.2">
      <c r="A322">
        <v>321</v>
      </c>
    </row>
    <row r="323" spans="1:1" x14ac:dyDescent="0.2">
      <c r="A323">
        <v>322</v>
      </c>
    </row>
    <row r="324" spans="1:1" x14ac:dyDescent="0.2">
      <c r="A324">
        <v>323</v>
      </c>
    </row>
    <row r="325" spans="1:1" x14ac:dyDescent="0.2">
      <c r="A325">
        <v>324</v>
      </c>
    </row>
    <row r="326" spans="1:1" x14ac:dyDescent="0.2">
      <c r="A326">
        <v>325</v>
      </c>
    </row>
    <row r="327" spans="1:1" x14ac:dyDescent="0.2">
      <c r="A327">
        <v>326</v>
      </c>
    </row>
    <row r="328" spans="1:1" x14ac:dyDescent="0.2">
      <c r="A328">
        <v>327</v>
      </c>
    </row>
    <row r="329" spans="1:1" x14ac:dyDescent="0.2">
      <c r="A329">
        <v>328</v>
      </c>
    </row>
    <row r="330" spans="1:1" x14ac:dyDescent="0.2">
      <c r="A330">
        <v>329</v>
      </c>
    </row>
    <row r="331" spans="1:1" x14ac:dyDescent="0.2">
      <c r="A331">
        <v>330</v>
      </c>
    </row>
    <row r="332" spans="1:1" x14ac:dyDescent="0.2">
      <c r="A332">
        <v>331</v>
      </c>
    </row>
    <row r="333" spans="1:1" x14ac:dyDescent="0.2">
      <c r="A333">
        <v>332</v>
      </c>
    </row>
    <row r="334" spans="1:1" x14ac:dyDescent="0.2">
      <c r="A334">
        <v>333</v>
      </c>
    </row>
    <row r="335" spans="1:1" x14ac:dyDescent="0.2">
      <c r="A335">
        <v>334</v>
      </c>
    </row>
    <row r="336" spans="1:1" x14ac:dyDescent="0.2">
      <c r="A336">
        <v>335</v>
      </c>
    </row>
    <row r="337" spans="1:1" x14ac:dyDescent="0.2">
      <c r="A337">
        <v>336</v>
      </c>
    </row>
    <row r="338" spans="1:1" x14ac:dyDescent="0.2">
      <c r="A338">
        <v>337</v>
      </c>
    </row>
    <row r="339" spans="1:1" x14ac:dyDescent="0.2">
      <c r="A339">
        <v>338</v>
      </c>
    </row>
    <row r="340" spans="1:1" x14ac:dyDescent="0.2">
      <c r="A340">
        <v>339</v>
      </c>
    </row>
    <row r="341" spans="1:1" x14ac:dyDescent="0.2">
      <c r="A341">
        <v>340</v>
      </c>
    </row>
    <row r="342" spans="1:1" x14ac:dyDescent="0.2">
      <c r="A342">
        <v>341</v>
      </c>
    </row>
    <row r="343" spans="1:1" x14ac:dyDescent="0.2">
      <c r="A343">
        <v>342</v>
      </c>
    </row>
    <row r="344" spans="1:1" x14ac:dyDescent="0.2">
      <c r="A344">
        <v>343</v>
      </c>
    </row>
    <row r="345" spans="1:1" x14ac:dyDescent="0.2">
      <c r="A345">
        <v>344</v>
      </c>
    </row>
    <row r="346" spans="1:1" x14ac:dyDescent="0.2">
      <c r="A346">
        <v>345</v>
      </c>
    </row>
    <row r="347" spans="1:1" x14ac:dyDescent="0.2">
      <c r="A347">
        <v>346</v>
      </c>
    </row>
    <row r="348" spans="1:1" x14ac:dyDescent="0.2">
      <c r="A348">
        <v>347</v>
      </c>
    </row>
    <row r="349" spans="1:1" x14ac:dyDescent="0.2">
      <c r="A349">
        <v>348</v>
      </c>
    </row>
    <row r="350" spans="1:1" x14ac:dyDescent="0.2">
      <c r="A350">
        <v>349</v>
      </c>
    </row>
    <row r="351" spans="1:1" x14ac:dyDescent="0.2">
      <c r="A351">
        <v>350</v>
      </c>
    </row>
    <row r="352" spans="1:1" x14ac:dyDescent="0.2">
      <c r="A352">
        <v>351</v>
      </c>
    </row>
    <row r="353" spans="1:1" x14ac:dyDescent="0.2">
      <c r="A353">
        <v>352</v>
      </c>
    </row>
    <row r="354" spans="1:1" x14ac:dyDescent="0.2">
      <c r="A354">
        <v>353</v>
      </c>
    </row>
    <row r="355" spans="1:1" x14ac:dyDescent="0.2">
      <c r="A355">
        <v>354</v>
      </c>
    </row>
    <row r="356" spans="1:1" x14ac:dyDescent="0.2">
      <c r="A356">
        <v>355</v>
      </c>
    </row>
    <row r="357" spans="1:1" x14ac:dyDescent="0.2">
      <c r="A357">
        <v>356</v>
      </c>
    </row>
    <row r="358" spans="1:1" x14ac:dyDescent="0.2">
      <c r="A358">
        <v>357</v>
      </c>
    </row>
    <row r="359" spans="1:1" x14ac:dyDescent="0.2">
      <c r="A359">
        <v>358</v>
      </c>
    </row>
    <row r="360" spans="1:1" x14ac:dyDescent="0.2">
      <c r="A360">
        <v>359</v>
      </c>
    </row>
    <row r="361" spans="1:1" x14ac:dyDescent="0.2">
      <c r="A361">
        <v>360</v>
      </c>
    </row>
    <row r="362" spans="1:1" x14ac:dyDescent="0.2">
      <c r="A362">
        <v>361</v>
      </c>
    </row>
    <row r="363" spans="1:1" x14ac:dyDescent="0.2">
      <c r="A363">
        <v>362</v>
      </c>
    </row>
    <row r="364" spans="1:1" x14ac:dyDescent="0.2">
      <c r="A364">
        <v>363</v>
      </c>
    </row>
    <row r="365" spans="1:1" x14ac:dyDescent="0.2">
      <c r="A365">
        <v>364</v>
      </c>
    </row>
    <row r="366" spans="1:1" x14ac:dyDescent="0.2">
      <c r="A366">
        <v>365</v>
      </c>
    </row>
    <row r="367" spans="1:1" x14ac:dyDescent="0.2">
      <c r="A367">
        <v>366</v>
      </c>
    </row>
    <row r="368" spans="1:1" x14ac:dyDescent="0.2">
      <c r="A368">
        <v>367</v>
      </c>
    </row>
    <row r="369" spans="1:1" x14ac:dyDescent="0.2">
      <c r="A369">
        <v>368</v>
      </c>
    </row>
    <row r="370" spans="1:1" x14ac:dyDescent="0.2">
      <c r="A370">
        <v>369</v>
      </c>
    </row>
    <row r="371" spans="1:1" x14ac:dyDescent="0.2">
      <c r="A371">
        <v>370</v>
      </c>
    </row>
    <row r="372" spans="1:1" x14ac:dyDescent="0.2">
      <c r="A372">
        <v>371</v>
      </c>
    </row>
    <row r="373" spans="1:1" x14ac:dyDescent="0.2">
      <c r="A373">
        <v>372</v>
      </c>
    </row>
    <row r="374" spans="1:1" x14ac:dyDescent="0.2">
      <c r="A374">
        <v>373</v>
      </c>
    </row>
    <row r="375" spans="1:1" x14ac:dyDescent="0.2">
      <c r="A375">
        <v>374</v>
      </c>
    </row>
    <row r="376" spans="1:1" x14ac:dyDescent="0.2">
      <c r="A376">
        <v>375</v>
      </c>
    </row>
    <row r="377" spans="1:1" x14ac:dyDescent="0.2">
      <c r="A377">
        <v>376</v>
      </c>
    </row>
    <row r="378" spans="1:1" x14ac:dyDescent="0.2">
      <c r="A378">
        <v>377</v>
      </c>
    </row>
    <row r="379" spans="1:1" x14ac:dyDescent="0.2">
      <c r="A379">
        <v>378</v>
      </c>
    </row>
    <row r="380" spans="1:1" x14ac:dyDescent="0.2">
      <c r="A380">
        <v>379</v>
      </c>
    </row>
    <row r="381" spans="1:1" x14ac:dyDescent="0.2">
      <c r="A381">
        <v>380</v>
      </c>
    </row>
    <row r="382" spans="1:1" x14ac:dyDescent="0.2">
      <c r="A382">
        <v>381</v>
      </c>
    </row>
    <row r="383" spans="1:1" x14ac:dyDescent="0.2">
      <c r="A383">
        <v>382</v>
      </c>
    </row>
    <row r="384" spans="1:1" x14ac:dyDescent="0.2">
      <c r="A384">
        <v>383</v>
      </c>
    </row>
    <row r="385" spans="1:1" x14ac:dyDescent="0.2">
      <c r="A385">
        <v>384</v>
      </c>
    </row>
    <row r="386" spans="1:1" x14ac:dyDescent="0.2">
      <c r="A386">
        <v>385</v>
      </c>
    </row>
    <row r="387" spans="1:1" x14ac:dyDescent="0.2">
      <c r="A387">
        <v>386</v>
      </c>
    </row>
    <row r="388" spans="1:1" x14ac:dyDescent="0.2">
      <c r="A388">
        <v>387</v>
      </c>
    </row>
    <row r="389" spans="1:1" x14ac:dyDescent="0.2">
      <c r="A389">
        <v>388</v>
      </c>
    </row>
    <row r="390" spans="1:1" x14ac:dyDescent="0.2">
      <c r="A390">
        <v>389</v>
      </c>
    </row>
    <row r="391" spans="1:1" x14ac:dyDescent="0.2">
      <c r="A391">
        <v>390</v>
      </c>
    </row>
    <row r="392" spans="1:1" x14ac:dyDescent="0.2">
      <c r="A392">
        <v>391</v>
      </c>
    </row>
    <row r="393" spans="1:1" x14ac:dyDescent="0.2">
      <c r="A393">
        <v>392</v>
      </c>
    </row>
    <row r="394" spans="1:1" x14ac:dyDescent="0.2">
      <c r="A394">
        <v>393</v>
      </c>
    </row>
    <row r="395" spans="1:1" x14ac:dyDescent="0.2">
      <c r="A395">
        <v>394</v>
      </c>
    </row>
    <row r="396" spans="1:1" x14ac:dyDescent="0.2">
      <c r="A396">
        <v>395</v>
      </c>
    </row>
    <row r="397" spans="1:1" x14ac:dyDescent="0.2">
      <c r="A397">
        <v>396</v>
      </c>
    </row>
    <row r="398" spans="1:1" x14ac:dyDescent="0.2">
      <c r="A398">
        <v>397</v>
      </c>
    </row>
    <row r="399" spans="1:1" x14ac:dyDescent="0.2">
      <c r="A399">
        <v>398</v>
      </c>
    </row>
    <row r="400" spans="1:1" x14ac:dyDescent="0.2">
      <c r="A400">
        <v>399</v>
      </c>
    </row>
    <row r="401" spans="1:1" x14ac:dyDescent="0.2">
      <c r="A401">
        <v>400</v>
      </c>
    </row>
    <row r="402" spans="1:1" x14ac:dyDescent="0.2">
      <c r="A402">
        <v>401</v>
      </c>
    </row>
    <row r="403" spans="1:1" x14ac:dyDescent="0.2">
      <c r="A403">
        <v>402</v>
      </c>
    </row>
    <row r="404" spans="1:1" x14ac:dyDescent="0.2">
      <c r="A404">
        <v>403</v>
      </c>
    </row>
    <row r="405" spans="1:1" x14ac:dyDescent="0.2">
      <c r="A405">
        <v>404</v>
      </c>
    </row>
    <row r="406" spans="1:1" x14ac:dyDescent="0.2">
      <c r="A406">
        <v>405</v>
      </c>
    </row>
    <row r="407" spans="1:1" x14ac:dyDescent="0.2">
      <c r="A407">
        <v>406</v>
      </c>
    </row>
    <row r="408" spans="1:1" x14ac:dyDescent="0.2">
      <c r="A408">
        <v>407</v>
      </c>
    </row>
    <row r="409" spans="1:1" x14ac:dyDescent="0.2">
      <c r="A409">
        <v>408</v>
      </c>
    </row>
    <row r="410" spans="1:1" x14ac:dyDescent="0.2">
      <c r="A410">
        <v>409</v>
      </c>
    </row>
    <row r="411" spans="1:1" x14ac:dyDescent="0.2">
      <c r="A411">
        <v>410</v>
      </c>
    </row>
    <row r="412" spans="1:1" x14ac:dyDescent="0.2">
      <c r="A412">
        <v>411</v>
      </c>
    </row>
    <row r="413" spans="1:1" x14ac:dyDescent="0.2">
      <c r="A413">
        <v>412</v>
      </c>
    </row>
    <row r="414" spans="1:1" x14ac:dyDescent="0.2">
      <c r="A414">
        <v>413</v>
      </c>
    </row>
    <row r="415" spans="1:1" x14ac:dyDescent="0.2">
      <c r="A415">
        <v>414</v>
      </c>
    </row>
    <row r="416" spans="1:1" x14ac:dyDescent="0.2">
      <c r="A416">
        <v>415</v>
      </c>
    </row>
    <row r="417" spans="1:1" x14ac:dyDescent="0.2">
      <c r="A417">
        <v>416</v>
      </c>
    </row>
    <row r="418" spans="1:1" x14ac:dyDescent="0.2">
      <c r="A418">
        <v>417</v>
      </c>
    </row>
    <row r="419" spans="1:1" x14ac:dyDescent="0.2">
      <c r="A419">
        <v>418</v>
      </c>
    </row>
    <row r="420" spans="1:1" x14ac:dyDescent="0.2">
      <c r="A420">
        <v>419</v>
      </c>
    </row>
    <row r="421" spans="1:1" x14ac:dyDescent="0.2">
      <c r="A421">
        <v>420</v>
      </c>
    </row>
    <row r="422" spans="1:1" x14ac:dyDescent="0.2">
      <c r="A422">
        <v>421</v>
      </c>
    </row>
    <row r="423" spans="1:1" x14ac:dyDescent="0.2">
      <c r="A423">
        <v>422</v>
      </c>
    </row>
    <row r="424" spans="1:1" x14ac:dyDescent="0.2">
      <c r="A424">
        <v>423</v>
      </c>
    </row>
    <row r="425" spans="1:1" x14ac:dyDescent="0.2">
      <c r="A425">
        <v>424</v>
      </c>
    </row>
    <row r="426" spans="1:1" x14ac:dyDescent="0.2">
      <c r="A426">
        <v>425</v>
      </c>
    </row>
    <row r="427" spans="1:1" x14ac:dyDescent="0.2">
      <c r="A427">
        <v>426</v>
      </c>
    </row>
    <row r="428" spans="1:1" x14ac:dyDescent="0.2">
      <c r="A428">
        <v>427</v>
      </c>
    </row>
    <row r="429" spans="1:1" x14ac:dyDescent="0.2">
      <c r="A429">
        <v>428</v>
      </c>
    </row>
    <row r="430" spans="1:1" x14ac:dyDescent="0.2">
      <c r="A430">
        <v>429</v>
      </c>
    </row>
    <row r="431" spans="1:1" x14ac:dyDescent="0.2">
      <c r="A431">
        <v>430</v>
      </c>
    </row>
    <row r="432" spans="1:1" x14ac:dyDescent="0.2">
      <c r="A432">
        <v>431</v>
      </c>
    </row>
    <row r="433" spans="1:1" x14ac:dyDescent="0.2">
      <c r="A433">
        <v>432</v>
      </c>
    </row>
    <row r="434" spans="1:1" x14ac:dyDescent="0.2">
      <c r="A434">
        <v>433</v>
      </c>
    </row>
    <row r="435" spans="1:1" x14ac:dyDescent="0.2">
      <c r="A435">
        <v>434</v>
      </c>
    </row>
    <row r="436" spans="1:1" x14ac:dyDescent="0.2">
      <c r="A436">
        <v>435</v>
      </c>
    </row>
    <row r="437" spans="1:1" x14ac:dyDescent="0.2">
      <c r="A437">
        <v>436</v>
      </c>
    </row>
    <row r="438" spans="1:1" x14ac:dyDescent="0.2">
      <c r="A438">
        <v>437</v>
      </c>
    </row>
    <row r="439" spans="1:1" x14ac:dyDescent="0.2">
      <c r="A439">
        <v>438</v>
      </c>
    </row>
    <row r="440" spans="1:1" x14ac:dyDescent="0.2">
      <c r="A440">
        <v>439</v>
      </c>
    </row>
    <row r="441" spans="1:1" x14ac:dyDescent="0.2">
      <c r="A441">
        <v>440</v>
      </c>
    </row>
    <row r="442" spans="1:1" x14ac:dyDescent="0.2">
      <c r="A442">
        <v>441</v>
      </c>
    </row>
    <row r="443" spans="1:1" x14ac:dyDescent="0.2">
      <c r="A443">
        <v>442</v>
      </c>
    </row>
    <row r="444" spans="1:1" x14ac:dyDescent="0.2">
      <c r="A444">
        <v>443</v>
      </c>
    </row>
    <row r="445" spans="1:1" x14ac:dyDescent="0.2">
      <c r="A445">
        <v>444</v>
      </c>
    </row>
    <row r="446" spans="1:1" x14ac:dyDescent="0.2">
      <c r="A446">
        <v>445</v>
      </c>
    </row>
    <row r="447" spans="1:1" x14ac:dyDescent="0.2">
      <c r="A447">
        <v>446</v>
      </c>
    </row>
    <row r="448" spans="1:1" x14ac:dyDescent="0.2">
      <c r="A448">
        <v>447</v>
      </c>
    </row>
    <row r="449" spans="1:1" x14ac:dyDescent="0.2">
      <c r="A449">
        <v>448</v>
      </c>
    </row>
    <row r="450" spans="1:1" x14ac:dyDescent="0.2">
      <c r="A450">
        <v>449</v>
      </c>
    </row>
    <row r="451" spans="1:1" x14ac:dyDescent="0.2">
      <c r="A451">
        <v>450</v>
      </c>
    </row>
    <row r="452" spans="1:1" x14ac:dyDescent="0.2">
      <c r="A452">
        <v>451</v>
      </c>
    </row>
    <row r="453" spans="1:1" x14ac:dyDescent="0.2">
      <c r="A453">
        <v>452</v>
      </c>
    </row>
    <row r="454" spans="1:1" x14ac:dyDescent="0.2">
      <c r="A454">
        <v>453</v>
      </c>
    </row>
    <row r="455" spans="1:1" x14ac:dyDescent="0.2">
      <c r="A455">
        <v>454</v>
      </c>
    </row>
    <row r="456" spans="1:1" x14ac:dyDescent="0.2">
      <c r="A456">
        <v>455</v>
      </c>
    </row>
    <row r="457" spans="1:1" x14ac:dyDescent="0.2">
      <c r="A457">
        <v>456</v>
      </c>
    </row>
    <row r="458" spans="1:1" x14ac:dyDescent="0.2">
      <c r="A458">
        <v>457</v>
      </c>
    </row>
    <row r="459" spans="1:1" x14ac:dyDescent="0.2">
      <c r="A459">
        <v>458</v>
      </c>
    </row>
    <row r="460" spans="1:1" x14ac:dyDescent="0.2">
      <c r="A460">
        <v>459</v>
      </c>
    </row>
    <row r="461" spans="1:1" x14ac:dyDescent="0.2">
      <c r="A461">
        <v>460</v>
      </c>
    </row>
    <row r="462" spans="1:1" x14ac:dyDescent="0.2">
      <c r="A462">
        <v>461</v>
      </c>
    </row>
    <row r="463" spans="1:1" x14ac:dyDescent="0.2">
      <c r="A463">
        <v>462</v>
      </c>
    </row>
    <row r="464" spans="1:1" x14ac:dyDescent="0.2">
      <c r="A464">
        <v>463</v>
      </c>
    </row>
    <row r="465" spans="1:1" x14ac:dyDescent="0.2">
      <c r="A465">
        <v>464</v>
      </c>
    </row>
    <row r="466" spans="1:1" x14ac:dyDescent="0.2">
      <c r="A466">
        <v>465</v>
      </c>
    </row>
    <row r="467" spans="1:1" x14ac:dyDescent="0.2">
      <c r="A467">
        <v>466</v>
      </c>
    </row>
    <row r="468" spans="1:1" x14ac:dyDescent="0.2">
      <c r="A468">
        <v>467</v>
      </c>
    </row>
    <row r="469" spans="1:1" x14ac:dyDescent="0.2">
      <c r="A469">
        <v>468</v>
      </c>
    </row>
    <row r="470" spans="1:1" x14ac:dyDescent="0.2">
      <c r="A470">
        <v>469</v>
      </c>
    </row>
    <row r="471" spans="1:1" x14ac:dyDescent="0.2">
      <c r="A471">
        <v>470</v>
      </c>
    </row>
    <row r="472" spans="1:1" x14ac:dyDescent="0.2">
      <c r="A472">
        <v>471</v>
      </c>
    </row>
    <row r="473" spans="1:1" x14ac:dyDescent="0.2">
      <c r="A473">
        <v>472</v>
      </c>
    </row>
    <row r="474" spans="1:1" x14ac:dyDescent="0.2">
      <c r="A474">
        <v>473</v>
      </c>
    </row>
    <row r="475" spans="1:1" x14ac:dyDescent="0.2">
      <c r="A475">
        <v>474</v>
      </c>
    </row>
    <row r="476" spans="1:1" x14ac:dyDescent="0.2">
      <c r="A476">
        <v>475</v>
      </c>
    </row>
    <row r="477" spans="1:1" x14ac:dyDescent="0.2">
      <c r="A477">
        <v>476</v>
      </c>
    </row>
    <row r="478" spans="1:1" x14ac:dyDescent="0.2">
      <c r="A478">
        <v>477</v>
      </c>
    </row>
    <row r="479" spans="1:1" x14ac:dyDescent="0.2">
      <c r="A479">
        <v>478</v>
      </c>
    </row>
    <row r="480" spans="1:1" x14ac:dyDescent="0.2">
      <c r="A480">
        <v>479</v>
      </c>
    </row>
    <row r="481" spans="1:1" x14ac:dyDescent="0.2">
      <c r="A481">
        <v>480</v>
      </c>
    </row>
    <row r="482" spans="1:1" x14ac:dyDescent="0.2">
      <c r="A482">
        <v>481</v>
      </c>
    </row>
    <row r="483" spans="1:1" x14ac:dyDescent="0.2">
      <c r="A483">
        <v>482</v>
      </c>
    </row>
    <row r="484" spans="1:1" x14ac:dyDescent="0.2">
      <c r="A484">
        <v>483</v>
      </c>
    </row>
    <row r="485" spans="1:1" x14ac:dyDescent="0.2">
      <c r="A485">
        <v>484</v>
      </c>
    </row>
    <row r="486" spans="1:1" x14ac:dyDescent="0.2">
      <c r="A486">
        <v>485</v>
      </c>
    </row>
    <row r="487" spans="1:1" x14ac:dyDescent="0.2">
      <c r="A487">
        <v>486</v>
      </c>
    </row>
    <row r="488" spans="1:1" x14ac:dyDescent="0.2">
      <c r="A488">
        <v>487</v>
      </c>
    </row>
    <row r="489" spans="1:1" x14ac:dyDescent="0.2">
      <c r="A489">
        <v>488</v>
      </c>
    </row>
    <row r="490" spans="1:1" x14ac:dyDescent="0.2">
      <c r="A490">
        <v>489</v>
      </c>
    </row>
    <row r="491" spans="1:1" x14ac:dyDescent="0.2">
      <c r="A491">
        <v>490</v>
      </c>
    </row>
    <row r="492" spans="1:1" x14ac:dyDescent="0.2">
      <c r="A492">
        <v>491</v>
      </c>
    </row>
    <row r="493" spans="1:1" x14ac:dyDescent="0.2">
      <c r="A493">
        <v>492</v>
      </c>
    </row>
    <row r="494" spans="1:1" x14ac:dyDescent="0.2">
      <c r="A494">
        <v>493</v>
      </c>
    </row>
    <row r="495" spans="1:1" x14ac:dyDescent="0.2">
      <c r="A495">
        <v>494</v>
      </c>
    </row>
    <row r="496" spans="1:1" x14ac:dyDescent="0.2">
      <c r="A496">
        <v>495</v>
      </c>
    </row>
    <row r="497" spans="1:1" x14ac:dyDescent="0.2">
      <c r="A497">
        <v>496</v>
      </c>
    </row>
    <row r="498" spans="1:1" x14ac:dyDescent="0.2">
      <c r="A498">
        <v>497</v>
      </c>
    </row>
    <row r="499" spans="1:1" x14ac:dyDescent="0.2">
      <c r="A499">
        <v>498</v>
      </c>
    </row>
    <row r="500" spans="1:1" x14ac:dyDescent="0.2">
      <c r="A500">
        <v>499</v>
      </c>
    </row>
    <row r="501" spans="1:1" x14ac:dyDescent="0.2">
      <c r="A501">
        <v>500</v>
      </c>
    </row>
    <row r="502" spans="1:1" x14ac:dyDescent="0.2">
      <c r="A502">
        <v>501</v>
      </c>
    </row>
    <row r="503" spans="1:1" x14ac:dyDescent="0.2">
      <c r="A503">
        <v>502</v>
      </c>
    </row>
    <row r="504" spans="1:1" x14ac:dyDescent="0.2">
      <c r="A504">
        <v>503</v>
      </c>
    </row>
    <row r="505" spans="1:1" x14ac:dyDescent="0.2">
      <c r="A505">
        <v>504</v>
      </c>
    </row>
    <row r="506" spans="1:1" x14ac:dyDescent="0.2">
      <c r="A506">
        <v>505</v>
      </c>
    </row>
    <row r="507" spans="1:1" x14ac:dyDescent="0.2">
      <c r="A507">
        <v>506</v>
      </c>
    </row>
    <row r="508" spans="1:1" x14ac:dyDescent="0.2">
      <c r="A508">
        <v>507</v>
      </c>
    </row>
    <row r="509" spans="1:1" x14ac:dyDescent="0.2">
      <c r="A509">
        <v>508</v>
      </c>
    </row>
    <row r="510" spans="1:1" x14ac:dyDescent="0.2">
      <c r="A510">
        <v>509</v>
      </c>
    </row>
    <row r="511" spans="1:1" x14ac:dyDescent="0.2">
      <c r="A511">
        <v>510</v>
      </c>
    </row>
    <row r="512" spans="1:1" x14ac:dyDescent="0.2">
      <c r="A512">
        <v>511</v>
      </c>
    </row>
    <row r="513" spans="1:1" x14ac:dyDescent="0.2">
      <c r="A513">
        <v>512</v>
      </c>
    </row>
    <row r="514" spans="1:1" x14ac:dyDescent="0.2">
      <c r="A514">
        <v>513</v>
      </c>
    </row>
    <row r="515" spans="1:1" x14ac:dyDescent="0.2">
      <c r="A515">
        <v>514</v>
      </c>
    </row>
    <row r="516" spans="1:1" x14ac:dyDescent="0.2">
      <c r="A516">
        <v>515</v>
      </c>
    </row>
    <row r="517" spans="1:1" x14ac:dyDescent="0.2">
      <c r="A517">
        <v>516</v>
      </c>
    </row>
    <row r="518" spans="1:1" x14ac:dyDescent="0.2">
      <c r="A518">
        <v>517</v>
      </c>
    </row>
    <row r="519" spans="1:1" x14ac:dyDescent="0.2">
      <c r="A519">
        <v>518</v>
      </c>
    </row>
    <row r="520" spans="1:1" x14ac:dyDescent="0.2">
      <c r="A520">
        <v>519</v>
      </c>
    </row>
    <row r="521" spans="1:1" x14ac:dyDescent="0.2">
      <c r="A521">
        <v>520</v>
      </c>
    </row>
    <row r="522" spans="1:1" x14ac:dyDescent="0.2">
      <c r="A522">
        <v>521</v>
      </c>
    </row>
    <row r="523" spans="1:1" x14ac:dyDescent="0.2">
      <c r="A523">
        <v>522</v>
      </c>
    </row>
    <row r="524" spans="1:1" x14ac:dyDescent="0.2">
      <c r="A524">
        <v>523</v>
      </c>
    </row>
    <row r="525" spans="1:1" x14ac:dyDescent="0.2">
      <c r="A525">
        <v>524</v>
      </c>
    </row>
    <row r="526" spans="1:1" x14ac:dyDescent="0.2">
      <c r="A526">
        <v>525</v>
      </c>
    </row>
    <row r="527" spans="1:1" x14ac:dyDescent="0.2">
      <c r="A527">
        <v>526</v>
      </c>
    </row>
    <row r="528" spans="1:1" x14ac:dyDescent="0.2">
      <c r="A528">
        <v>527</v>
      </c>
    </row>
    <row r="529" spans="1:1" x14ac:dyDescent="0.2">
      <c r="A529">
        <v>528</v>
      </c>
    </row>
    <row r="530" spans="1:1" x14ac:dyDescent="0.2">
      <c r="A530">
        <v>529</v>
      </c>
    </row>
    <row r="531" spans="1:1" x14ac:dyDescent="0.2">
      <c r="A531">
        <v>530</v>
      </c>
    </row>
    <row r="532" spans="1:1" x14ac:dyDescent="0.2">
      <c r="A532">
        <v>531</v>
      </c>
    </row>
    <row r="533" spans="1:1" x14ac:dyDescent="0.2">
      <c r="A533">
        <v>532</v>
      </c>
    </row>
    <row r="534" spans="1:1" x14ac:dyDescent="0.2">
      <c r="A534">
        <v>533</v>
      </c>
    </row>
    <row r="535" spans="1:1" x14ac:dyDescent="0.2">
      <c r="A535">
        <v>534</v>
      </c>
    </row>
    <row r="536" spans="1:1" x14ac:dyDescent="0.2">
      <c r="A536">
        <v>535</v>
      </c>
    </row>
    <row r="537" spans="1:1" x14ac:dyDescent="0.2">
      <c r="A537">
        <v>536</v>
      </c>
    </row>
    <row r="538" spans="1:1" x14ac:dyDescent="0.2">
      <c r="A538">
        <v>537</v>
      </c>
    </row>
    <row r="539" spans="1:1" x14ac:dyDescent="0.2">
      <c r="A539">
        <v>538</v>
      </c>
    </row>
    <row r="540" spans="1:1" x14ac:dyDescent="0.2">
      <c r="A540">
        <v>539</v>
      </c>
    </row>
    <row r="541" spans="1:1" x14ac:dyDescent="0.2">
      <c r="A541">
        <v>540</v>
      </c>
    </row>
    <row r="542" spans="1:1" x14ac:dyDescent="0.2">
      <c r="A542">
        <v>541</v>
      </c>
    </row>
    <row r="543" spans="1:1" x14ac:dyDescent="0.2">
      <c r="A543">
        <v>542</v>
      </c>
    </row>
    <row r="544" spans="1:1" x14ac:dyDescent="0.2">
      <c r="A544">
        <v>543</v>
      </c>
    </row>
    <row r="545" spans="1:1" x14ac:dyDescent="0.2">
      <c r="A545">
        <v>544</v>
      </c>
    </row>
    <row r="546" spans="1:1" x14ac:dyDescent="0.2">
      <c r="A546">
        <v>545</v>
      </c>
    </row>
    <row r="547" spans="1:1" x14ac:dyDescent="0.2">
      <c r="A547">
        <v>546</v>
      </c>
    </row>
    <row r="548" spans="1:1" x14ac:dyDescent="0.2">
      <c r="A548">
        <v>547</v>
      </c>
    </row>
    <row r="549" spans="1:1" x14ac:dyDescent="0.2">
      <c r="A549">
        <v>548</v>
      </c>
    </row>
    <row r="550" spans="1:1" x14ac:dyDescent="0.2">
      <c r="A550">
        <v>549</v>
      </c>
    </row>
    <row r="551" spans="1:1" x14ac:dyDescent="0.2">
      <c r="A551">
        <v>550</v>
      </c>
    </row>
    <row r="552" spans="1:1" x14ac:dyDescent="0.2">
      <c r="A552">
        <v>551</v>
      </c>
    </row>
    <row r="553" spans="1:1" x14ac:dyDescent="0.2">
      <c r="A553">
        <v>552</v>
      </c>
    </row>
    <row r="554" spans="1:1" x14ac:dyDescent="0.2">
      <c r="A554">
        <v>553</v>
      </c>
    </row>
    <row r="555" spans="1:1" x14ac:dyDescent="0.2">
      <c r="A555">
        <v>554</v>
      </c>
    </row>
    <row r="556" spans="1:1" x14ac:dyDescent="0.2">
      <c r="A556">
        <v>555</v>
      </c>
    </row>
    <row r="557" spans="1:1" x14ac:dyDescent="0.2">
      <c r="A557">
        <v>556</v>
      </c>
    </row>
    <row r="558" spans="1:1" x14ac:dyDescent="0.2">
      <c r="A558">
        <v>557</v>
      </c>
    </row>
    <row r="559" spans="1:1" x14ac:dyDescent="0.2">
      <c r="A559">
        <v>558</v>
      </c>
    </row>
    <row r="560" spans="1:1" x14ac:dyDescent="0.2">
      <c r="A560">
        <v>559</v>
      </c>
    </row>
    <row r="561" spans="1:1" x14ac:dyDescent="0.2">
      <c r="A561">
        <v>560</v>
      </c>
    </row>
    <row r="562" spans="1:1" x14ac:dyDescent="0.2">
      <c r="A562">
        <v>561</v>
      </c>
    </row>
    <row r="563" spans="1:1" x14ac:dyDescent="0.2">
      <c r="A563">
        <v>562</v>
      </c>
    </row>
    <row r="564" spans="1:1" x14ac:dyDescent="0.2">
      <c r="A564">
        <v>563</v>
      </c>
    </row>
    <row r="565" spans="1:1" x14ac:dyDescent="0.2">
      <c r="A565">
        <v>564</v>
      </c>
    </row>
    <row r="566" spans="1:1" x14ac:dyDescent="0.2">
      <c r="A566">
        <v>565</v>
      </c>
    </row>
    <row r="567" spans="1:1" x14ac:dyDescent="0.2">
      <c r="A567">
        <v>566</v>
      </c>
    </row>
    <row r="568" spans="1:1" x14ac:dyDescent="0.2">
      <c r="A568">
        <v>567</v>
      </c>
    </row>
    <row r="569" spans="1:1" x14ac:dyDescent="0.2">
      <c r="A569">
        <v>568</v>
      </c>
    </row>
    <row r="570" spans="1:1" x14ac:dyDescent="0.2">
      <c r="A570">
        <v>569</v>
      </c>
    </row>
    <row r="571" spans="1:1" x14ac:dyDescent="0.2">
      <c r="A571">
        <v>570</v>
      </c>
    </row>
    <row r="572" spans="1:1" x14ac:dyDescent="0.2">
      <c r="A572">
        <v>571</v>
      </c>
    </row>
    <row r="573" spans="1:1" x14ac:dyDescent="0.2">
      <c r="A573">
        <v>572</v>
      </c>
    </row>
    <row r="574" spans="1:1" x14ac:dyDescent="0.2">
      <c r="A574">
        <v>573</v>
      </c>
    </row>
    <row r="575" spans="1:1" x14ac:dyDescent="0.2">
      <c r="A575">
        <v>574</v>
      </c>
    </row>
    <row r="576" spans="1:1" x14ac:dyDescent="0.2">
      <c r="A576">
        <v>575</v>
      </c>
    </row>
    <row r="577" spans="1:1" x14ac:dyDescent="0.2">
      <c r="A577">
        <v>576</v>
      </c>
    </row>
    <row r="578" spans="1:1" x14ac:dyDescent="0.2">
      <c r="A578">
        <v>577</v>
      </c>
    </row>
    <row r="579" spans="1:1" x14ac:dyDescent="0.2">
      <c r="A579">
        <v>578</v>
      </c>
    </row>
    <row r="580" spans="1:1" x14ac:dyDescent="0.2">
      <c r="A580">
        <v>579</v>
      </c>
    </row>
    <row r="581" spans="1:1" x14ac:dyDescent="0.2">
      <c r="A581">
        <v>580</v>
      </c>
    </row>
    <row r="582" spans="1:1" x14ac:dyDescent="0.2">
      <c r="A582">
        <v>581</v>
      </c>
    </row>
    <row r="583" spans="1:1" x14ac:dyDescent="0.2">
      <c r="A583">
        <v>582</v>
      </c>
    </row>
    <row r="584" spans="1:1" x14ac:dyDescent="0.2">
      <c r="A584">
        <v>583</v>
      </c>
    </row>
    <row r="585" spans="1:1" x14ac:dyDescent="0.2">
      <c r="A585">
        <v>584</v>
      </c>
    </row>
    <row r="586" spans="1:1" x14ac:dyDescent="0.2">
      <c r="A586">
        <v>585</v>
      </c>
    </row>
    <row r="587" spans="1:1" x14ac:dyDescent="0.2">
      <c r="A587">
        <v>586</v>
      </c>
    </row>
    <row r="588" spans="1:1" x14ac:dyDescent="0.2">
      <c r="A588">
        <v>587</v>
      </c>
    </row>
    <row r="589" spans="1:1" x14ac:dyDescent="0.2">
      <c r="A589">
        <v>588</v>
      </c>
    </row>
    <row r="590" spans="1:1" x14ac:dyDescent="0.2">
      <c r="A590">
        <v>589</v>
      </c>
    </row>
    <row r="591" spans="1:1" x14ac:dyDescent="0.2">
      <c r="A591">
        <v>590</v>
      </c>
    </row>
    <row r="592" spans="1:1" x14ac:dyDescent="0.2">
      <c r="A592">
        <v>591</v>
      </c>
    </row>
    <row r="593" spans="1:1" x14ac:dyDescent="0.2">
      <c r="A593">
        <v>592</v>
      </c>
    </row>
    <row r="594" spans="1:1" x14ac:dyDescent="0.2">
      <c r="A594">
        <v>593</v>
      </c>
    </row>
    <row r="595" spans="1:1" x14ac:dyDescent="0.2">
      <c r="A595">
        <v>594</v>
      </c>
    </row>
    <row r="596" spans="1:1" x14ac:dyDescent="0.2">
      <c r="A596">
        <v>595</v>
      </c>
    </row>
    <row r="597" spans="1:1" x14ac:dyDescent="0.2">
      <c r="A597">
        <v>596</v>
      </c>
    </row>
    <row r="598" spans="1:1" x14ac:dyDescent="0.2">
      <c r="A598">
        <v>597</v>
      </c>
    </row>
    <row r="599" spans="1:1" x14ac:dyDescent="0.2">
      <c r="A599">
        <v>598</v>
      </c>
    </row>
    <row r="600" spans="1:1" x14ac:dyDescent="0.2">
      <c r="A600">
        <v>599</v>
      </c>
    </row>
    <row r="601" spans="1:1" x14ac:dyDescent="0.2">
      <c r="A601">
        <v>600</v>
      </c>
    </row>
    <row r="602" spans="1:1" x14ac:dyDescent="0.2">
      <c r="A602">
        <v>601</v>
      </c>
    </row>
    <row r="603" spans="1:1" x14ac:dyDescent="0.2">
      <c r="A603">
        <v>602</v>
      </c>
    </row>
    <row r="604" spans="1:1" x14ac:dyDescent="0.2">
      <c r="A604">
        <v>603</v>
      </c>
    </row>
    <row r="605" spans="1:1" x14ac:dyDescent="0.2">
      <c r="A605">
        <v>604</v>
      </c>
    </row>
    <row r="606" spans="1:1" x14ac:dyDescent="0.2">
      <c r="A606">
        <v>605</v>
      </c>
    </row>
    <row r="607" spans="1:1" x14ac:dyDescent="0.2">
      <c r="A607">
        <v>606</v>
      </c>
    </row>
    <row r="608" spans="1:1" x14ac:dyDescent="0.2">
      <c r="A608">
        <v>607</v>
      </c>
    </row>
    <row r="609" spans="1:1" x14ac:dyDescent="0.2">
      <c r="A609">
        <v>608</v>
      </c>
    </row>
    <row r="610" spans="1:1" x14ac:dyDescent="0.2">
      <c r="A610">
        <v>609</v>
      </c>
    </row>
    <row r="611" spans="1:1" x14ac:dyDescent="0.2">
      <c r="A611">
        <v>610</v>
      </c>
    </row>
    <row r="612" spans="1:1" x14ac:dyDescent="0.2">
      <c r="A612">
        <v>611</v>
      </c>
    </row>
    <row r="613" spans="1:1" x14ac:dyDescent="0.2">
      <c r="A613">
        <v>612</v>
      </c>
    </row>
    <row r="614" spans="1:1" x14ac:dyDescent="0.2">
      <c r="A614">
        <v>613</v>
      </c>
    </row>
    <row r="615" spans="1:1" x14ac:dyDescent="0.2">
      <c r="A615">
        <v>614</v>
      </c>
    </row>
    <row r="616" spans="1:1" x14ac:dyDescent="0.2">
      <c r="A616">
        <v>615</v>
      </c>
    </row>
    <row r="617" spans="1:1" x14ac:dyDescent="0.2">
      <c r="A617">
        <v>616</v>
      </c>
    </row>
    <row r="618" spans="1:1" x14ac:dyDescent="0.2">
      <c r="A618">
        <v>617</v>
      </c>
    </row>
    <row r="619" spans="1:1" x14ac:dyDescent="0.2">
      <c r="A619">
        <v>618</v>
      </c>
    </row>
    <row r="620" spans="1:1" x14ac:dyDescent="0.2">
      <c r="A620">
        <v>619</v>
      </c>
    </row>
    <row r="621" spans="1:1" x14ac:dyDescent="0.2">
      <c r="A621">
        <v>620</v>
      </c>
    </row>
    <row r="622" spans="1:1" x14ac:dyDescent="0.2">
      <c r="A622">
        <v>621</v>
      </c>
    </row>
    <row r="623" spans="1:1" x14ac:dyDescent="0.2">
      <c r="A623">
        <v>622</v>
      </c>
    </row>
    <row r="624" spans="1:1" x14ac:dyDescent="0.2">
      <c r="A624">
        <v>623</v>
      </c>
    </row>
    <row r="625" spans="1:1" x14ac:dyDescent="0.2">
      <c r="A625">
        <v>624</v>
      </c>
    </row>
    <row r="626" spans="1:1" x14ac:dyDescent="0.2">
      <c r="A626">
        <v>625</v>
      </c>
    </row>
    <row r="627" spans="1:1" x14ac:dyDescent="0.2">
      <c r="A627">
        <v>626</v>
      </c>
    </row>
    <row r="628" spans="1:1" x14ac:dyDescent="0.2">
      <c r="A628">
        <v>627</v>
      </c>
    </row>
    <row r="629" spans="1:1" x14ac:dyDescent="0.2">
      <c r="A629">
        <v>628</v>
      </c>
    </row>
    <row r="630" spans="1:1" x14ac:dyDescent="0.2">
      <c r="A630">
        <v>629</v>
      </c>
    </row>
    <row r="631" spans="1:1" x14ac:dyDescent="0.2">
      <c r="A631">
        <v>630</v>
      </c>
    </row>
    <row r="632" spans="1:1" x14ac:dyDescent="0.2">
      <c r="A632">
        <v>631</v>
      </c>
    </row>
    <row r="633" spans="1:1" x14ac:dyDescent="0.2">
      <c r="A633">
        <v>632</v>
      </c>
    </row>
    <row r="634" spans="1:1" x14ac:dyDescent="0.2">
      <c r="A634">
        <v>633</v>
      </c>
    </row>
    <row r="635" spans="1:1" x14ac:dyDescent="0.2">
      <c r="A635">
        <v>634</v>
      </c>
    </row>
    <row r="636" spans="1:1" x14ac:dyDescent="0.2">
      <c r="A636">
        <v>635</v>
      </c>
    </row>
    <row r="637" spans="1:1" x14ac:dyDescent="0.2">
      <c r="A637">
        <v>636</v>
      </c>
    </row>
    <row r="638" spans="1:1" x14ac:dyDescent="0.2">
      <c r="A638">
        <v>637</v>
      </c>
    </row>
    <row r="639" spans="1:1" x14ac:dyDescent="0.2">
      <c r="A639">
        <v>638</v>
      </c>
    </row>
    <row r="640" spans="1:1" x14ac:dyDescent="0.2">
      <c r="A640">
        <v>639</v>
      </c>
    </row>
    <row r="641" spans="1:1" x14ac:dyDescent="0.2">
      <c r="A641">
        <v>640</v>
      </c>
    </row>
    <row r="642" spans="1:1" x14ac:dyDescent="0.2">
      <c r="A642">
        <v>641</v>
      </c>
    </row>
    <row r="643" spans="1:1" x14ac:dyDescent="0.2">
      <c r="A643">
        <v>642</v>
      </c>
    </row>
    <row r="644" spans="1:1" x14ac:dyDescent="0.2">
      <c r="A644">
        <v>643</v>
      </c>
    </row>
    <row r="645" spans="1:1" x14ac:dyDescent="0.2">
      <c r="A645">
        <v>644</v>
      </c>
    </row>
    <row r="646" spans="1:1" x14ac:dyDescent="0.2">
      <c r="A646">
        <v>645</v>
      </c>
    </row>
    <row r="647" spans="1:1" x14ac:dyDescent="0.2">
      <c r="A647">
        <v>646</v>
      </c>
    </row>
    <row r="648" spans="1:1" x14ac:dyDescent="0.2">
      <c r="A648">
        <v>647</v>
      </c>
    </row>
    <row r="649" spans="1:1" x14ac:dyDescent="0.2">
      <c r="A649">
        <v>648</v>
      </c>
    </row>
    <row r="650" spans="1:1" x14ac:dyDescent="0.2">
      <c r="A650">
        <v>649</v>
      </c>
    </row>
    <row r="651" spans="1:1" x14ac:dyDescent="0.2">
      <c r="A651">
        <v>650</v>
      </c>
    </row>
    <row r="652" spans="1:1" x14ac:dyDescent="0.2">
      <c r="A652">
        <v>651</v>
      </c>
    </row>
    <row r="653" spans="1:1" x14ac:dyDescent="0.2">
      <c r="A653">
        <v>652</v>
      </c>
    </row>
    <row r="654" spans="1:1" x14ac:dyDescent="0.2">
      <c r="A654">
        <v>653</v>
      </c>
    </row>
    <row r="655" spans="1:1" x14ac:dyDescent="0.2">
      <c r="A655">
        <v>654</v>
      </c>
    </row>
    <row r="656" spans="1:1" x14ac:dyDescent="0.2">
      <c r="A656">
        <v>655</v>
      </c>
    </row>
    <row r="657" spans="1:1" x14ac:dyDescent="0.2">
      <c r="A657">
        <v>656</v>
      </c>
    </row>
    <row r="658" spans="1:1" x14ac:dyDescent="0.2">
      <c r="A658">
        <v>657</v>
      </c>
    </row>
    <row r="659" spans="1:1" x14ac:dyDescent="0.2">
      <c r="A659">
        <v>658</v>
      </c>
    </row>
    <row r="660" spans="1:1" x14ac:dyDescent="0.2">
      <c r="A660">
        <v>659</v>
      </c>
    </row>
    <row r="661" spans="1:1" x14ac:dyDescent="0.2">
      <c r="A661">
        <v>660</v>
      </c>
    </row>
    <row r="662" spans="1:1" x14ac:dyDescent="0.2">
      <c r="A662">
        <v>661</v>
      </c>
    </row>
    <row r="663" spans="1:1" x14ac:dyDescent="0.2">
      <c r="A663">
        <v>662</v>
      </c>
    </row>
    <row r="664" spans="1:1" x14ac:dyDescent="0.2">
      <c r="A664">
        <v>663</v>
      </c>
    </row>
    <row r="665" spans="1:1" x14ac:dyDescent="0.2">
      <c r="A665">
        <v>664</v>
      </c>
    </row>
    <row r="666" spans="1:1" x14ac:dyDescent="0.2">
      <c r="A666">
        <v>665</v>
      </c>
    </row>
    <row r="667" spans="1:1" x14ac:dyDescent="0.2">
      <c r="A667">
        <v>666</v>
      </c>
    </row>
    <row r="668" spans="1:1" x14ac:dyDescent="0.2">
      <c r="A668">
        <v>667</v>
      </c>
    </row>
    <row r="669" spans="1:1" x14ac:dyDescent="0.2">
      <c r="A669">
        <v>668</v>
      </c>
    </row>
    <row r="670" spans="1:1" x14ac:dyDescent="0.2">
      <c r="A670">
        <v>669</v>
      </c>
    </row>
    <row r="671" spans="1:1" x14ac:dyDescent="0.2">
      <c r="A671">
        <v>670</v>
      </c>
    </row>
    <row r="672" spans="1:1" x14ac:dyDescent="0.2">
      <c r="A672">
        <v>671</v>
      </c>
    </row>
    <row r="673" spans="1:1" x14ac:dyDescent="0.2">
      <c r="A673">
        <v>672</v>
      </c>
    </row>
    <row r="674" spans="1:1" x14ac:dyDescent="0.2">
      <c r="A674">
        <v>673</v>
      </c>
    </row>
    <row r="675" spans="1:1" x14ac:dyDescent="0.2">
      <c r="A675">
        <v>674</v>
      </c>
    </row>
    <row r="676" spans="1:1" x14ac:dyDescent="0.2">
      <c r="A676">
        <v>675</v>
      </c>
    </row>
    <row r="677" spans="1:1" x14ac:dyDescent="0.2">
      <c r="A677">
        <v>676</v>
      </c>
    </row>
    <row r="678" spans="1:1" x14ac:dyDescent="0.2">
      <c r="A678">
        <v>677</v>
      </c>
    </row>
    <row r="679" spans="1:1" x14ac:dyDescent="0.2">
      <c r="A679">
        <v>678</v>
      </c>
    </row>
    <row r="680" spans="1:1" x14ac:dyDescent="0.2">
      <c r="A680">
        <v>679</v>
      </c>
    </row>
    <row r="681" spans="1:1" x14ac:dyDescent="0.2">
      <c r="A681">
        <v>680</v>
      </c>
    </row>
    <row r="682" spans="1:1" x14ac:dyDescent="0.2">
      <c r="A682">
        <v>681</v>
      </c>
    </row>
    <row r="683" spans="1:1" x14ac:dyDescent="0.2">
      <c r="A683">
        <v>682</v>
      </c>
    </row>
    <row r="684" spans="1:1" x14ac:dyDescent="0.2">
      <c r="A684">
        <v>683</v>
      </c>
    </row>
    <row r="685" spans="1:1" x14ac:dyDescent="0.2">
      <c r="A685">
        <v>684</v>
      </c>
    </row>
    <row r="686" spans="1:1" x14ac:dyDescent="0.2">
      <c r="A686">
        <v>685</v>
      </c>
    </row>
    <row r="687" spans="1:1" x14ac:dyDescent="0.2">
      <c r="A687">
        <v>686</v>
      </c>
    </row>
    <row r="688" spans="1:1" x14ac:dyDescent="0.2">
      <c r="A688">
        <v>687</v>
      </c>
    </row>
    <row r="689" spans="1:1" x14ac:dyDescent="0.2">
      <c r="A689">
        <v>688</v>
      </c>
    </row>
    <row r="690" spans="1:1" x14ac:dyDescent="0.2">
      <c r="A690">
        <v>689</v>
      </c>
    </row>
    <row r="691" spans="1:1" x14ac:dyDescent="0.2">
      <c r="A691">
        <v>690</v>
      </c>
    </row>
    <row r="692" spans="1:1" x14ac:dyDescent="0.2">
      <c r="A692">
        <v>691</v>
      </c>
    </row>
    <row r="693" spans="1:1" x14ac:dyDescent="0.2">
      <c r="A693">
        <v>692</v>
      </c>
    </row>
    <row r="694" spans="1:1" x14ac:dyDescent="0.2">
      <c r="A694">
        <v>693</v>
      </c>
    </row>
    <row r="695" spans="1:1" x14ac:dyDescent="0.2">
      <c r="A695">
        <v>694</v>
      </c>
    </row>
    <row r="696" spans="1:1" x14ac:dyDescent="0.2">
      <c r="A696">
        <v>695</v>
      </c>
    </row>
    <row r="697" spans="1:1" x14ac:dyDescent="0.2">
      <c r="A697">
        <v>696</v>
      </c>
    </row>
    <row r="698" spans="1:1" x14ac:dyDescent="0.2">
      <c r="A698">
        <v>697</v>
      </c>
    </row>
    <row r="699" spans="1:1" x14ac:dyDescent="0.2">
      <c r="A699">
        <v>698</v>
      </c>
    </row>
    <row r="700" spans="1:1" x14ac:dyDescent="0.2">
      <c r="A700">
        <v>699</v>
      </c>
    </row>
    <row r="701" spans="1:1" x14ac:dyDescent="0.2">
      <c r="A701">
        <v>700</v>
      </c>
    </row>
    <row r="702" spans="1:1" x14ac:dyDescent="0.2">
      <c r="A702">
        <v>701</v>
      </c>
    </row>
    <row r="703" spans="1:1" x14ac:dyDescent="0.2">
      <c r="A703">
        <v>702</v>
      </c>
    </row>
    <row r="704" spans="1:1" x14ac:dyDescent="0.2">
      <c r="A704">
        <v>703</v>
      </c>
    </row>
    <row r="705" spans="1:1" x14ac:dyDescent="0.2">
      <c r="A705">
        <v>704</v>
      </c>
    </row>
    <row r="706" spans="1:1" x14ac:dyDescent="0.2">
      <c r="A706">
        <v>705</v>
      </c>
    </row>
    <row r="707" spans="1:1" x14ac:dyDescent="0.2">
      <c r="A707">
        <v>706</v>
      </c>
    </row>
    <row r="708" spans="1:1" x14ac:dyDescent="0.2">
      <c r="A708">
        <v>707</v>
      </c>
    </row>
    <row r="709" spans="1:1" x14ac:dyDescent="0.2">
      <c r="A709">
        <v>708</v>
      </c>
    </row>
    <row r="710" spans="1:1" x14ac:dyDescent="0.2">
      <c r="A710">
        <v>709</v>
      </c>
    </row>
    <row r="711" spans="1:1" x14ac:dyDescent="0.2">
      <c r="A711">
        <v>710</v>
      </c>
    </row>
    <row r="712" spans="1:1" x14ac:dyDescent="0.2">
      <c r="A712">
        <v>711</v>
      </c>
    </row>
    <row r="713" spans="1:1" x14ac:dyDescent="0.2">
      <c r="A713">
        <v>712</v>
      </c>
    </row>
    <row r="714" spans="1:1" x14ac:dyDescent="0.2">
      <c r="A714">
        <v>713</v>
      </c>
    </row>
    <row r="715" spans="1:1" x14ac:dyDescent="0.2">
      <c r="A715">
        <v>714</v>
      </c>
    </row>
    <row r="716" spans="1:1" x14ac:dyDescent="0.2">
      <c r="A716">
        <v>715</v>
      </c>
    </row>
    <row r="717" spans="1:1" x14ac:dyDescent="0.2">
      <c r="A717">
        <v>716</v>
      </c>
    </row>
    <row r="718" spans="1:1" x14ac:dyDescent="0.2">
      <c r="A718">
        <v>717</v>
      </c>
    </row>
    <row r="719" spans="1:1" x14ac:dyDescent="0.2">
      <c r="A719">
        <v>718</v>
      </c>
    </row>
    <row r="720" spans="1:1" x14ac:dyDescent="0.2">
      <c r="A720">
        <v>719</v>
      </c>
    </row>
    <row r="721" spans="1:1" x14ac:dyDescent="0.2">
      <c r="A721">
        <v>720</v>
      </c>
    </row>
    <row r="722" spans="1:1" x14ac:dyDescent="0.2">
      <c r="A722">
        <v>721</v>
      </c>
    </row>
    <row r="723" spans="1:1" x14ac:dyDescent="0.2">
      <c r="A723">
        <v>722</v>
      </c>
    </row>
    <row r="724" spans="1:1" x14ac:dyDescent="0.2">
      <c r="A724">
        <v>723</v>
      </c>
    </row>
    <row r="725" spans="1:1" x14ac:dyDescent="0.2">
      <c r="A725">
        <v>724</v>
      </c>
    </row>
    <row r="726" spans="1:1" x14ac:dyDescent="0.2">
      <c r="A726">
        <v>725</v>
      </c>
    </row>
    <row r="727" spans="1:1" x14ac:dyDescent="0.2">
      <c r="A727">
        <v>726</v>
      </c>
    </row>
    <row r="728" spans="1:1" x14ac:dyDescent="0.2">
      <c r="A728">
        <v>727</v>
      </c>
    </row>
    <row r="729" spans="1:1" x14ac:dyDescent="0.2">
      <c r="A729">
        <v>728</v>
      </c>
    </row>
    <row r="730" spans="1:1" x14ac:dyDescent="0.2">
      <c r="A730">
        <v>729</v>
      </c>
    </row>
    <row r="731" spans="1:1" x14ac:dyDescent="0.2">
      <c r="A731">
        <v>730</v>
      </c>
    </row>
    <row r="732" spans="1:1" x14ac:dyDescent="0.2">
      <c r="A732">
        <v>731</v>
      </c>
    </row>
    <row r="733" spans="1:1" x14ac:dyDescent="0.2">
      <c r="A733">
        <v>732</v>
      </c>
    </row>
    <row r="734" spans="1:1" x14ac:dyDescent="0.2">
      <c r="A734">
        <v>733</v>
      </c>
    </row>
    <row r="735" spans="1:1" x14ac:dyDescent="0.2">
      <c r="A735">
        <v>734</v>
      </c>
    </row>
    <row r="736" spans="1:1" x14ac:dyDescent="0.2">
      <c r="A736">
        <v>735</v>
      </c>
    </row>
    <row r="737" spans="1:1" x14ac:dyDescent="0.2">
      <c r="A737">
        <v>736</v>
      </c>
    </row>
    <row r="738" spans="1:1" x14ac:dyDescent="0.2">
      <c r="A738">
        <v>737</v>
      </c>
    </row>
    <row r="739" spans="1:1" x14ac:dyDescent="0.2">
      <c r="A739">
        <v>738</v>
      </c>
    </row>
    <row r="740" spans="1:1" x14ac:dyDescent="0.2">
      <c r="A740">
        <v>739</v>
      </c>
    </row>
    <row r="741" spans="1:1" x14ac:dyDescent="0.2">
      <c r="A741">
        <v>740</v>
      </c>
    </row>
    <row r="742" spans="1:1" x14ac:dyDescent="0.2">
      <c r="A742">
        <v>741</v>
      </c>
    </row>
    <row r="743" spans="1:1" x14ac:dyDescent="0.2">
      <c r="A743">
        <v>742</v>
      </c>
    </row>
    <row r="744" spans="1:1" x14ac:dyDescent="0.2">
      <c r="A744">
        <v>743</v>
      </c>
    </row>
    <row r="745" spans="1:1" x14ac:dyDescent="0.2">
      <c r="A745">
        <v>744</v>
      </c>
    </row>
    <row r="746" spans="1:1" x14ac:dyDescent="0.2">
      <c r="A746">
        <v>745</v>
      </c>
    </row>
    <row r="747" spans="1:1" x14ac:dyDescent="0.2">
      <c r="A747">
        <v>746</v>
      </c>
    </row>
    <row r="748" spans="1:1" x14ac:dyDescent="0.2">
      <c r="A748">
        <v>747</v>
      </c>
    </row>
    <row r="749" spans="1:1" x14ac:dyDescent="0.2">
      <c r="A749">
        <v>748</v>
      </c>
    </row>
    <row r="750" spans="1:1" x14ac:dyDescent="0.2">
      <c r="A750">
        <v>749</v>
      </c>
    </row>
    <row r="751" spans="1:1" x14ac:dyDescent="0.2">
      <c r="A751">
        <v>750</v>
      </c>
    </row>
    <row r="752" spans="1:1" x14ac:dyDescent="0.2">
      <c r="A752">
        <v>751</v>
      </c>
    </row>
    <row r="753" spans="1:1" x14ac:dyDescent="0.2">
      <c r="A753">
        <v>752</v>
      </c>
    </row>
    <row r="754" spans="1:1" x14ac:dyDescent="0.2">
      <c r="A754">
        <v>753</v>
      </c>
    </row>
    <row r="755" spans="1:1" x14ac:dyDescent="0.2">
      <c r="A755">
        <v>754</v>
      </c>
    </row>
    <row r="756" spans="1:1" x14ac:dyDescent="0.2">
      <c r="A756">
        <v>755</v>
      </c>
    </row>
    <row r="757" spans="1:1" x14ac:dyDescent="0.2">
      <c r="A757">
        <v>756</v>
      </c>
    </row>
    <row r="758" spans="1:1" x14ac:dyDescent="0.2">
      <c r="A758">
        <v>757</v>
      </c>
    </row>
    <row r="759" spans="1:1" x14ac:dyDescent="0.2">
      <c r="A759">
        <v>758</v>
      </c>
    </row>
    <row r="760" spans="1:1" x14ac:dyDescent="0.2">
      <c r="A760">
        <v>759</v>
      </c>
    </row>
    <row r="761" spans="1:1" x14ac:dyDescent="0.2">
      <c r="A761">
        <v>760</v>
      </c>
    </row>
    <row r="762" spans="1:1" x14ac:dyDescent="0.2">
      <c r="A762">
        <v>761</v>
      </c>
    </row>
    <row r="763" spans="1:1" x14ac:dyDescent="0.2">
      <c r="A763">
        <v>762</v>
      </c>
    </row>
    <row r="764" spans="1:1" x14ac:dyDescent="0.2">
      <c r="A764">
        <v>763</v>
      </c>
    </row>
    <row r="765" spans="1:1" x14ac:dyDescent="0.2">
      <c r="A765">
        <v>764</v>
      </c>
    </row>
    <row r="766" spans="1:1" x14ac:dyDescent="0.2">
      <c r="A766">
        <v>765</v>
      </c>
    </row>
    <row r="767" spans="1:1" x14ac:dyDescent="0.2">
      <c r="A767">
        <v>766</v>
      </c>
    </row>
    <row r="768" spans="1:1" x14ac:dyDescent="0.2">
      <c r="A768">
        <v>767</v>
      </c>
    </row>
    <row r="769" spans="1:1" x14ac:dyDescent="0.2">
      <c r="A769">
        <v>768</v>
      </c>
    </row>
    <row r="770" spans="1:1" x14ac:dyDescent="0.2">
      <c r="A770">
        <v>769</v>
      </c>
    </row>
    <row r="771" spans="1:1" x14ac:dyDescent="0.2">
      <c r="A771">
        <v>770</v>
      </c>
    </row>
    <row r="772" spans="1:1" x14ac:dyDescent="0.2">
      <c r="A772">
        <v>771</v>
      </c>
    </row>
    <row r="773" spans="1:1" x14ac:dyDescent="0.2">
      <c r="A773">
        <v>772</v>
      </c>
    </row>
    <row r="774" spans="1:1" x14ac:dyDescent="0.2">
      <c r="A774">
        <v>773</v>
      </c>
    </row>
    <row r="775" spans="1:1" x14ac:dyDescent="0.2">
      <c r="A775">
        <v>774</v>
      </c>
    </row>
    <row r="776" spans="1:1" x14ac:dyDescent="0.2">
      <c r="A776">
        <v>775</v>
      </c>
    </row>
    <row r="777" spans="1:1" x14ac:dyDescent="0.2">
      <c r="A777">
        <v>776</v>
      </c>
    </row>
    <row r="778" spans="1:1" x14ac:dyDescent="0.2">
      <c r="A778">
        <v>777</v>
      </c>
    </row>
    <row r="779" spans="1:1" x14ac:dyDescent="0.2">
      <c r="A779">
        <v>778</v>
      </c>
    </row>
    <row r="780" spans="1:1" x14ac:dyDescent="0.2">
      <c r="A780">
        <v>779</v>
      </c>
    </row>
    <row r="781" spans="1:1" x14ac:dyDescent="0.2">
      <c r="A781">
        <v>780</v>
      </c>
    </row>
    <row r="782" spans="1:1" x14ac:dyDescent="0.2">
      <c r="A782">
        <v>781</v>
      </c>
    </row>
    <row r="783" spans="1:1" x14ac:dyDescent="0.2">
      <c r="A783">
        <v>782</v>
      </c>
    </row>
    <row r="784" spans="1:1" x14ac:dyDescent="0.2">
      <c r="A784">
        <v>783</v>
      </c>
    </row>
    <row r="785" spans="1:1" x14ac:dyDescent="0.2">
      <c r="A785">
        <v>784</v>
      </c>
    </row>
    <row r="786" spans="1:1" x14ac:dyDescent="0.2">
      <c r="A786">
        <v>785</v>
      </c>
    </row>
    <row r="787" spans="1:1" x14ac:dyDescent="0.2">
      <c r="A787">
        <v>786</v>
      </c>
    </row>
    <row r="788" spans="1:1" x14ac:dyDescent="0.2">
      <c r="A788">
        <v>787</v>
      </c>
    </row>
    <row r="789" spans="1:1" x14ac:dyDescent="0.2">
      <c r="A789">
        <v>788</v>
      </c>
    </row>
    <row r="790" spans="1:1" x14ac:dyDescent="0.2">
      <c r="A790">
        <v>789</v>
      </c>
    </row>
    <row r="791" spans="1:1" x14ac:dyDescent="0.2">
      <c r="A791">
        <v>790</v>
      </c>
    </row>
    <row r="792" spans="1:1" x14ac:dyDescent="0.2">
      <c r="A792">
        <v>791</v>
      </c>
    </row>
    <row r="793" spans="1:1" x14ac:dyDescent="0.2">
      <c r="A793">
        <v>792</v>
      </c>
    </row>
    <row r="794" spans="1:1" x14ac:dyDescent="0.2">
      <c r="A794">
        <v>793</v>
      </c>
    </row>
    <row r="795" spans="1:1" x14ac:dyDescent="0.2">
      <c r="A795">
        <v>794</v>
      </c>
    </row>
    <row r="796" spans="1:1" x14ac:dyDescent="0.2">
      <c r="A796">
        <v>795</v>
      </c>
    </row>
    <row r="797" spans="1:1" x14ac:dyDescent="0.2">
      <c r="A797">
        <v>796</v>
      </c>
    </row>
    <row r="798" spans="1:1" x14ac:dyDescent="0.2">
      <c r="A798">
        <v>797</v>
      </c>
    </row>
    <row r="799" spans="1:1" x14ac:dyDescent="0.2">
      <c r="A799">
        <v>798</v>
      </c>
    </row>
    <row r="800" spans="1:1" x14ac:dyDescent="0.2">
      <c r="A800">
        <v>799</v>
      </c>
    </row>
    <row r="801" spans="1:1" x14ac:dyDescent="0.2">
      <c r="A801">
        <v>800</v>
      </c>
    </row>
    <row r="802" spans="1:1" x14ac:dyDescent="0.2">
      <c r="A802">
        <v>801</v>
      </c>
    </row>
    <row r="803" spans="1:1" x14ac:dyDescent="0.2">
      <c r="A803">
        <v>802</v>
      </c>
    </row>
    <row r="804" spans="1:1" x14ac:dyDescent="0.2">
      <c r="A804">
        <v>803</v>
      </c>
    </row>
    <row r="805" spans="1:1" x14ac:dyDescent="0.2">
      <c r="A805">
        <v>804</v>
      </c>
    </row>
    <row r="806" spans="1:1" x14ac:dyDescent="0.2">
      <c r="A806">
        <v>805</v>
      </c>
    </row>
    <row r="807" spans="1:1" x14ac:dyDescent="0.2">
      <c r="A807">
        <v>806</v>
      </c>
    </row>
    <row r="808" spans="1:1" x14ac:dyDescent="0.2">
      <c r="A808">
        <v>807</v>
      </c>
    </row>
    <row r="809" spans="1:1" x14ac:dyDescent="0.2">
      <c r="A809">
        <v>808</v>
      </c>
    </row>
    <row r="810" spans="1:1" x14ac:dyDescent="0.2">
      <c r="A810">
        <v>809</v>
      </c>
    </row>
    <row r="811" spans="1:1" x14ac:dyDescent="0.2">
      <c r="A811">
        <v>810</v>
      </c>
    </row>
    <row r="812" spans="1:1" x14ac:dyDescent="0.2">
      <c r="A812">
        <v>811</v>
      </c>
    </row>
    <row r="813" spans="1:1" x14ac:dyDescent="0.2">
      <c r="A813">
        <v>812</v>
      </c>
    </row>
    <row r="814" spans="1:1" x14ac:dyDescent="0.2">
      <c r="A814">
        <v>813</v>
      </c>
    </row>
    <row r="815" spans="1:1" x14ac:dyDescent="0.2">
      <c r="A815">
        <v>814</v>
      </c>
    </row>
    <row r="816" spans="1:1" x14ac:dyDescent="0.2">
      <c r="A816">
        <v>815</v>
      </c>
    </row>
    <row r="817" spans="1:1" x14ac:dyDescent="0.2">
      <c r="A817">
        <v>816</v>
      </c>
    </row>
    <row r="818" spans="1:1" x14ac:dyDescent="0.2">
      <c r="A818">
        <v>817</v>
      </c>
    </row>
    <row r="819" spans="1:1" x14ac:dyDescent="0.2">
      <c r="A819">
        <v>818</v>
      </c>
    </row>
    <row r="820" spans="1:1" x14ac:dyDescent="0.2">
      <c r="A820">
        <v>819</v>
      </c>
    </row>
    <row r="821" spans="1:1" x14ac:dyDescent="0.2">
      <c r="A821">
        <v>820</v>
      </c>
    </row>
    <row r="822" spans="1:1" x14ac:dyDescent="0.2">
      <c r="A822">
        <v>821</v>
      </c>
    </row>
    <row r="823" spans="1:1" x14ac:dyDescent="0.2">
      <c r="A823">
        <v>822</v>
      </c>
    </row>
    <row r="824" spans="1:1" x14ac:dyDescent="0.2">
      <c r="A824">
        <v>823</v>
      </c>
    </row>
    <row r="825" spans="1:1" x14ac:dyDescent="0.2">
      <c r="A825">
        <v>824</v>
      </c>
    </row>
    <row r="826" spans="1:1" x14ac:dyDescent="0.2">
      <c r="A826">
        <v>825</v>
      </c>
    </row>
    <row r="827" spans="1:1" x14ac:dyDescent="0.2">
      <c r="A827">
        <v>826</v>
      </c>
    </row>
    <row r="828" spans="1:1" x14ac:dyDescent="0.2">
      <c r="A828">
        <v>827</v>
      </c>
    </row>
    <row r="829" spans="1:1" x14ac:dyDescent="0.2">
      <c r="A829">
        <v>828</v>
      </c>
    </row>
    <row r="830" spans="1:1" x14ac:dyDescent="0.2">
      <c r="A830">
        <v>829</v>
      </c>
    </row>
    <row r="831" spans="1:1" x14ac:dyDescent="0.2">
      <c r="A831">
        <v>830</v>
      </c>
    </row>
    <row r="832" spans="1:1" x14ac:dyDescent="0.2">
      <c r="A832">
        <v>831</v>
      </c>
    </row>
    <row r="833" spans="1:1" x14ac:dyDescent="0.2">
      <c r="A833">
        <v>832</v>
      </c>
    </row>
    <row r="834" spans="1:1" x14ac:dyDescent="0.2">
      <c r="A834">
        <v>833</v>
      </c>
    </row>
    <row r="835" spans="1:1" x14ac:dyDescent="0.2">
      <c r="A835">
        <v>834</v>
      </c>
    </row>
    <row r="836" spans="1:1" x14ac:dyDescent="0.2">
      <c r="A836">
        <v>835</v>
      </c>
    </row>
    <row r="837" spans="1:1" x14ac:dyDescent="0.2">
      <c r="A837">
        <v>836</v>
      </c>
    </row>
    <row r="838" spans="1:1" x14ac:dyDescent="0.2">
      <c r="A838">
        <v>837</v>
      </c>
    </row>
    <row r="839" spans="1:1" x14ac:dyDescent="0.2">
      <c r="A839">
        <v>838</v>
      </c>
    </row>
    <row r="840" spans="1:1" x14ac:dyDescent="0.2">
      <c r="A840">
        <v>839</v>
      </c>
    </row>
    <row r="841" spans="1:1" x14ac:dyDescent="0.2">
      <c r="A841">
        <v>840</v>
      </c>
    </row>
    <row r="842" spans="1:1" x14ac:dyDescent="0.2">
      <c r="A842">
        <v>841</v>
      </c>
    </row>
    <row r="843" spans="1:1" x14ac:dyDescent="0.2">
      <c r="A843">
        <v>842</v>
      </c>
    </row>
    <row r="844" spans="1:1" x14ac:dyDescent="0.2">
      <c r="A844">
        <v>843</v>
      </c>
    </row>
    <row r="845" spans="1:1" x14ac:dyDescent="0.2">
      <c r="A845">
        <v>844</v>
      </c>
    </row>
    <row r="846" spans="1:1" x14ac:dyDescent="0.2">
      <c r="A846">
        <v>845</v>
      </c>
    </row>
    <row r="847" spans="1:1" x14ac:dyDescent="0.2">
      <c r="A847">
        <v>846</v>
      </c>
    </row>
    <row r="848" spans="1:1" x14ac:dyDescent="0.2">
      <c r="A848">
        <v>847</v>
      </c>
    </row>
    <row r="849" spans="1:1" x14ac:dyDescent="0.2">
      <c r="A849">
        <v>848</v>
      </c>
    </row>
    <row r="850" spans="1:1" x14ac:dyDescent="0.2">
      <c r="A850">
        <v>849</v>
      </c>
    </row>
    <row r="851" spans="1:1" x14ac:dyDescent="0.2">
      <c r="A851">
        <v>850</v>
      </c>
    </row>
    <row r="852" spans="1:1" x14ac:dyDescent="0.2">
      <c r="A852">
        <v>851</v>
      </c>
    </row>
    <row r="853" spans="1:1" x14ac:dyDescent="0.2">
      <c r="A853">
        <v>852</v>
      </c>
    </row>
    <row r="854" spans="1:1" x14ac:dyDescent="0.2">
      <c r="A854">
        <v>853</v>
      </c>
    </row>
    <row r="855" spans="1:1" x14ac:dyDescent="0.2">
      <c r="A855">
        <v>854</v>
      </c>
    </row>
    <row r="856" spans="1:1" x14ac:dyDescent="0.2">
      <c r="A856">
        <v>855</v>
      </c>
    </row>
    <row r="857" spans="1:1" x14ac:dyDescent="0.2">
      <c r="A857">
        <v>856</v>
      </c>
    </row>
    <row r="858" spans="1:1" x14ac:dyDescent="0.2">
      <c r="A858">
        <v>857</v>
      </c>
    </row>
    <row r="859" spans="1:1" x14ac:dyDescent="0.2">
      <c r="A859">
        <v>858</v>
      </c>
    </row>
    <row r="860" spans="1:1" x14ac:dyDescent="0.2">
      <c r="A860">
        <v>859</v>
      </c>
    </row>
    <row r="861" spans="1:1" x14ac:dyDescent="0.2">
      <c r="A861">
        <v>860</v>
      </c>
    </row>
    <row r="862" spans="1:1" x14ac:dyDescent="0.2">
      <c r="A862">
        <v>861</v>
      </c>
    </row>
    <row r="863" spans="1:1" x14ac:dyDescent="0.2">
      <c r="A863">
        <v>862</v>
      </c>
    </row>
    <row r="864" spans="1:1" x14ac:dyDescent="0.2">
      <c r="A864">
        <v>863</v>
      </c>
    </row>
    <row r="865" spans="1:1" x14ac:dyDescent="0.2">
      <c r="A865">
        <v>864</v>
      </c>
    </row>
    <row r="866" spans="1:1" x14ac:dyDescent="0.2">
      <c r="A866">
        <v>865</v>
      </c>
    </row>
    <row r="867" spans="1:1" x14ac:dyDescent="0.2">
      <c r="A867">
        <v>866</v>
      </c>
    </row>
    <row r="868" spans="1:1" x14ac:dyDescent="0.2">
      <c r="A868">
        <v>867</v>
      </c>
    </row>
    <row r="869" spans="1:1" x14ac:dyDescent="0.2">
      <c r="A869">
        <v>868</v>
      </c>
    </row>
    <row r="870" spans="1:1" x14ac:dyDescent="0.2">
      <c r="A870">
        <v>869</v>
      </c>
    </row>
    <row r="871" spans="1:1" x14ac:dyDescent="0.2">
      <c r="A871">
        <v>870</v>
      </c>
    </row>
    <row r="872" spans="1:1" x14ac:dyDescent="0.2">
      <c r="A872">
        <v>871</v>
      </c>
    </row>
    <row r="873" spans="1:1" x14ac:dyDescent="0.2">
      <c r="A873">
        <v>872</v>
      </c>
    </row>
    <row r="874" spans="1:1" x14ac:dyDescent="0.2">
      <c r="A874">
        <v>873</v>
      </c>
    </row>
    <row r="875" spans="1:1" x14ac:dyDescent="0.2">
      <c r="A875">
        <v>874</v>
      </c>
    </row>
    <row r="876" spans="1:1" x14ac:dyDescent="0.2">
      <c r="A876">
        <v>875</v>
      </c>
    </row>
    <row r="877" spans="1:1" x14ac:dyDescent="0.2">
      <c r="A877">
        <v>876</v>
      </c>
    </row>
    <row r="878" spans="1:1" x14ac:dyDescent="0.2">
      <c r="A878">
        <v>877</v>
      </c>
    </row>
    <row r="879" spans="1:1" x14ac:dyDescent="0.2">
      <c r="A879">
        <v>878</v>
      </c>
    </row>
    <row r="880" spans="1:1" x14ac:dyDescent="0.2">
      <c r="A880">
        <v>879</v>
      </c>
    </row>
    <row r="881" spans="1:1" x14ac:dyDescent="0.2">
      <c r="A881">
        <v>880</v>
      </c>
    </row>
    <row r="882" spans="1:1" x14ac:dyDescent="0.2">
      <c r="A882">
        <v>881</v>
      </c>
    </row>
    <row r="883" spans="1:1" x14ac:dyDescent="0.2">
      <c r="A883">
        <v>882</v>
      </c>
    </row>
    <row r="884" spans="1:1" x14ac:dyDescent="0.2">
      <c r="A884">
        <v>883</v>
      </c>
    </row>
    <row r="885" spans="1:1" x14ac:dyDescent="0.2">
      <c r="A885">
        <v>884</v>
      </c>
    </row>
    <row r="886" spans="1:1" x14ac:dyDescent="0.2">
      <c r="A886">
        <v>885</v>
      </c>
    </row>
    <row r="887" spans="1:1" x14ac:dyDescent="0.2">
      <c r="A887">
        <v>886</v>
      </c>
    </row>
    <row r="888" spans="1:1" x14ac:dyDescent="0.2">
      <c r="A888">
        <v>887</v>
      </c>
    </row>
    <row r="889" spans="1:1" x14ac:dyDescent="0.2">
      <c r="A889">
        <v>888</v>
      </c>
    </row>
    <row r="890" spans="1:1" x14ac:dyDescent="0.2">
      <c r="A890">
        <v>889</v>
      </c>
    </row>
    <row r="891" spans="1:1" x14ac:dyDescent="0.2">
      <c r="A891">
        <v>890</v>
      </c>
    </row>
    <row r="892" spans="1:1" x14ac:dyDescent="0.2">
      <c r="A892">
        <v>891</v>
      </c>
    </row>
    <row r="893" spans="1:1" x14ac:dyDescent="0.2">
      <c r="A893">
        <v>892</v>
      </c>
    </row>
    <row r="894" spans="1:1" x14ac:dyDescent="0.2">
      <c r="A894">
        <v>893</v>
      </c>
    </row>
    <row r="895" spans="1:1" x14ac:dyDescent="0.2">
      <c r="A895">
        <v>894</v>
      </c>
    </row>
    <row r="896" spans="1:1" x14ac:dyDescent="0.2">
      <c r="A896">
        <v>895</v>
      </c>
    </row>
    <row r="897" spans="1:1" x14ac:dyDescent="0.2">
      <c r="A897">
        <v>896</v>
      </c>
    </row>
    <row r="898" spans="1:1" x14ac:dyDescent="0.2">
      <c r="A898">
        <v>897</v>
      </c>
    </row>
    <row r="899" spans="1:1" x14ac:dyDescent="0.2">
      <c r="A899">
        <v>898</v>
      </c>
    </row>
    <row r="900" spans="1:1" x14ac:dyDescent="0.2">
      <c r="A900">
        <v>899</v>
      </c>
    </row>
    <row r="901" spans="1:1" x14ac:dyDescent="0.2">
      <c r="A901">
        <v>900</v>
      </c>
    </row>
    <row r="902" spans="1:1" x14ac:dyDescent="0.2">
      <c r="A902">
        <v>901</v>
      </c>
    </row>
    <row r="903" spans="1:1" x14ac:dyDescent="0.2">
      <c r="A903">
        <v>902</v>
      </c>
    </row>
    <row r="904" spans="1:1" x14ac:dyDescent="0.2">
      <c r="A904">
        <v>903</v>
      </c>
    </row>
    <row r="905" spans="1:1" x14ac:dyDescent="0.2">
      <c r="A905">
        <v>904</v>
      </c>
    </row>
    <row r="906" spans="1:1" x14ac:dyDescent="0.2">
      <c r="A906">
        <v>905</v>
      </c>
    </row>
    <row r="907" spans="1:1" x14ac:dyDescent="0.2">
      <c r="A907">
        <v>906</v>
      </c>
    </row>
    <row r="908" spans="1:1" x14ac:dyDescent="0.2">
      <c r="A908">
        <v>907</v>
      </c>
    </row>
    <row r="909" spans="1:1" x14ac:dyDescent="0.2">
      <c r="A909">
        <v>908</v>
      </c>
    </row>
    <row r="910" spans="1:1" x14ac:dyDescent="0.2">
      <c r="A910">
        <v>909</v>
      </c>
    </row>
    <row r="911" spans="1:1" x14ac:dyDescent="0.2">
      <c r="A911">
        <v>910</v>
      </c>
    </row>
    <row r="912" spans="1:1" x14ac:dyDescent="0.2">
      <c r="A912">
        <v>911</v>
      </c>
    </row>
    <row r="913" spans="1:1" x14ac:dyDescent="0.2">
      <c r="A913">
        <v>912</v>
      </c>
    </row>
    <row r="914" spans="1:1" x14ac:dyDescent="0.2">
      <c r="A914">
        <v>913</v>
      </c>
    </row>
    <row r="915" spans="1:1" x14ac:dyDescent="0.2">
      <c r="A915">
        <v>914</v>
      </c>
    </row>
    <row r="916" spans="1:1" x14ac:dyDescent="0.2">
      <c r="A916">
        <v>915</v>
      </c>
    </row>
    <row r="917" spans="1:1" x14ac:dyDescent="0.2">
      <c r="A917">
        <v>916</v>
      </c>
    </row>
    <row r="918" spans="1:1" x14ac:dyDescent="0.2">
      <c r="A918">
        <v>917</v>
      </c>
    </row>
    <row r="919" spans="1:1" x14ac:dyDescent="0.2">
      <c r="A919">
        <v>918</v>
      </c>
    </row>
    <row r="920" spans="1:1" x14ac:dyDescent="0.2">
      <c r="A920">
        <v>919</v>
      </c>
    </row>
    <row r="921" spans="1:1" x14ac:dyDescent="0.2">
      <c r="A921">
        <v>920</v>
      </c>
    </row>
    <row r="922" spans="1:1" x14ac:dyDescent="0.2">
      <c r="A922">
        <v>921</v>
      </c>
    </row>
    <row r="923" spans="1:1" x14ac:dyDescent="0.2">
      <c r="A923">
        <v>922</v>
      </c>
    </row>
    <row r="924" spans="1:1" x14ac:dyDescent="0.2">
      <c r="A924">
        <v>923</v>
      </c>
    </row>
    <row r="925" spans="1:1" x14ac:dyDescent="0.2">
      <c r="A925">
        <v>924</v>
      </c>
    </row>
    <row r="926" spans="1:1" x14ac:dyDescent="0.2">
      <c r="A926">
        <v>925</v>
      </c>
    </row>
    <row r="927" spans="1:1" x14ac:dyDescent="0.2">
      <c r="A927">
        <v>926</v>
      </c>
    </row>
    <row r="928" spans="1:1" x14ac:dyDescent="0.2">
      <c r="A928">
        <v>927</v>
      </c>
    </row>
    <row r="929" spans="1:1" x14ac:dyDescent="0.2">
      <c r="A929">
        <v>928</v>
      </c>
    </row>
    <row r="930" spans="1:1" x14ac:dyDescent="0.2">
      <c r="A930">
        <v>929</v>
      </c>
    </row>
    <row r="931" spans="1:1" x14ac:dyDescent="0.2">
      <c r="A931">
        <v>930</v>
      </c>
    </row>
    <row r="932" spans="1:1" x14ac:dyDescent="0.2">
      <c r="A932">
        <v>931</v>
      </c>
    </row>
    <row r="933" spans="1:1" x14ac:dyDescent="0.2">
      <c r="A933">
        <v>932</v>
      </c>
    </row>
    <row r="934" spans="1:1" x14ac:dyDescent="0.2">
      <c r="A934">
        <v>933</v>
      </c>
    </row>
    <row r="935" spans="1:1" x14ac:dyDescent="0.2">
      <c r="A935">
        <v>934</v>
      </c>
    </row>
    <row r="936" spans="1:1" x14ac:dyDescent="0.2">
      <c r="A936">
        <v>935</v>
      </c>
    </row>
    <row r="937" spans="1:1" x14ac:dyDescent="0.2">
      <c r="A937">
        <v>936</v>
      </c>
    </row>
    <row r="938" spans="1:1" x14ac:dyDescent="0.2">
      <c r="A938">
        <v>937</v>
      </c>
    </row>
    <row r="939" spans="1:1" x14ac:dyDescent="0.2">
      <c r="A939">
        <v>938</v>
      </c>
    </row>
    <row r="940" spans="1:1" x14ac:dyDescent="0.2">
      <c r="A940">
        <v>939</v>
      </c>
    </row>
    <row r="941" spans="1:1" x14ac:dyDescent="0.2">
      <c r="A941">
        <v>940</v>
      </c>
    </row>
    <row r="942" spans="1:1" x14ac:dyDescent="0.2">
      <c r="A942">
        <v>941</v>
      </c>
    </row>
    <row r="943" spans="1:1" x14ac:dyDescent="0.2">
      <c r="A943">
        <v>942</v>
      </c>
    </row>
    <row r="944" spans="1:1" x14ac:dyDescent="0.2">
      <c r="A944">
        <v>943</v>
      </c>
    </row>
    <row r="945" spans="1:1" x14ac:dyDescent="0.2">
      <c r="A945">
        <v>944</v>
      </c>
    </row>
    <row r="946" spans="1:1" x14ac:dyDescent="0.2">
      <c r="A946">
        <v>945</v>
      </c>
    </row>
    <row r="947" spans="1:1" x14ac:dyDescent="0.2">
      <c r="A947">
        <v>946</v>
      </c>
    </row>
    <row r="948" spans="1:1" x14ac:dyDescent="0.2">
      <c r="A948">
        <v>947</v>
      </c>
    </row>
    <row r="949" spans="1:1" x14ac:dyDescent="0.2">
      <c r="A949">
        <v>948</v>
      </c>
    </row>
    <row r="950" spans="1:1" x14ac:dyDescent="0.2">
      <c r="A950">
        <v>949</v>
      </c>
    </row>
    <row r="951" spans="1:1" x14ac:dyDescent="0.2">
      <c r="A951">
        <v>950</v>
      </c>
    </row>
    <row r="952" spans="1:1" x14ac:dyDescent="0.2">
      <c r="A952">
        <v>951</v>
      </c>
    </row>
    <row r="953" spans="1:1" x14ac:dyDescent="0.2">
      <c r="A953">
        <v>952</v>
      </c>
    </row>
    <row r="954" spans="1:1" x14ac:dyDescent="0.2">
      <c r="A954">
        <v>953</v>
      </c>
    </row>
    <row r="955" spans="1:1" x14ac:dyDescent="0.2">
      <c r="A955">
        <v>954</v>
      </c>
    </row>
    <row r="956" spans="1:1" x14ac:dyDescent="0.2">
      <c r="A956">
        <v>955</v>
      </c>
    </row>
    <row r="957" spans="1:1" x14ac:dyDescent="0.2">
      <c r="A957">
        <v>956</v>
      </c>
    </row>
    <row r="958" spans="1:1" x14ac:dyDescent="0.2">
      <c r="A958">
        <v>957</v>
      </c>
    </row>
    <row r="959" spans="1:1" x14ac:dyDescent="0.2">
      <c r="A959">
        <v>958</v>
      </c>
    </row>
    <row r="960" spans="1:1" x14ac:dyDescent="0.2">
      <c r="A960">
        <v>959</v>
      </c>
    </row>
    <row r="961" spans="1:1" x14ac:dyDescent="0.2">
      <c r="A961">
        <v>960</v>
      </c>
    </row>
    <row r="962" spans="1:1" x14ac:dyDescent="0.2">
      <c r="A962">
        <v>961</v>
      </c>
    </row>
    <row r="963" spans="1:1" x14ac:dyDescent="0.2">
      <c r="A963">
        <v>962</v>
      </c>
    </row>
    <row r="964" spans="1:1" x14ac:dyDescent="0.2">
      <c r="A964">
        <v>963</v>
      </c>
    </row>
    <row r="965" spans="1:1" x14ac:dyDescent="0.2">
      <c r="A965">
        <v>964</v>
      </c>
    </row>
    <row r="966" spans="1:1" x14ac:dyDescent="0.2">
      <c r="A966">
        <v>965</v>
      </c>
    </row>
    <row r="967" spans="1:1" x14ac:dyDescent="0.2">
      <c r="A967">
        <v>966</v>
      </c>
    </row>
    <row r="968" spans="1:1" x14ac:dyDescent="0.2">
      <c r="A968">
        <v>967</v>
      </c>
    </row>
    <row r="969" spans="1:1" x14ac:dyDescent="0.2">
      <c r="A969">
        <v>968</v>
      </c>
    </row>
    <row r="970" spans="1:1" x14ac:dyDescent="0.2">
      <c r="A970">
        <v>969</v>
      </c>
    </row>
    <row r="971" spans="1:1" x14ac:dyDescent="0.2">
      <c r="A971">
        <v>970</v>
      </c>
    </row>
    <row r="972" spans="1:1" x14ac:dyDescent="0.2">
      <c r="A972">
        <v>971</v>
      </c>
    </row>
    <row r="973" spans="1:1" x14ac:dyDescent="0.2">
      <c r="A973">
        <v>972</v>
      </c>
    </row>
    <row r="974" spans="1:1" x14ac:dyDescent="0.2">
      <c r="A974">
        <v>973</v>
      </c>
    </row>
    <row r="975" spans="1:1" x14ac:dyDescent="0.2">
      <c r="A975">
        <v>974</v>
      </c>
    </row>
    <row r="976" spans="1:1" x14ac:dyDescent="0.2">
      <c r="A976">
        <v>975</v>
      </c>
    </row>
    <row r="977" spans="1:1" x14ac:dyDescent="0.2">
      <c r="A977">
        <v>976</v>
      </c>
    </row>
    <row r="978" spans="1:1" x14ac:dyDescent="0.2">
      <c r="A978">
        <v>977</v>
      </c>
    </row>
    <row r="979" spans="1:1" x14ac:dyDescent="0.2">
      <c r="A979">
        <v>978</v>
      </c>
    </row>
    <row r="980" spans="1:1" x14ac:dyDescent="0.2">
      <c r="A980">
        <v>979</v>
      </c>
    </row>
    <row r="981" spans="1:1" x14ac:dyDescent="0.2">
      <c r="A981">
        <v>980</v>
      </c>
    </row>
    <row r="982" spans="1:1" x14ac:dyDescent="0.2">
      <c r="A982">
        <v>981</v>
      </c>
    </row>
    <row r="983" spans="1:1" x14ac:dyDescent="0.2">
      <c r="A983">
        <v>982</v>
      </c>
    </row>
    <row r="984" spans="1:1" x14ac:dyDescent="0.2">
      <c r="A984">
        <v>983</v>
      </c>
    </row>
    <row r="985" spans="1:1" x14ac:dyDescent="0.2">
      <c r="A985">
        <v>984</v>
      </c>
    </row>
    <row r="986" spans="1:1" x14ac:dyDescent="0.2">
      <c r="A986">
        <v>985</v>
      </c>
    </row>
    <row r="987" spans="1:1" x14ac:dyDescent="0.2">
      <c r="A987">
        <v>986</v>
      </c>
    </row>
    <row r="988" spans="1:1" x14ac:dyDescent="0.2">
      <c r="A988">
        <v>987</v>
      </c>
    </row>
    <row r="989" spans="1:1" x14ac:dyDescent="0.2">
      <c r="A989">
        <v>988</v>
      </c>
    </row>
    <row r="990" spans="1:1" x14ac:dyDescent="0.2">
      <c r="A990">
        <v>989</v>
      </c>
    </row>
    <row r="991" spans="1:1" x14ac:dyDescent="0.2">
      <c r="A991">
        <v>990</v>
      </c>
    </row>
    <row r="992" spans="1:1" x14ac:dyDescent="0.2">
      <c r="A992">
        <v>991</v>
      </c>
    </row>
    <row r="993" spans="1:1" x14ac:dyDescent="0.2">
      <c r="A993">
        <v>992</v>
      </c>
    </row>
    <row r="994" spans="1:1" x14ac:dyDescent="0.2">
      <c r="A994">
        <v>993</v>
      </c>
    </row>
    <row r="995" spans="1:1" x14ac:dyDescent="0.2">
      <c r="A995">
        <v>994</v>
      </c>
    </row>
    <row r="996" spans="1:1" x14ac:dyDescent="0.2">
      <c r="A996">
        <v>995</v>
      </c>
    </row>
    <row r="997" spans="1:1" x14ac:dyDescent="0.2">
      <c r="A997">
        <v>996</v>
      </c>
    </row>
    <row r="998" spans="1:1" x14ac:dyDescent="0.2">
      <c r="A998">
        <v>997</v>
      </c>
    </row>
    <row r="999" spans="1:1" x14ac:dyDescent="0.2">
      <c r="A999">
        <v>998</v>
      </c>
    </row>
    <row r="1000" spans="1:1" x14ac:dyDescent="0.2">
      <c r="A1000">
        <v>999</v>
      </c>
    </row>
    <row r="1001" spans="1:1" x14ac:dyDescent="0.2">
      <c r="A1001">
        <v>1000</v>
      </c>
    </row>
  </sheetData>
  <sheetProtection password="CA83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N401"/>
  <sheetViews>
    <sheetView zoomScale="70" zoomScaleNormal="70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25" x14ac:dyDescent="0.2"/>
  <cols>
    <col min="1" max="1" width="13.875" customWidth="1"/>
    <col min="2" max="2" width="15.875" customWidth="1"/>
    <col min="3" max="16384" width="9" style="6"/>
  </cols>
  <sheetData>
    <row r="1" spans="1:1002" s="2" customFormat="1" ht="40.5" customHeight="1" x14ac:dyDescent="0.25">
      <c r="A1" s="5" t="s">
        <v>50</v>
      </c>
      <c r="B1" s="2" t="s">
        <v>24</v>
      </c>
      <c r="C1" s="2" t="str">
        <f>IFERROR(IF(C$3 = 1, Touchpoints!$C$2,IF(VLOOKUP(C$3,Touchpoints!$A:$C,3,FALSE)=VLOOKUP(B$3,Touchpoints!$A:$C,3,FALSE),"",IF(VLOOKUP(C$3,Touchpoints!$A:$C,3,FALSE)=0,"",VLOOKUP(C$3,Touchpoints!$A:$C,3,FALSE)))),"")</f>
        <v>Research</v>
      </c>
      <c r="D1" s="2" t="str">
        <f>IFERROR(IF(D$3 = 1, Touchpoints!$C$2,IF(VLOOKUP(D$3,Touchpoints!$A:$C,3,FALSE)=VLOOKUP(C$3,Touchpoints!$A:$C,3,FALSE),"",IF(VLOOKUP(D$3,Touchpoints!$A:$C,3,FALSE)=0,"",VLOOKUP(D$3,Touchpoints!$A:$C,3,FALSE)))),"")</f>
        <v/>
      </c>
      <c r="E1" s="2" t="str">
        <f>IFERROR(IF(E$3 = 1, Touchpoints!$C$2,IF(VLOOKUP(E$3,Touchpoints!$A:$C,3,FALSE)=VLOOKUP(D$3,Touchpoints!$A:$C,3,FALSE),"",IF(VLOOKUP(E$3,Touchpoints!$A:$C,3,FALSE)=0,"",VLOOKUP(E$3,Touchpoints!$A:$C,3,FALSE)))),"")</f>
        <v/>
      </c>
      <c r="F1" s="2" t="str">
        <f>IFERROR(IF(F$3 = 1, Touchpoints!$C$2,IF(VLOOKUP(F$3,Touchpoints!$A:$C,3,FALSE)=VLOOKUP(E$3,Touchpoints!$A:$C,3,FALSE),"",IF(VLOOKUP(F$3,Touchpoints!$A:$C,3,FALSE)=0,"",VLOOKUP(F$3,Touchpoints!$A:$C,3,FALSE)))),"")</f>
        <v/>
      </c>
      <c r="G1" s="2" t="str">
        <f>IFERROR(IF(G$3 = 1, Touchpoints!$C$2,IF(VLOOKUP(G$3,Touchpoints!$A:$C,3,FALSE)=VLOOKUP(F$3,Touchpoints!$A:$C,3,FALSE),"",IF(VLOOKUP(G$3,Touchpoints!$A:$C,3,FALSE)=0,"",VLOOKUP(G$3,Touchpoints!$A:$C,3,FALSE)))),"")</f>
        <v/>
      </c>
      <c r="H1" s="2" t="str">
        <f>IFERROR(IF(H$3 = 1, Touchpoints!$C$2,IF(VLOOKUP(H$3,Touchpoints!$A:$C,3,FALSE)=VLOOKUP(G$3,Touchpoints!$A:$C,3,FALSE),"",IF(VLOOKUP(H$3,Touchpoints!$A:$C,3,FALSE)=0,"",VLOOKUP(H$3,Touchpoints!$A:$C,3,FALSE)))),"")</f>
        <v/>
      </c>
      <c r="I1" s="2" t="str">
        <f>IFERROR(IF(I$3 = 1, Touchpoints!$C$2,IF(VLOOKUP(I$3,Touchpoints!$A:$C,3,FALSE)=VLOOKUP(H$3,Touchpoints!$A:$C,3,FALSE),"",IF(VLOOKUP(I$3,Touchpoints!$A:$C,3,FALSE)=0,"",VLOOKUP(I$3,Touchpoints!$A:$C,3,FALSE)))),"")</f>
        <v/>
      </c>
      <c r="J1" s="2" t="str">
        <f>IFERROR(IF(J$3 = 1, Touchpoints!$C$2,IF(VLOOKUP(J$3,Touchpoints!$A:$C,3,FALSE)=VLOOKUP(I$3,Touchpoints!$A:$C,3,FALSE),"",IF(VLOOKUP(J$3,Touchpoints!$A:$C,3,FALSE)=0,"",VLOOKUP(J$3,Touchpoints!$A:$C,3,FALSE)))),"")</f>
        <v/>
      </c>
      <c r="K1" s="2" t="str">
        <f>IFERROR(IF(K$3 = 1, Touchpoints!$C$2,IF(VLOOKUP(K$3,Touchpoints!$A:$C,3,FALSE)=VLOOKUP(J$3,Touchpoints!$A:$C,3,FALSE),"",IF(VLOOKUP(K$3,Touchpoints!$A:$C,3,FALSE)=0,"",VLOOKUP(K$3,Touchpoints!$A:$C,3,FALSE)))),"")</f>
        <v/>
      </c>
      <c r="L1" s="2" t="str">
        <f>IFERROR(IF(L$3 = 1, Touchpoints!$C$2,IF(VLOOKUP(L$3,Touchpoints!$A:$C,3,FALSE)=VLOOKUP(K$3,Touchpoints!$A:$C,3,FALSE),"",IF(VLOOKUP(L$3,Touchpoints!$A:$C,3,FALSE)=0,"",VLOOKUP(L$3,Touchpoints!$A:$C,3,FALSE)))),"")</f>
        <v/>
      </c>
      <c r="M1" s="2" t="str">
        <f>IFERROR(IF(M$3 = 1, Touchpoints!$C$2,IF(VLOOKUP(M$3,Touchpoints!$A:$C,3,FALSE)=VLOOKUP(L$3,Touchpoints!$A:$C,3,FALSE),"",IF(VLOOKUP(M$3,Touchpoints!$A:$C,3,FALSE)=0,"",VLOOKUP(M$3,Touchpoints!$A:$C,3,FALSE)))),"")</f>
        <v>Apply</v>
      </c>
      <c r="N1" s="2" t="str">
        <f>IFERROR(IF(N$3 = 1, Touchpoints!$C$2,IF(VLOOKUP(N$3,Touchpoints!$A:$C,3,FALSE)=VLOOKUP(M$3,Touchpoints!$A:$C,3,FALSE),"",IF(VLOOKUP(N$3,Touchpoints!$A:$C,3,FALSE)=0,"",VLOOKUP(N$3,Touchpoints!$A:$C,3,FALSE)))),"")</f>
        <v/>
      </c>
      <c r="O1" s="2" t="str">
        <f>IFERROR(IF(O$3 = 1, Touchpoints!$C$2,IF(VLOOKUP(O$3,Touchpoints!$A:$C,3,FALSE)=VLOOKUP(N$3,Touchpoints!$A:$C,3,FALSE),"",IF(VLOOKUP(O$3,Touchpoints!$A:$C,3,FALSE)=0,"",VLOOKUP(O$3,Touchpoints!$A:$C,3,FALSE)))),"")</f>
        <v/>
      </c>
      <c r="P1" s="2" t="str">
        <f>IFERROR(IF(P$3 = 1, Touchpoints!$C$2,IF(VLOOKUP(P$3,Touchpoints!$A:$C,3,FALSE)=VLOOKUP(O$3,Touchpoints!$A:$C,3,FALSE),"",IF(VLOOKUP(P$3,Touchpoints!$A:$C,3,FALSE)=0,"",VLOOKUP(P$3,Touchpoints!$A:$C,3,FALSE)))),"")</f>
        <v/>
      </c>
      <c r="Q1" s="2" t="str">
        <f>IFERROR(IF(Q$3 = 1, Touchpoints!$C$2,IF(VLOOKUP(Q$3,Touchpoints!$A:$C,3,FALSE)=VLOOKUP(P$3,Touchpoints!$A:$C,3,FALSE),"",IF(VLOOKUP(Q$3,Touchpoints!$A:$C,3,FALSE)=0,"",VLOOKUP(Q$3,Touchpoints!$A:$C,3,FALSE)))),"")</f>
        <v/>
      </c>
      <c r="R1" s="2" t="str">
        <f>IFERROR(IF(R$3 = 1, Touchpoints!$C$2,IF(VLOOKUP(R$3,Touchpoints!$A:$C,3,FALSE)=VLOOKUP(Q$3,Touchpoints!$A:$C,3,FALSE),"",IF(VLOOKUP(R$3,Touchpoints!$A:$C,3,FALSE)=0,"",VLOOKUP(R$3,Touchpoints!$A:$C,3,FALSE)))),"")</f>
        <v/>
      </c>
      <c r="S1" s="2" t="str">
        <f>IFERROR(IF(S$3 = 1, Touchpoints!$C$2,IF(VLOOKUP(S$3,Touchpoints!$A:$C,3,FALSE)=VLOOKUP(R$3,Touchpoints!$A:$C,3,FALSE),"",IF(VLOOKUP(S$3,Touchpoints!$A:$C,3,FALSE)=0,"",VLOOKUP(S$3,Touchpoints!$A:$C,3,FALSE)))),"")</f>
        <v/>
      </c>
      <c r="T1" s="2" t="str">
        <f>IFERROR(IF(T$3 = 1, Touchpoints!$C$2,IF(VLOOKUP(T$3,Touchpoints!$A:$C,3,FALSE)=VLOOKUP(S$3,Touchpoints!$A:$C,3,FALSE),"",IF(VLOOKUP(T$3,Touchpoints!$A:$C,3,FALSE)=0,"",VLOOKUP(T$3,Touchpoints!$A:$C,3,FALSE)))),"")</f>
        <v/>
      </c>
      <c r="U1" s="2" t="str">
        <f>IFERROR(IF(U$3 = 1, Touchpoints!$C$2,IF(VLOOKUP(U$3,Touchpoints!$A:$C,3,FALSE)=VLOOKUP(T$3,Touchpoints!$A:$C,3,FALSE),"",IF(VLOOKUP(U$3,Touchpoints!$A:$C,3,FALSE)=0,"",VLOOKUP(U$3,Touchpoints!$A:$C,3,FALSE)))),"")</f>
        <v/>
      </c>
      <c r="V1" s="2" t="str">
        <f>IFERROR(IF(V$3 = 1, Touchpoints!$C$2,IF(VLOOKUP(V$3,Touchpoints!$A:$C,3,FALSE)=VLOOKUP(U$3,Touchpoints!$A:$C,3,FALSE),"",IF(VLOOKUP(V$3,Touchpoints!$A:$C,3,FALSE)=0,"",VLOOKUP(V$3,Touchpoints!$A:$C,3,FALSE)))),"")</f>
        <v/>
      </c>
      <c r="W1" s="2" t="str">
        <f>IFERROR(IF(W$3 = 1, Touchpoints!$C$2,IF(VLOOKUP(W$3,Touchpoints!$A:$C,3,FALSE)=VLOOKUP(V$3,Touchpoints!$A:$C,3,FALSE),"",IF(VLOOKUP(W$3,Touchpoints!$A:$C,3,FALSE)=0,"",VLOOKUP(W$3,Touchpoints!$A:$C,3,FALSE)))),"")</f>
        <v/>
      </c>
      <c r="X1" s="2" t="str">
        <f>IFERROR(IF(X$3 = 1, Touchpoints!$C$2,IF(VLOOKUP(X$3,Touchpoints!$A:$C,3,FALSE)=VLOOKUP(W$3,Touchpoints!$A:$C,3,FALSE),"",IF(VLOOKUP(X$3,Touchpoints!$A:$C,3,FALSE)=0,"",VLOOKUP(X$3,Touchpoints!$A:$C,3,FALSE)))),"")</f>
        <v/>
      </c>
      <c r="Y1" s="2" t="str">
        <f>IFERROR(IF(Y$3 = 1, Touchpoints!$C$2,IF(VLOOKUP(Y$3,Touchpoints!$A:$C,3,FALSE)=VLOOKUP(X$3,Touchpoints!$A:$C,3,FALSE),"",IF(VLOOKUP(Y$3,Touchpoints!$A:$C,3,FALSE)=0,"",VLOOKUP(Y$3,Touchpoints!$A:$C,3,FALSE)))),"")</f>
        <v/>
      </c>
      <c r="Z1" s="2" t="str">
        <f>IFERROR(IF(Z$3 = 1, Touchpoints!$C$2,IF(VLOOKUP(Z$3,Touchpoints!$A:$C,3,FALSE)=VLOOKUP(Y$3,Touchpoints!$A:$C,3,FALSE),"",IF(VLOOKUP(Z$3,Touchpoints!$A:$C,3,FALSE)=0,"",VLOOKUP(Z$3,Touchpoints!$A:$C,3,FALSE)))),"")</f>
        <v/>
      </c>
      <c r="AA1" s="2" t="str">
        <f>IFERROR(IF(AA$3 = 1, Touchpoints!$C$2,IF(VLOOKUP(AA$3,Touchpoints!$A:$C,3,FALSE)=VLOOKUP(Z$3,Touchpoints!$A:$C,3,FALSE),"",IF(VLOOKUP(AA$3,Touchpoints!$A:$C,3,FALSE)=0,"",VLOOKUP(AA$3,Touchpoints!$A:$C,3,FALSE)))),"")</f>
        <v/>
      </c>
      <c r="AB1" s="2" t="str">
        <f>IFERROR(IF(AB$3 = 1, Touchpoints!$C$2,IF(VLOOKUP(AB$3,Touchpoints!$A:$C,3,FALSE)=VLOOKUP(AA$3,Touchpoints!$A:$C,3,FALSE),"",IF(VLOOKUP(AB$3,Touchpoints!$A:$C,3,FALSE)=0,"",VLOOKUP(AB$3,Touchpoints!$A:$C,3,FALSE)))),"")</f>
        <v/>
      </c>
      <c r="AC1" s="2" t="str">
        <f>IFERROR(IF(AC$3 = 1, Touchpoints!$C$2,IF(VLOOKUP(AC$3,Touchpoints!$A:$C,3,FALSE)=VLOOKUP(AB$3,Touchpoints!$A:$C,3,FALSE),"",IF(VLOOKUP(AC$3,Touchpoints!$A:$C,3,FALSE)=0,"",VLOOKUP(AC$3,Touchpoints!$A:$C,3,FALSE)))),"")</f>
        <v>Account Onboarding</v>
      </c>
      <c r="AD1" s="2" t="str">
        <f>IFERROR(IF(AD$3 = 1, Touchpoints!$C$2,IF(VLOOKUP(AD$3,Touchpoints!$A:$C,3,FALSE)=VLOOKUP(AC$3,Touchpoints!$A:$C,3,FALSE),"",IF(VLOOKUP(AD$3,Touchpoints!$A:$C,3,FALSE)=0,"",VLOOKUP(AD$3,Touchpoints!$A:$C,3,FALSE)))),"")</f>
        <v/>
      </c>
      <c r="AE1" s="2" t="str">
        <f>IFERROR(IF(AE$3 = 1, Touchpoints!$C$2,IF(VLOOKUP(AE$3,Touchpoints!$A:$C,3,FALSE)=VLOOKUP(AD$3,Touchpoints!$A:$C,3,FALSE),"",IF(VLOOKUP(AE$3,Touchpoints!$A:$C,3,FALSE)=0,"",VLOOKUP(AE$3,Touchpoints!$A:$C,3,FALSE)))),"")</f>
        <v/>
      </c>
      <c r="AF1" s="2" t="str">
        <f>IFERROR(IF(AF$3 = 1, Touchpoints!$C$2,IF(VLOOKUP(AF$3,Touchpoints!$A:$C,3,FALSE)=VLOOKUP(AE$3,Touchpoints!$A:$C,3,FALSE),"",IF(VLOOKUP(AF$3,Touchpoints!$A:$C,3,FALSE)=0,"",VLOOKUP(AF$3,Touchpoints!$A:$C,3,FALSE)))),"")</f>
        <v/>
      </c>
      <c r="AG1" s="2" t="str">
        <f>IFERROR(IF(AG$3 = 1, Touchpoints!$C$2,IF(VLOOKUP(AG$3,Touchpoints!$A:$C,3,FALSE)=VLOOKUP(AF$3,Touchpoints!$A:$C,3,FALSE),"",IF(VLOOKUP(AG$3,Touchpoints!$A:$C,3,FALSE)=0,"",VLOOKUP(AG$3,Touchpoints!$A:$C,3,FALSE)))),"")</f>
        <v/>
      </c>
      <c r="AH1" s="2" t="str">
        <f>IFERROR(IF(AH$3 = 1, Touchpoints!$C$2,IF(VLOOKUP(AH$3,Touchpoints!$A:$C,3,FALSE)=VLOOKUP(AG$3,Touchpoints!$A:$C,3,FALSE),"",IF(VLOOKUP(AH$3,Touchpoints!$A:$C,3,FALSE)=0,"",VLOOKUP(AH$3,Touchpoints!$A:$C,3,FALSE)))),"")</f>
        <v/>
      </c>
      <c r="AI1" s="2" t="str">
        <f>IFERROR(IF(AI$3 = 1, Touchpoints!$C$2,IF(VLOOKUP(AI$3,Touchpoints!$A:$C,3,FALSE)=VLOOKUP(AH$3,Touchpoints!$A:$C,3,FALSE),"",IF(VLOOKUP(AI$3,Touchpoints!$A:$C,3,FALSE)=0,"",VLOOKUP(AI$3,Touchpoints!$A:$C,3,FALSE)))),"")</f>
        <v/>
      </c>
      <c r="AJ1" s="2" t="str">
        <f>IFERROR(IF(AJ$3 = 1, Touchpoints!$C$2,IF(VLOOKUP(AJ$3,Touchpoints!$A:$C,3,FALSE)=VLOOKUP(AI$3,Touchpoints!$A:$C,3,FALSE),"",IF(VLOOKUP(AJ$3,Touchpoints!$A:$C,3,FALSE)=0,"",VLOOKUP(AJ$3,Touchpoints!$A:$C,3,FALSE)))),"")</f>
        <v/>
      </c>
      <c r="AK1" s="2" t="str">
        <f>IFERROR(IF(AK$3 = 1, Touchpoints!$C$2,IF(VLOOKUP(AK$3,Touchpoints!$A:$C,3,FALSE)=VLOOKUP(AJ$3,Touchpoints!$A:$C,3,FALSE),"",IF(VLOOKUP(AK$3,Touchpoints!$A:$C,3,FALSE)=0,"",VLOOKUP(AK$3,Touchpoints!$A:$C,3,FALSE)))),"")</f>
        <v/>
      </c>
      <c r="AL1" s="2" t="str">
        <f>IFERROR(IF(AL$3 = 1, Touchpoints!$C$2,IF(VLOOKUP(AL$3,Touchpoints!$A:$C,3,FALSE)=VLOOKUP(AK$3,Touchpoints!$A:$C,3,FALSE),"",IF(VLOOKUP(AL$3,Touchpoints!$A:$C,3,FALSE)=0,"",VLOOKUP(AL$3,Touchpoints!$A:$C,3,FALSE)))),"")</f>
        <v/>
      </c>
      <c r="AM1" s="2" t="str">
        <f>IFERROR(IF(AM$3 = 1, Touchpoints!$C$2,IF(VLOOKUP(AM$3,Touchpoints!$A:$C,3,FALSE)=VLOOKUP(AL$3,Touchpoints!$A:$C,3,FALSE),"",IF(VLOOKUP(AM$3,Touchpoints!$A:$C,3,FALSE)=0,"",VLOOKUP(AM$3,Touchpoints!$A:$C,3,FALSE)))),"")</f>
        <v/>
      </c>
      <c r="AN1" s="2" t="str">
        <f>IFERROR(IF(AN$3 = 1, Touchpoints!$C$2,IF(VLOOKUP(AN$3,Touchpoints!$A:$C,3,FALSE)=VLOOKUP(AM$3,Touchpoints!$A:$C,3,FALSE),"",IF(VLOOKUP(AN$3,Touchpoints!$A:$C,3,FALSE)=0,"",VLOOKUP(AN$3,Touchpoints!$A:$C,3,FALSE)))),"")</f>
        <v/>
      </c>
      <c r="AO1" s="2" t="str">
        <f>IFERROR(IF(AO$3 = 1, Touchpoints!$C$2,IF(VLOOKUP(AO$3,Touchpoints!$A:$C,3,FALSE)=VLOOKUP(AN$3,Touchpoints!$A:$C,3,FALSE),"",IF(VLOOKUP(AO$3,Touchpoints!$A:$C,3,FALSE)=0,"",VLOOKUP(AO$3,Touchpoints!$A:$C,3,FALSE)))),"")</f>
        <v/>
      </c>
      <c r="AP1" s="2" t="str">
        <f>IFERROR(IF(AP$3 = 1, Touchpoints!$C$2,IF(VLOOKUP(AP$3,Touchpoints!$A:$C,3,FALSE)=VLOOKUP(AO$3,Touchpoints!$A:$C,3,FALSE),"",IF(VLOOKUP(AP$3,Touchpoints!$A:$C,3,FALSE)=0,"",VLOOKUP(AP$3,Touchpoints!$A:$C,3,FALSE)))),"")</f>
        <v/>
      </c>
      <c r="AQ1" s="2" t="str">
        <f>IFERROR(IF(AQ$3 = 1, Touchpoints!$C$2,IF(VLOOKUP(AQ$3,Touchpoints!$A:$C,3,FALSE)=VLOOKUP(AP$3,Touchpoints!$A:$C,3,FALSE),"",IF(VLOOKUP(AQ$3,Touchpoints!$A:$C,3,FALSE)=0,"",VLOOKUP(AQ$3,Touchpoints!$A:$C,3,FALSE)))),"")</f>
        <v/>
      </c>
      <c r="AR1" s="2" t="str">
        <f>IFERROR(IF(AR$3 = 1, Touchpoints!$C$2,IF(VLOOKUP(AR$3,Touchpoints!$A:$C,3,FALSE)=VLOOKUP(AQ$3,Touchpoints!$A:$C,3,FALSE),"",IF(VLOOKUP(AR$3,Touchpoints!$A:$C,3,FALSE)=0,"",VLOOKUP(AR$3,Touchpoints!$A:$C,3,FALSE)))),"")</f>
        <v/>
      </c>
      <c r="AS1" s="2" t="str">
        <f>IFERROR(IF(AS$3 = 1, Touchpoints!$C$2,IF(VLOOKUP(AS$3,Touchpoints!$A:$C,3,FALSE)=VLOOKUP(AR$3,Touchpoints!$A:$C,3,FALSE),"",IF(VLOOKUP(AS$3,Touchpoints!$A:$C,3,FALSE)=0,"",VLOOKUP(AS$3,Touchpoints!$A:$C,3,FALSE)))),"")</f>
        <v/>
      </c>
      <c r="AT1" s="2" t="str">
        <f>IFERROR(IF(AT$3 = 1, Touchpoints!$C$2,IF(VLOOKUP(AT$3,Touchpoints!$A:$C,3,FALSE)=VLOOKUP(AS$3,Touchpoints!$A:$C,3,FALSE),"",IF(VLOOKUP(AT$3,Touchpoints!$A:$C,3,FALSE)=0,"",VLOOKUP(AT$3,Touchpoints!$A:$C,3,FALSE)))),"")</f>
        <v/>
      </c>
      <c r="AU1" s="2" t="str">
        <f>IFERROR(IF(AU$3 = 1, Touchpoints!$C$2,IF(VLOOKUP(AU$3,Touchpoints!$A:$C,3,FALSE)=VLOOKUP(AT$3,Touchpoints!$A:$C,3,FALSE),"",IF(VLOOKUP(AU$3,Touchpoints!$A:$C,3,FALSE)=0,"",VLOOKUP(AU$3,Touchpoints!$A:$C,3,FALSE)))),"")</f>
        <v/>
      </c>
      <c r="AV1" s="2" t="str">
        <f>IFERROR(IF(AV$3 = 1, Touchpoints!$C$2,IF(VLOOKUP(AV$3,Touchpoints!$A:$C,3,FALSE)=VLOOKUP(AU$3,Touchpoints!$A:$C,3,FALSE),"",IF(VLOOKUP(AV$3,Touchpoints!$A:$C,3,FALSE)=0,"",VLOOKUP(AV$3,Touchpoints!$A:$C,3,FALSE)))),"")</f>
        <v>Usage</v>
      </c>
      <c r="AW1" s="2" t="str">
        <f>IFERROR(IF(AW$3 = 1, Touchpoints!$C$2,IF(VLOOKUP(AW$3,Touchpoints!$A:$C,3,FALSE)=VLOOKUP(AV$3,Touchpoints!$A:$C,3,FALSE),"",IF(VLOOKUP(AW$3,Touchpoints!$A:$C,3,FALSE)=0,"",VLOOKUP(AW$3,Touchpoints!$A:$C,3,FALSE)))),"")</f>
        <v/>
      </c>
      <c r="AX1" s="2" t="str">
        <f>IFERROR(IF(AX$3 = 1, Touchpoints!$C$2,IF(VLOOKUP(AX$3,Touchpoints!$A:$C,3,FALSE)=VLOOKUP(AW$3,Touchpoints!$A:$C,3,FALSE),"",IF(VLOOKUP(AX$3,Touchpoints!$A:$C,3,FALSE)=0,"",VLOOKUP(AX$3,Touchpoints!$A:$C,3,FALSE)))),"")</f>
        <v/>
      </c>
      <c r="AY1" s="2" t="str">
        <f>IFERROR(IF(AY$3 = 1, Touchpoints!$C$2,IF(VLOOKUP(AY$3,Touchpoints!$A:$C,3,FALSE)=VLOOKUP(AX$3,Touchpoints!$A:$C,3,FALSE),"",IF(VLOOKUP(AY$3,Touchpoints!$A:$C,3,FALSE)=0,"",VLOOKUP(AY$3,Touchpoints!$A:$C,3,FALSE)))),"")</f>
        <v/>
      </c>
      <c r="AZ1" s="2" t="str">
        <f>IFERROR(IF(AZ$3 = 1, Touchpoints!$C$2,IF(VLOOKUP(AZ$3,Touchpoints!$A:$C,3,FALSE)=VLOOKUP(AY$3,Touchpoints!$A:$C,3,FALSE),"",IF(VLOOKUP(AZ$3,Touchpoints!$A:$C,3,FALSE)=0,"",VLOOKUP(AZ$3,Touchpoints!$A:$C,3,FALSE)))),"")</f>
        <v/>
      </c>
      <c r="BA1" s="2" t="str">
        <f>IFERROR(IF(BA$3 = 1, Touchpoints!$C$2,IF(VLOOKUP(BA$3,Touchpoints!$A:$C,3,FALSE)=VLOOKUP(AZ$3,Touchpoints!$A:$C,3,FALSE),"",IF(VLOOKUP(BA$3,Touchpoints!$A:$C,3,FALSE)=0,"",VLOOKUP(BA$3,Touchpoints!$A:$C,3,FALSE)))),"")</f>
        <v/>
      </c>
      <c r="BB1" s="2" t="str">
        <f>IFERROR(IF(BB$3 = 1, Touchpoints!$C$2,IF(VLOOKUP(BB$3,Touchpoints!$A:$C,3,FALSE)=VLOOKUP(BA$3,Touchpoints!$A:$C,3,FALSE),"",IF(VLOOKUP(BB$3,Touchpoints!$A:$C,3,FALSE)=0,"",VLOOKUP(BB$3,Touchpoints!$A:$C,3,FALSE)))),"")</f>
        <v/>
      </c>
      <c r="BC1" s="2" t="str">
        <f>IFERROR(IF(BC$3 = 1, Touchpoints!$C$2,IF(VLOOKUP(BC$3,Touchpoints!$A:$C,3,FALSE)=VLOOKUP(BB$3,Touchpoints!$A:$C,3,FALSE),"",IF(VLOOKUP(BC$3,Touchpoints!$A:$C,3,FALSE)=0,"",VLOOKUP(BC$3,Touchpoints!$A:$C,3,FALSE)))),"")</f>
        <v/>
      </c>
      <c r="BD1" s="2" t="str">
        <f>IFERROR(IF(BD$3 = 1, Touchpoints!$C$2,IF(VLOOKUP(BD$3,Touchpoints!$A:$C,3,FALSE)=VLOOKUP(BC$3,Touchpoints!$A:$C,3,FALSE),"",IF(VLOOKUP(BD$3,Touchpoints!$A:$C,3,FALSE)=0,"",VLOOKUP(BD$3,Touchpoints!$A:$C,3,FALSE)))),"")</f>
        <v/>
      </c>
      <c r="BE1" s="2" t="str">
        <f>IFERROR(IF(BE$3 = 1, Touchpoints!$C$2,IF(VLOOKUP(BE$3,Touchpoints!$A:$C,3,FALSE)=VLOOKUP(BD$3,Touchpoints!$A:$C,3,FALSE),"",IF(VLOOKUP(BE$3,Touchpoints!$A:$C,3,FALSE)=0,"",VLOOKUP(BE$3,Touchpoints!$A:$C,3,FALSE)))),"")</f>
        <v/>
      </c>
      <c r="BF1" s="2" t="str">
        <f>IFERROR(IF(BF$3 = 1, Touchpoints!$C$2,IF(VLOOKUP(BF$3,Touchpoints!$A:$C,3,FALSE)=VLOOKUP(BE$3,Touchpoints!$A:$C,3,FALSE),"",IF(VLOOKUP(BF$3,Touchpoints!$A:$C,3,FALSE)=0,"",VLOOKUP(BF$3,Touchpoints!$A:$C,3,FALSE)))),"")</f>
        <v/>
      </c>
      <c r="BG1" s="2" t="str">
        <f>IFERROR(IF(BG$3 = 1, Touchpoints!$C$2,IF(VLOOKUP(BG$3,Touchpoints!$A:$C,3,FALSE)=VLOOKUP(BF$3,Touchpoints!$A:$C,3,FALSE),"",IF(VLOOKUP(BG$3,Touchpoints!$A:$C,3,FALSE)=0,"",VLOOKUP(BG$3,Touchpoints!$A:$C,3,FALSE)))),"")</f>
        <v/>
      </c>
      <c r="BH1" s="2" t="str">
        <f>IFERROR(IF(BH$3 = 1, Touchpoints!$C$2,IF(VLOOKUP(BH$3,Touchpoints!$A:$C,3,FALSE)=VLOOKUP(BG$3,Touchpoints!$A:$C,3,FALSE),"",IF(VLOOKUP(BH$3,Touchpoints!$A:$C,3,FALSE)=0,"",VLOOKUP(BH$3,Touchpoints!$A:$C,3,FALSE)))),"")</f>
        <v/>
      </c>
      <c r="BI1" s="2" t="str">
        <f>IFERROR(IF(BI$3 = 1, Touchpoints!$C$2,IF(VLOOKUP(BI$3,Touchpoints!$A:$C,3,FALSE)=VLOOKUP(BH$3,Touchpoints!$A:$C,3,FALSE),"",IF(VLOOKUP(BI$3,Touchpoints!$A:$C,3,FALSE)=0,"",VLOOKUP(BI$3,Touchpoints!$A:$C,3,FALSE)))),"")</f>
        <v/>
      </c>
      <c r="BJ1" s="2" t="str">
        <f>IFERROR(IF(BJ$3 = 1, Touchpoints!$C$2,IF(VLOOKUP(BJ$3,Touchpoints!$A:$C,3,FALSE)=VLOOKUP(BI$3,Touchpoints!$A:$C,3,FALSE),"",IF(VLOOKUP(BJ$3,Touchpoints!$A:$C,3,FALSE)=0,"",VLOOKUP(BJ$3,Touchpoints!$A:$C,3,FALSE)))),"")</f>
        <v/>
      </c>
      <c r="BK1" s="2" t="str">
        <f>IFERROR(IF(BK$3 = 1, Touchpoints!$C$2,IF(VLOOKUP(BK$3,Touchpoints!$A:$C,3,FALSE)=VLOOKUP(BJ$3,Touchpoints!$A:$C,3,FALSE),"",IF(VLOOKUP(BK$3,Touchpoints!$A:$C,3,FALSE)=0,"",VLOOKUP(BK$3,Touchpoints!$A:$C,3,FALSE)))),"")</f>
        <v/>
      </c>
      <c r="BL1" s="2" t="str">
        <f>IFERROR(IF(BL$3 = 1, Touchpoints!$C$2,IF(VLOOKUP(BL$3,Touchpoints!$A:$C,3,FALSE)=VLOOKUP(BK$3,Touchpoints!$A:$C,3,FALSE),"",IF(VLOOKUP(BL$3,Touchpoints!$A:$C,3,FALSE)=0,"",VLOOKUP(BL$3,Touchpoints!$A:$C,3,FALSE)))),"")</f>
        <v/>
      </c>
      <c r="BM1" s="2" t="str">
        <f>IFERROR(IF(BM$3 = 1, Touchpoints!$C$2,IF(VLOOKUP(BM$3,Touchpoints!$A:$C,3,FALSE)=VLOOKUP(BL$3,Touchpoints!$A:$C,3,FALSE),"",IF(VLOOKUP(BM$3,Touchpoints!$A:$C,3,FALSE)=0,"",VLOOKUP(BM$3,Touchpoints!$A:$C,3,FALSE)))),"")</f>
        <v/>
      </c>
      <c r="BN1" s="2" t="str">
        <f>IFERROR(IF(BN$3 = 1, Touchpoints!$C$2,IF(VLOOKUP(BN$3,Touchpoints!$A:$C,3,FALSE)=VLOOKUP(BM$3,Touchpoints!$A:$C,3,FALSE),"",IF(VLOOKUP(BN$3,Touchpoints!$A:$C,3,FALSE)=0,"",VLOOKUP(BN$3,Touchpoints!$A:$C,3,FALSE)))),"")</f>
        <v/>
      </c>
      <c r="BO1" s="2" t="str">
        <f>IFERROR(IF(BO$3 = 1, Touchpoints!$C$2,IF(VLOOKUP(BO$3,Touchpoints!$A:$C,3,FALSE)=VLOOKUP(BN$3,Touchpoints!$A:$C,3,FALSE),"",IF(VLOOKUP(BO$3,Touchpoints!$A:$C,3,FALSE)=0,"",VLOOKUP(BO$3,Touchpoints!$A:$C,3,FALSE)))),"")</f>
        <v>Maintenance/Servicing</v>
      </c>
      <c r="BP1" s="2" t="str">
        <f>IFERROR(IF(BP$3 = 1, Touchpoints!$C$2,IF(VLOOKUP(BP$3,Touchpoints!$A:$C,3,FALSE)=VLOOKUP(BO$3,Touchpoints!$A:$C,3,FALSE),"",IF(VLOOKUP(BP$3,Touchpoints!$A:$C,3,FALSE)=0,"",VLOOKUP(BP$3,Touchpoints!$A:$C,3,FALSE)))),"")</f>
        <v/>
      </c>
      <c r="BQ1" s="2" t="str">
        <f>IFERROR(IF(BQ$3 = 1, Touchpoints!$C$2,IF(VLOOKUP(BQ$3,Touchpoints!$A:$C,3,FALSE)=VLOOKUP(BP$3,Touchpoints!$A:$C,3,FALSE),"",IF(VLOOKUP(BQ$3,Touchpoints!$A:$C,3,FALSE)=0,"",VLOOKUP(BQ$3,Touchpoints!$A:$C,3,FALSE)))),"")</f>
        <v/>
      </c>
      <c r="BR1" s="2" t="str">
        <f>IFERROR(IF(BR$3 = 1, Touchpoints!$C$2,IF(VLOOKUP(BR$3,Touchpoints!$A:$C,3,FALSE)=VLOOKUP(BQ$3,Touchpoints!$A:$C,3,FALSE),"",IF(VLOOKUP(BR$3,Touchpoints!$A:$C,3,FALSE)=0,"",VLOOKUP(BR$3,Touchpoints!$A:$C,3,FALSE)))),"")</f>
        <v/>
      </c>
      <c r="BS1" s="2" t="str">
        <f>IFERROR(IF(BS$3 = 1, Touchpoints!$C$2,IF(VLOOKUP(BS$3,Touchpoints!$A:$C,3,FALSE)=VLOOKUP(BR$3,Touchpoints!$A:$C,3,FALSE),"",IF(VLOOKUP(BS$3,Touchpoints!$A:$C,3,FALSE)=0,"",VLOOKUP(BS$3,Touchpoints!$A:$C,3,FALSE)))),"")</f>
        <v/>
      </c>
      <c r="BT1" s="2" t="str">
        <f>IFERROR(IF(BT$3 = 1, Touchpoints!$C$2,IF(VLOOKUP(BT$3,Touchpoints!$A:$C,3,FALSE)=VLOOKUP(BS$3,Touchpoints!$A:$C,3,FALSE),"",IF(VLOOKUP(BT$3,Touchpoints!$A:$C,3,FALSE)=0,"",VLOOKUP(BT$3,Touchpoints!$A:$C,3,FALSE)))),"")</f>
        <v/>
      </c>
      <c r="BU1" s="2" t="str">
        <f>IFERROR(IF(BU$3 = 1, Touchpoints!$C$2,IF(VLOOKUP(BU$3,Touchpoints!$A:$C,3,FALSE)=VLOOKUP(BT$3,Touchpoints!$A:$C,3,FALSE),"",IF(VLOOKUP(BU$3,Touchpoints!$A:$C,3,FALSE)=0,"",VLOOKUP(BU$3,Touchpoints!$A:$C,3,FALSE)))),"")</f>
        <v/>
      </c>
      <c r="BV1" s="2" t="str">
        <f>IFERROR(IF(BV$3 = 1, Touchpoints!$C$2,IF(VLOOKUP(BV$3,Touchpoints!$A:$C,3,FALSE)=VLOOKUP(BU$3,Touchpoints!$A:$C,3,FALSE),"",IF(VLOOKUP(BV$3,Touchpoints!$A:$C,3,FALSE)=0,"",VLOOKUP(BV$3,Touchpoints!$A:$C,3,FALSE)))),"")</f>
        <v/>
      </c>
      <c r="BW1" s="2" t="str">
        <f>IFERROR(IF(BW$3 = 1, Touchpoints!$C$2,IF(VLOOKUP(BW$3,Touchpoints!$A:$C,3,FALSE)=VLOOKUP(BV$3,Touchpoints!$A:$C,3,FALSE),"",IF(VLOOKUP(BW$3,Touchpoints!$A:$C,3,FALSE)=0,"",VLOOKUP(BW$3,Touchpoints!$A:$C,3,FALSE)))),"")</f>
        <v/>
      </c>
      <c r="BX1" s="2" t="str">
        <f>IFERROR(IF(BX$3 = 1, Touchpoints!$C$2,IF(VLOOKUP(BX$3,Touchpoints!$A:$C,3,FALSE)=VLOOKUP(BW$3,Touchpoints!$A:$C,3,FALSE),"",IF(VLOOKUP(BX$3,Touchpoints!$A:$C,3,FALSE)=0,"",VLOOKUP(BX$3,Touchpoints!$A:$C,3,FALSE)))),"")</f>
        <v/>
      </c>
      <c r="BY1" s="2" t="str">
        <f>IFERROR(IF(BY$3 = 1, Touchpoints!$C$2,IF(VLOOKUP(BY$3,Touchpoints!$A:$C,3,FALSE)=VLOOKUP(BX$3,Touchpoints!$A:$C,3,FALSE),"",IF(VLOOKUP(BY$3,Touchpoints!$A:$C,3,FALSE)=0,"",VLOOKUP(BY$3,Touchpoints!$A:$C,3,FALSE)))),"")</f>
        <v/>
      </c>
      <c r="BZ1" s="2" t="str">
        <f>IFERROR(IF(BZ$3 = 1, Touchpoints!$C$2,IF(VLOOKUP(BZ$3,Touchpoints!$A:$C,3,FALSE)=VLOOKUP(BY$3,Touchpoints!$A:$C,3,FALSE),"",IF(VLOOKUP(BZ$3,Touchpoints!$A:$C,3,FALSE)=0,"",VLOOKUP(BZ$3,Touchpoints!$A:$C,3,FALSE)))),"")</f>
        <v/>
      </c>
      <c r="CA1" s="2" t="str">
        <f>IFERROR(IF(CA$3 = 1, Touchpoints!$C$2,IF(VLOOKUP(CA$3,Touchpoints!$A:$C,3,FALSE)=VLOOKUP(BZ$3,Touchpoints!$A:$C,3,FALSE),"",IF(VLOOKUP(CA$3,Touchpoints!$A:$C,3,FALSE)=0,"",VLOOKUP(CA$3,Touchpoints!$A:$C,3,FALSE)))),"")</f>
        <v/>
      </c>
      <c r="CB1" s="2" t="str">
        <f>IFERROR(IF(CB$3 = 1, Touchpoints!$C$2,IF(VLOOKUP(CB$3,Touchpoints!$A:$C,3,FALSE)=VLOOKUP(CA$3,Touchpoints!$A:$C,3,FALSE),"",IF(VLOOKUP(CB$3,Touchpoints!$A:$C,3,FALSE)=0,"",VLOOKUP(CB$3,Touchpoints!$A:$C,3,FALSE)))),"")</f>
        <v/>
      </c>
      <c r="CC1" s="2" t="str">
        <f>IFERROR(IF(CC$3 = 1, Touchpoints!$C$2,IF(VLOOKUP(CC$3,Touchpoints!$A:$C,3,FALSE)=VLOOKUP(CB$3,Touchpoints!$A:$C,3,FALSE),"",IF(VLOOKUP(CC$3,Touchpoints!$A:$C,3,FALSE)=0,"",VLOOKUP(CC$3,Touchpoints!$A:$C,3,FALSE)))),"")</f>
        <v/>
      </c>
      <c r="CD1" s="2" t="str">
        <f>IFERROR(IF(CD$3 = 1, Touchpoints!$C$2,IF(VLOOKUP(CD$3,Touchpoints!$A:$C,3,FALSE)=VLOOKUP(CC$3,Touchpoints!$A:$C,3,FALSE),"",IF(VLOOKUP(CD$3,Touchpoints!$A:$C,3,FALSE)=0,"",VLOOKUP(CD$3,Touchpoints!$A:$C,3,FALSE)))),"")</f>
        <v/>
      </c>
      <c r="CE1" s="2" t="str">
        <f>IFERROR(IF(CE$3 = 1, Touchpoints!$C$2,IF(VLOOKUP(CE$3,Touchpoints!$A:$C,3,FALSE)=VLOOKUP(CD$3,Touchpoints!$A:$C,3,FALSE),"",IF(VLOOKUP(CE$3,Touchpoints!$A:$C,3,FALSE)=0,"",VLOOKUP(CE$3,Touchpoints!$A:$C,3,FALSE)))),"")</f>
        <v/>
      </c>
      <c r="CF1" s="2" t="str">
        <f>IFERROR(IF(CF$3 = 1, Touchpoints!$C$2,IF(VLOOKUP(CF$3,Touchpoints!$A:$C,3,FALSE)=VLOOKUP(CE$3,Touchpoints!$A:$C,3,FALSE),"",IF(VLOOKUP(CF$3,Touchpoints!$A:$C,3,FALSE)=0,"",VLOOKUP(CF$3,Touchpoints!$A:$C,3,FALSE)))),"")</f>
        <v/>
      </c>
      <c r="CG1" s="2" t="str">
        <f>IFERROR(IF(CG$3 = 1, Touchpoints!$C$2,IF(VLOOKUP(CG$3,Touchpoints!$A:$C,3,FALSE)=VLOOKUP(CF$3,Touchpoints!$A:$C,3,FALSE),"",IF(VLOOKUP(CG$3,Touchpoints!$A:$C,3,FALSE)=0,"",VLOOKUP(CG$3,Touchpoints!$A:$C,3,FALSE)))),"")</f>
        <v/>
      </c>
      <c r="CH1" s="2" t="str">
        <f>IFERROR(IF(CH$3 = 1, Touchpoints!$C$2,IF(VLOOKUP(CH$3,Touchpoints!$A:$C,3,FALSE)=VLOOKUP(CG$3,Touchpoints!$A:$C,3,FALSE),"",IF(VLOOKUP(CH$3,Touchpoints!$A:$C,3,FALSE)=0,"",VLOOKUP(CH$3,Touchpoints!$A:$C,3,FALSE)))),"")</f>
        <v/>
      </c>
      <c r="CI1" s="2" t="str">
        <f>IFERROR(IF(CI$3 = 1, Touchpoints!$C$2,IF(VLOOKUP(CI$3,Touchpoints!$A:$C,3,FALSE)=VLOOKUP(CH$3,Touchpoints!$A:$C,3,FALSE),"",IF(VLOOKUP(CI$3,Touchpoints!$A:$C,3,FALSE)=0,"",VLOOKUP(CI$3,Touchpoints!$A:$C,3,FALSE)))),"")</f>
        <v/>
      </c>
      <c r="CJ1" s="2" t="str">
        <f>IFERROR(IF(CJ$3 = 1, Touchpoints!$C$2,IF(VLOOKUP(CJ$3,Touchpoints!$A:$C,3,FALSE)=VLOOKUP(CI$3,Touchpoints!$A:$C,3,FALSE),"",IF(VLOOKUP(CJ$3,Touchpoints!$A:$C,3,FALSE)=0,"",VLOOKUP(CJ$3,Touchpoints!$A:$C,3,FALSE)))),"")</f>
        <v/>
      </c>
      <c r="CK1" s="2" t="str">
        <f>IFERROR(IF(CK$3 = 1, Touchpoints!$C$2,IF(VLOOKUP(CK$3,Touchpoints!$A:$C,3,FALSE)=VLOOKUP(CJ$3,Touchpoints!$A:$C,3,FALSE),"",IF(VLOOKUP(CK$3,Touchpoints!$A:$C,3,FALSE)=0,"",VLOOKUP(CK$3,Touchpoints!$A:$C,3,FALSE)))),"")</f>
        <v/>
      </c>
      <c r="CL1" s="2" t="str">
        <f>IFERROR(IF(CL$3 = 1, Touchpoints!$C$2,IF(VLOOKUP(CL$3,Touchpoints!$A:$C,3,FALSE)=VLOOKUP(CK$3,Touchpoints!$A:$C,3,FALSE),"",IF(VLOOKUP(CL$3,Touchpoints!$A:$C,3,FALSE)=0,"",VLOOKUP(CL$3,Touchpoints!$A:$C,3,FALSE)))),"")</f>
        <v/>
      </c>
      <c r="CM1" s="2" t="str">
        <f>IFERROR(IF(CM$3 = 1, Touchpoints!$C$2,IF(VLOOKUP(CM$3,Touchpoints!$A:$C,3,FALSE)=VLOOKUP(CL$3,Touchpoints!$A:$C,3,FALSE),"",IF(VLOOKUP(CM$3,Touchpoints!$A:$C,3,FALSE)=0,"",VLOOKUP(CM$3,Touchpoints!$A:$C,3,FALSE)))),"")</f>
        <v/>
      </c>
      <c r="CN1" s="2" t="str">
        <f>IFERROR(IF(CN$3 = 1, Touchpoints!$C$2,IF(VLOOKUP(CN$3,Touchpoints!$A:$C,3,FALSE)=VLOOKUP(CM$3,Touchpoints!$A:$C,3,FALSE),"",IF(VLOOKUP(CN$3,Touchpoints!$A:$C,3,FALSE)=0,"",VLOOKUP(CN$3,Touchpoints!$A:$C,3,FALSE)))),"")</f>
        <v/>
      </c>
      <c r="CO1" s="2" t="str">
        <f>IFERROR(IF(CO$3 = 1, Touchpoints!$C$2,IF(VLOOKUP(CO$3,Touchpoints!$A:$C,3,FALSE)=VLOOKUP(CN$3,Touchpoints!$A:$C,3,FALSE),"",IF(VLOOKUP(CO$3,Touchpoints!$A:$C,3,FALSE)=0,"",VLOOKUP(CO$3,Touchpoints!$A:$C,3,FALSE)))),"")</f>
        <v/>
      </c>
      <c r="CP1" s="2" t="str">
        <f>IFERROR(IF(CP$3 = 1, Touchpoints!$C$2,IF(VLOOKUP(CP$3,Touchpoints!$A:$C,3,FALSE)=VLOOKUP(CO$3,Touchpoints!$A:$C,3,FALSE),"",IF(VLOOKUP(CP$3,Touchpoints!$A:$C,3,FALSE)=0,"",VLOOKUP(CP$3,Touchpoints!$A:$C,3,FALSE)))),"")</f>
        <v/>
      </c>
      <c r="CQ1" s="2" t="str">
        <f>IFERROR(IF(CQ$3 = 1, Touchpoints!$C$2,IF(VLOOKUP(CQ$3,Touchpoints!$A:$C,3,FALSE)=VLOOKUP(CP$3,Touchpoints!$A:$C,3,FALSE),"",IF(VLOOKUP(CQ$3,Touchpoints!$A:$C,3,FALSE)=0,"",VLOOKUP(CQ$3,Touchpoints!$A:$C,3,FALSE)))),"")</f>
        <v/>
      </c>
      <c r="CR1" s="2" t="str">
        <f>IFERROR(IF(CR$3 = 1, Touchpoints!$C$2,IF(VLOOKUP(CR$3,Touchpoints!$A:$C,3,FALSE)=VLOOKUP(CQ$3,Touchpoints!$A:$C,3,FALSE),"",IF(VLOOKUP(CR$3,Touchpoints!$A:$C,3,FALSE)=0,"",VLOOKUP(CR$3,Touchpoints!$A:$C,3,FALSE)))),"")</f>
        <v/>
      </c>
      <c r="CS1" s="2" t="str">
        <f>IFERROR(IF(CS$3 = 1, Touchpoints!$C$2,IF(VLOOKUP(CS$3,Touchpoints!$A:$C,3,FALSE)=VLOOKUP(CR$3,Touchpoints!$A:$C,3,FALSE),"",IF(VLOOKUP(CS$3,Touchpoints!$A:$C,3,FALSE)=0,"",VLOOKUP(CS$3,Touchpoints!$A:$C,3,FALSE)))),"")</f>
        <v/>
      </c>
      <c r="CT1" s="2" t="str">
        <f>IFERROR(IF(CT$3 = 1, Touchpoints!$C$2,IF(VLOOKUP(CT$3,Touchpoints!$A:$C,3,FALSE)=VLOOKUP(CS$3,Touchpoints!$A:$C,3,FALSE),"",IF(VLOOKUP(CT$3,Touchpoints!$A:$C,3,FALSE)=0,"",VLOOKUP(CT$3,Touchpoints!$A:$C,3,FALSE)))),"")</f>
        <v/>
      </c>
      <c r="CU1" s="2" t="str">
        <f>IFERROR(IF(CU$3 = 1, Touchpoints!$C$2,IF(VLOOKUP(CU$3,Touchpoints!$A:$C,3,FALSE)=VLOOKUP(CT$3,Touchpoints!$A:$C,3,FALSE),"",IF(VLOOKUP(CU$3,Touchpoints!$A:$C,3,FALSE)=0,"",VLOOKUP(CU$3,Touchpoints!$A:$C,3,FALSE)))),"")</f>
        <v/>
      </c>
      <c r="CV1" s="2" t="str">
        <f>IFERROR(IF(CV$3 = 1, Touchpoints!$C$2,IF(VLOOKUP(CV$3,Touchpoints!$A:$C,3,FALSE)=VLOOKUP(CU$3,Touchpoints!$A:$C,3,FALSE),"",IF(VLOOKUP(CV$3,Touchpoints!$A:$C,3,FALSE)=0,"",VLOOKUP(CV$3,Touchpoints!$A:$C,3,FALSE)))),"")</f>
        <v>Close Account</v>
      </c>
      <c r="CW1" s="2" t="str">
        <f>IFERROR(IF(CW$3 = 1, Touchpoints!$C$2,IF(VLOOKUP(CW$3,Touchpoints!$A:$C,3,FALSE)=VLOOKUP(CV$3,Touchpoints!$A:$C,3,FALSE),"",IF(VLOOKUP(CW$3,Touchpoints!$A:$C,3,FALSE)=0,"",VLOOKUP(CW$3,Touchpoints!$A:$C,3,FALSE)))),"")</f>
        <v/>
      </c>
      <c r="CX1" s="2" t="str">
        <f>IFERROR(IF(CX$3 = 1, Touchpoints!$C$2,IF(VLOOKUP(CX$3,Touchpoints!$A:$C,3,FALSE)=VLOOKUP(CW$3,Touchpoints!$A:$C,3,FALSE),"",IF(VLOOKUP(CX$3,Touchpoints!$A:$C,3,FALSE)=0,"",VLOOKUP(CX$3,Touchpoints!$A:$C,3,FALSE)))),"")</f>
        <v/>
      </c>
      <c r="CY1" s="2" t="str">
        <f>IFERROR(IF(CY$3 = 1, Touchpoints!$C$2,IF(VLOOKUP(CY$3,Touchpoints!$A:$C,3,FALSE)=VLOOKUP(CX$3,Touchpoints!$A:$C,3,FALSE),"",IF(VLOOKUP(CY$3,Touchpoints!$A:$C,3,FALSE)=0,"",VLOOKUP(CY$3,Touchpoints!$A:$C,3,FALSE)))),"")</f>
        <v/>
      </c>
      <c r="CZ1" s="2" t="str">
        <f>IFERROR(IF(CZ$3 = 1, Touchpoints!$C$2,IF(VLOOKUP(CZ$3,Touchpoints!$A:$C,3,FALSE)=VLOOKUP(CY$3,Touchpoints!$A:$C,3,FALSE),"",IF(VLOOKUP(CZ$3,Touchpoints!$A:$C,3,FALSE)=0,"",VLOOKUP(CZ$3,Touchpoints!$A:$C,3,FALSE)))),"")</f>
        <v/>
      </c>
      <c r="DA1" s="2" t="str">
        <f>IFERROR(IF(DA$3 = 1, Touchpoints!$C$2,IF(VLOOKUP(DA$3,Touchpoints!$A:$C,3,FALSE)=VLOOKUP(CZ$3,Touchpoints!$A:$C,3,FALSE),"",IF(VLOOKUP(DA$3,Touchpoints!$A:$C,3,FALSE)=0,"",VLOOKUP(DA$3,Touchpoints!$A:$C,3,FALSE)))),"")</f>
        <v/>
      </c>
      <c r="DB1" s="2" t="str">
        <f>IFERROR(IF(DB$3 = 1, Touchpoints!$C$2,IF(VLOOKUP(DB$3,Touchpoints!$A:$C,3,FALSE)=VLOOKUP(DA$3,Touchpoints!$A:$C,3,FALSE),"",IF(VLOOKUP(DB$3,Touchpoints!$A:$C,3,FALSE)=0,"",VLOOKUP(DB$3,Touchpoints!$A:$C,3,FALSE)))),"")</f>
        <v/>
      </c>
      <c r="DC1" s="2" t="str">
        <f>IFERROR(IF(DC$3 = 1, Touchpoints!$C$2,IF(VLOOKUP(DC$3,Touchpoints!$A:$C,3,FALSE)=VLOOKUP(DB$3,Touchpoints!$A:$C,3,FALSE),"",IF(VLOOKUP(DC$3,Touchpoints!$A:$C,3,FALSE)=0,"",VLOOKUP(DC$3,Touchpoints!$A:$C,3,FALSE)))),"")</f>
        <v/>
      </c>
      <c r="DD1" s="2" t="str">
        <f>IFERROR(IF(DD$3 = 1, Touchpoints!$C$2,IF(VLOOKUP(DD$3,Touchpoints!$A:$C,3,FALSE)=VLOOKUP(DC$3,Touchpoints!$A:$C,3,FALSE),"",IF(VLOOKUP(DD$3,Touchpoints!$A:$C,3,FALSE)=0,"",VLOOKUP(DD$3,Touchpoints!$A:$C,3,FALSE)))),"")</f>
        <v/>
      </c>
      <c r="DE1" s="2" t="str">
        <f>IFERROR(IF(DE$3 = 1, Touchpoints!$C$2,IF(VLOOKUP(DE$3,Touchpoints!$A:$C,3,FALSE)=VLOOKUP(DD$3,Touchpoints!$A:$C,3,FALSE),"",IF(VLOOKUP(DE$3,Touchpoints!$A:$C,3,FALSE)=0,"",VLOOKUP(DE$3,Touchpoints!$A:$C,3,FALSE)))),"")</f>
        <v/>
      </c>
      <c r="DF1" s="2" t="str">
        <f>IFERROR(IF(DF$3 = 1, Touchpoints!$C$2,IF(VLOOKUP(DF$3,Touchpoints!$A:$C,3,FALSE)=VLOOKUP(DE$3,Touchpoints!$A:$C,3,FALSE),"",IF(VLOOKUP(DF$3,Touchpoints!$A:$C,3,FALSE)=0,"",VLOOKUP(DF$3,Touchpoints!$A:$C,3,FALSE)))),"")</f>
        <v/>
      </c>
      <c r="DG1" s="2" t="str">
        <f>IFERROR(IF(DG$3 = 1, Touchpoints!$C$2,IF(VLOOKUP(DG$3,Touchpoints!$A:$C,3,FALSE)=VLOOKUP(DF$3,Touchpoints!$A:$C,3,FALSE),"",IF(VLOOKUP(DG$3,Touchpoints!$A:$C,3,FALSE)=0,"",VLOOKUP(DG$3,Touchpoints!$A:$C,3,FALSE)))),"")</f>
        <v/>
      </c>
      <c r="DH1" s="2" t="str">
        <f>IFERROR(IF(DH$3 = 1, Touchpoints!$C$2,IF(VLOOKUP(DH$3,Touchpoints!$A:$C,3,FALSE)=VLOOKUP(DG$3,Touchpoints!$A:$C,3,FALSE),"",IF(VLOOKUP(DH$3,Touchpoints!$A:$C,3,FALSE)=0,"",VLOOKUP(DH$3,Touchpoints!$A:$C,3,FALSE)))),"")</f>
        <v/>
      </c>
      <c r="DI1" s="2" t="str">
        <f>IFERROR(IF(DI$3 = 1, Touchpoints!$C$2,IF(VLOOKUP(DI$3,Touchpoints!$A:$C,3,FALSE)=VLOOKUP(DH$3,Touchpoints!$A:$C,3,FALSE),"",IF(VLOOKUP(DI$3,Touchpoints!$A:$C,3,FALSE)=0,"",VLOOKUP(DI$3,Touchpoints!$A:$C,3,FALSE)))),"")</f>
        <v/>
      </c>
      <c r="DJ1" s="2" t="str">
        <f>IFERROR(IF(DJ$3 = 1, Touchpoints!$C$2,IF(VLOOKUP(DJ$3,Touchpoints!$A:$C,3,FALSE)=VLOOKUP(DI$3,Touchpoints!$A:$C,3,FALSE),"",IF(VLOOKUP(DJ$3,Touchpoints!$A:$C,3,FALSE)=0,"",VLOOKUP(DJ$3,Touchpoints!$A:$C,3,FALSE)))),"")</f>
        <v/>
      </c>
      <c r="DK1" s="2" t="str">
        <f>IFERROR(IF(DK$3 = 1, Touchpoints!$C$2,IF(VLOOKUP(DK$3,Touchpoints!$A:$C,3,FALSE)=VLOOKUP(DJ$3,Touchpoints!$A:$C,3,FALSE),"",IF(VLOOKUP(DK$3,Touchpoints!$A:$C,3,FALSE)=0,"",VLOOKUP(DK$3,Touchpoints!$A:$C,3,FALSE)))),"")</f>
        <v/>
      </c>
      <c r="DL1" s="2" t="str">
        <f>IFERROR(IF(DL$3 = 1, Touchpoints!$C$2,IF(VLOOKUP(DL$3,Touchpoints!$A:$C,3,FALSE)=VLOOKUP(DK$3,Touchpoints!$A:$C,3,FALSE),"",IF(VLOOKUP(DL$3,Touchpoints!$A:$C,3,FALSE)=0,"",VLOOKUP(DL$3,Touchpoints!$A:$C,3,FALSE)))),"")</f>
        <v/>
      </c>
      <c r="DM1" s="2" t="str">
        <f>IFERROR(IF(DM$3 = 1, Touchpoints!$C$2,IF(VLOOKUP(DM$3,Touchpoints!$A:$C,3,FALSE)=VLOOKUP(DL$3,Touchpoints!$A:$C,3,FALSE),"",IF(VLOOKUP(DM$3,Touchpoints!$A:$C,3,FALSE)=0,"",VLOOKUP(DM$3,Touchpoints!$A:$C,3,FALSE)))),"")</f>
        <v/>
      </c>
      <c r="DN1" s="2" t="str">
        <f>IFERROR(IF(DN$3 = 1, Touchpoints!$C$2,IF(VLOOKUP(DN$3,Touchpoints!$A:$C,3,FALSE)=VLOOKUP(DM$3,Touchpoints!$A:$C,3,FALSE),"",IF(VLOOKUP(DN$3,Touchpoints!$A:$C,3,FALSE)=0,"",VLOOKUP(DN$3,Touchpoints!$A:$C,3,FALSE)))),"")</f>
        <v/>
      </c>
      <c r="DO1" s="2" t="str">
        <f>IFERROR(IF(DO$3 = 1, Touchpoints!$C$2,IF(VLOOKUP(DO$3,Touchpoints!$A:$C,3,FALSE)=VLOOKUP(DN$3,Touchpoints!$A:$C,3,FALSE),"",IF(VLOOKUP(DO$3,Touchpoints!$A:$C,3,FALSE)=0,"",VLOOKUP(DO$3,Touchpoints!$A:$C,3,FALSE)))),"")</f>
        <v/>
      </c>
      <c r="DP1" s="2" t="str">
        <f>IFERROR(IF(DP$3 = 1, Touchpoints!$C$2,IF(VLOOKUP(DP$3,Touchpoints!$A:$C,3,FALSE)=VLOOKUP(DO$3,Touchpoints!$A:$C,3,FALSE),"",IF(VLOOKUP(DP$3,Touchpoints!$A:$C,3,FALSE)=0,"",VLOOKUP(DP$3,Touchpoints!$A:$C,3,FALSE)))),"")</f>
        <v/>
      </c>
      <c r="DQ1" s="2" t="str">
        <f>IFERROR(IF(DQ$3 = 1, Touchpoints!$C$2,IF(VLOOKUP(DQ$3,Touchpoints!$A:$C,3,FALSE)=VLOOKUP(DP$3,Touchpoints!$A:$C,3,FALSE),"",IF(VLOOKUP(DQ$3,Touchpoints!$A:$C,3,FALSE)=0,"",VLOOKUP(DQ$3,Touchpoints!$A:$C,3,FALSE)))),"")</f>
        <v/>
      </c>
      <c r="DR1" s="2" t="str">
        <f>IFERROR(IF(DR$3 = 1, Touchpoints!$C$2,IF(VLOOKUP(DR$3,Touchpoints!$A:$C,3,FALSE)=VLOOKUP(DQ$3,Touchpoints!$A:$C,3,FALSE),"",IF(VLOOKUP(DR$3,Touchpoints!$A:$C,3,FALSE)=0,"",VLOOKUP(DR$3,Touchpoints!$A:$C,3,FALSE)))),"")</f>
        <v/>
      </c>
      <c r="DS1" s="2" t="str">
        <f>IFERROR(IF(DS$3 = 1, Touchpoints!$C$2,IF(VLOOKUP(DS$3,Touchpoints!$A:$C,3,FALSE)=VLOOKUP(DR$3,Touchpoints!$A:$C,3,FALSE),"",IF(VLOOKUP(DS$3,Touchpoints!$A:$C,3,FALSE)=0,"",VLOOKUP(DS$3,Touchpoints!$A:$C,3,FALSE)))),"")</f>
        <v/>
      </c>
      <c r="DT1" s="2" t="str">
        <f>IFERROR(IF(DT$3 = 1, Touchpoints!$C$2,IF(VLOOKUP(DT$3,Touchpoints!$A:$C,3,FALSE)=VLOOKUP(DS$3,Touchpoints!$A:$C,3,FALSE),"",IF(VLOOKUP(DT$3,Touchpoints!$A:$C,3,FALSE)=0,"",VLOOKUP(DT$3,Touchpoints!$A:$C,3,FALSE)))),"")</f>
        <v/>
      </c>
      <c r="DU1" s="2" t="str">
        <f>IFERROR(IF(DU$3 = 1, Touchpoints!$C$2,IF(VLOOKUP(DU$3,Touchpoints!$A:$C,3,FALSE)=VLOOKUP(DT$3,Touchpoints!$A:$C,3,FALSE),"",IF(VLOOKUP(DU$3,Touchpoints!$A:$C,3,FALSE)=0,"",VLOOKUP(DU$3,Touchpoints!$A:$C,3,FALSE)))),"")</f>
        <v/>
      </c>
      <c r="DV1" s="2" t="str">
        <f>IFERROR(IF(DV$3 = 1, Touchpoints!$C$2,IF(VLOOKUP(DV$3,Touchpoints!$A:$C,3,FALSE)=VLOOKUP(DU$3,Touchpoints!$A:$C,3,FALSE),"",IF(VLOOKUP(DV$3,Touchpoints!$A:$C,3,FALSE)=0,"",VLOOKUP(DV$3,Touchpoints!$A:$C,3,FALSE)))),"")</f>
        <v/>
      </c>
      <c r="DW1" s="2" t="str">
        <f>IFERROR(IF(DW$3 = 1, Touchpoints!$C$2,IF(VLOOKUP(DW$3,Touchpoints!$A:$C,3,FALSE)=VLOOKUP(DV$3,Touchpoints!$A:$C,3,FALSE),"",IF(VLOOKUP(DW$3,Touchpoints!$A:$C,3,FALSE)=0,"",VLOOKUP(DW$3,Touchpoints!$A:$C,3,FALSE)))),"")</f>
        <v/>
      </c>
      <c r="DX1" s="2" t="str">
        <f>IFERROR(IF(DX$3 = 1, Touchpoints!$C$2,IF(VLOOKUP(DX$3,Touchpoints!$A:$C,3,FALSE)=VLOOKUP(DW$3,Touchpoints!$A:$C,3,FALSE),"",IF(VLOOKUP(DX$3,Touchpoints!$A:$C,3,FALSE)=0,"",VLOOKUP(DX$3,Touchpoints!$A:$C,3,FALSE)))),"")</f>
        <v/>
      </c>
      <c r="DY1" s="2" t="str">
        <f>IFERROR(IF(DY$3 = 1, Touchpoints!$C$2,IF(VLOOKUP(DY$3,Touchpoints!$A:$C,3,FALSE)=VLOOKUP(DX$3,Touchpoints!$A:$C,3,FALSE),"",IF(VLOOKUP(DY$3,Touchpoints!$A:$C,3,FALSE)=0,"",VLOOKUP(DY$3,Touchpoints!$A:$C,3,FALSE)))),"")</f>
        <v/>
      </c>
      <c r="DZ1" s="2" t="str">
        <f>IFERROR(IF(DZ$3 = 1, Touchpoints!$C$2,IF(VLOOKUP(DZ$3,Touchpoints!$A:$C,3,FALSE)=VLOOKUP(DY$3,Touchpoints!$A:$C,3,FALSE),"",IF(VLOOKUP(DZ$3,Touchpoints!$A:$C,3,FALSE)=0,"",VLOOKUP(DZ$3,Touchpoints!$A:$C,3,FALSE)))),"")</f>
        <v/>
      </c>
      <c r="EA1" s="2" t="str">
        <f>IFERROR(IF(EA$3 = 1, Touchpoints!$C$2,IF(VLOOKUP(EA$3,Touchpoints!$A:$C,3,FALSE)=VLOOKUP(DZ$3,Touchpoints!$A:$C,3,FALSE),"",IF(VLOOKUP(EA$3,Touchpoints!$A:$C,3,FALSE)=0,"",VLOOKUP(EA$3,Touchpoints!$A:$C,3,FALSE)))),"")</f>
        <v/>
      </c>
      <c r="EB1" s="2" t="str">
        <f>IFERROR(IF(EB$3 = 1, Touchpoints!$C$2,IF(VLOOKUP(EB$3,Touchpoints!$A:$C,3,FALSE)=VLOOKUP(EA$3,Touchpoints!$A:$C,3,FALSE),"",IF(VLOOKUP(EB$3,Touchpoints!$A:$C,3,FALSE)=0,"",VLOOKUP(EB$3,Touchpoints!$A:$C,3,FALSE)))),"")</f>
        <v/>
      </c>
      <c r="EC1" s="2" t="str">
        <f>IFERROR(IF(EC$3 = 1, Touchpoints!$C$2,IF(VLOOKUP(EC$3,Touchpoints!$A:$C,3,FALSE)=VLOOKUP(EB$3,Touchpoints!$A:$C,3,FALSE),"",IF(VLOOKUP(EC$3,Touchpoints!$A:$C,3,FALSE)=0,"",VLOOKUP(EC$3,Touchpoints!$A:$C,3,FALSE)))),"")</f>
        <v/>
      </c>
      <c r="ED1" s="2" t="str">
        <f>IFERROR(IF(ED$3 = 1, Touchpoints!$C$2,IF(VLOOKUP(ED$3,Touchpoints!$A:$C,3,FALSE)=VLOOKUP(EC$3,Touchpoints!$A:$C,3,FALSE),"",IF(VLOOKUP(ED$3,Touchpoints!$A:$C,3,FALSE)=0,"",VLOOKUP(ED$3,Touchpoints!$A:$C,3,FALSE)))),"")</f>
        <v/>
      </c>
      <c r="EE1" s="2" t="str">
        <f>IFERROR(IF(EE$3 = 1, Touchpoints!$C$2,IF(VLOOKUP(EE$3,Touchpoints!$A:$C,3,FALSE)=VLOOKUP(ED$3,Touchpoints!$A:$C,3,FALSE),"",IF(VLOOKUP(EE$3,Touchpoints!$A:$C,3,FALSE)=0,"",VLOOKUP(EE$3,Touchpoints!$A:$C,3,FALSE)))),"")</f>
        <v/>
      </c>
      <c r="EF1" s="2" t="str">
        <f>IFERROR(IF(EF$3 = 1, Touchpoints!$C$2,IF(VLOOKUP(EF$3,Touchpoints!$A:$C,3,FALSE)=VLOOKUP(EE$3,Touchpoints!$A:$C,3,FALSE),"",IF(VLOOKUP(EF$3,Touchpoints!$A:$C,3,FALSE)=0,"",VLOOKUP(EF$3,Touchpoints!$A:$C,3,FALSE)))),"")</f>
        <v/>
      </c>
      <c r="EG1" s="2" t="str">
        <f>IFERROR(IF(EG$3 = 1, Touchpoints!$C$2,IF(VLOOKUP(EG$3,Touchpoints!$A:$C,3,FALSE)=VLOOKUP(EF$3,Touchpoints!$A:$C,3,FALSE),"",IF(VLOOKUP(EG$3,Touchpoints!$A:$C,3,FALSE)=0,"",VLOOKUP(EG$3,Touchpoints!$A:$C,3,FALSE)))),"")</f>
        <v/>
      </c>
      <c r="EH1" s="2" t="str">
        <f>IFERROR(IF(EH$3 = 1, Touchpoints!$C$2,IF(VLOOKUP(EH$3,Touchpoints!$A:$C,3,FALSE)=VLOOKUP(EG$3,Touchpoints!$A:$C,3,FALSE),"",IF(VLOOKUP(EH$3,Touchpoints!$A:$C,3,FALSE)=0,"",VLOOKUP(EH$3,Touchpoints!$A:$C,3,FALSE)))),"")</f>
        <v/>
      </c>
      <c r="EI1" s="2" t="str">
        <f>IFERROR(IF(EI$3 = 1, Touchpoints!$C$2,IF(VLOOKUP(EI$3,Touchpoints!$A:$C,3,FALSE)=VLOOKUP(EH$3,Touchpoints!$A:$C,3,FALSE),"",IF(VLOOKUP(EI$3,Touchpoints!$A:$C,3,FALSE)=0,"",VLOOKUP(EI$3,Touchpoints!$A:$C,3,FALSE)))),"")</f>
        <v/>
      </c>
      <c r="EJ1" s="2" t="str">
        <f>IFERROR(IF(EJ$3 = 1, Touchpoints!$C$2,IF(VLOOKUP(EJ$3,Touchpoints!$A:$C,3,FALSE)=VLOOKUP(EI$3,Touchpoints!$A:$C,3,FALSE),"",IF(VLOOKUP(EJ$3,Touchpoints!$A:$C,3,FALSE)=0,"",VLOOKUP(EJ$3,Touchpoints!$A:$C,3,FALSE)))),"")</f>
        <v/>
      </c>
      <c r="EK1" s="2" t="str">
        <f>IFERROR(IF(EK$3 = 1, Touchpoints!$C$2,IF(VLOOKUP(EK$3,Touchpoints!$A:$C,3,FALSE)=VLOOKUP(EJ$3,Touchpoints!$A:$C,3,FALSE),"",IF(VLOOKUP(EK$3,Touchpoints!$A:$C,3,FALSE)=0,"",VLOOKUP(EK$3,Touchpoints!$A:$C,3,FALSE)))),"")</f>
        <v/>
      </c>
      <c r="EL1" s="2" t="str">
        <f>IFERROR(IF(EL$3 = 1, Touchpoints!$C$2,IF(VLOOKUP(EL$3,Touchpoints!$A:$C,3,FALSE)=VLOOKUP(EK$3,Touchpoints!$A:$C,3,FALSE),"",IF(VLOOKUP(EL$3,Touchpoints!$A:$C,3,FALSE)=0,"",VLOOKUP(EL$3,Touchpoints!$A:$C,3,FALSE)))),"")</f>
        <v/>
      </c>
      <c r="EM1" s="2" t="str">
        <f>IFERROR(IF(EM$3 = 1, Touchpoints!$C$2,IF(VLOOKUP(EM$3,Touchpoints!$A:$C,3,FALSE)=VLOOKUP(EL$3,Touchpoints!$A:$C,3,FALSE),"",IF(VLOOKUP(EM$3,Touchpoints!$A:$C,3,FALSE)=0,"",VLOOKUP(EM$3,Touchpoints!$A:$C,3,FALSE)))),"")</f>
        <v/>
      </c>
      <c r="EN1" s="2" t="str">
        <f>IFERROR(IF(EN$3 = 1, Touchpoints!$C$2,IF(VLOOKUP(EN$3,Touchpoints!$A:$C,3,FALSE)=VLOOKUP(EM$3,Touchpoints!$A:$C,3,FALSE),"",IF(VLOOKUP(EN$3,Touchpoints!$A:$C,3,FALSE)=0,"",VLOOKUP(EN$3,Touchpoints!$A:$C,3,FALSE)))),"")</f>
        <v/>
      </c>
      <c r="EO1" s="2" t="str">
        <f>IFERROR(IF(EO$3 = 1, Touchpoints!$C$2,IF(VLOOKUP(EO$3,Touchpoints!$A:$C,3,FALSE)=VLOOKUP(EN$3,Touchpoints!$A:$C,3,FALSE),"",IF(VLOOKUP(EO$3,Touchpoints!$A:$C,3,FALSE)=0,"",VLOOKUP(EO$3,Touchpoints!$A:$C,3,FALSE)))),"")</f>
        <v/>
      </c>
      <c r="EP1" s="2" t="str">
        <f>IFERROR(IF(EP$3 = 1, Touchpoints!$C$2,IF(VLOOKUP(EP$3,Touchpoints!$A:$C,3,FALSE)=VLOOKUP(EO$3,Touchpoints!$A:$C,3,FALSE),"",IF(VLOOKUP(EP$3,Touchpoints!$A:$C,3,FALSE)=0,"",VLOOKUP(EP$3,Touchpoints!$A:$C,3,FALSE)))),"")</f>
        <v/>
      </c>
      <c r="EQ1" s="2" t="str">
        <f>IFERROR(IF(EQ$3 = 1, Touchpoints!$C$2,IF(VLOOKUP(EQ$3,Touchpoints!$A:$C,3,FALSE)=VLOOKUP(EP$3,Touchpoints!$A:$C,3,FALSE),"",IF(VLOOKUP(EQ$3,Touchpoints!$A:$C,3,FALSE)=0,"",VLOOKUP(EQ$3,Touchpoints!$A:$C,3,FALSE)))),"")</f>
        <v/>
      </c>
      <c r="ER1" s="2" t="str">
        <f>IFERROR(IF(ER$3 = 1, Touchpoints!$C$2,IF(VLOOKUP(ER$3,Touchpoints!$A:$C,3,FALSE)=VLOOKUP(EQ$3,Touchpoints!$A:$C,3,FALSE),"",IF(VLOOKUP(ER$3,Touchpoints!$A:$C,3,FALSE)=0,"",VLOOKUP(ER$3,Touchpoints!$A:$C,3,FALSE)))),"")</f>
        <v/>
      </c>
      <c r="ES1" s="2" t="str">
        <f>IFERROR(IF(ES$3 = 1, Touchpoints!$C$2,IF(VLOOKUP(ES$3,Touchpoints!$A:$C,3,FALSE)=VLOOKUP(ER$3,Touchpoints!$A:$C,3,FALSE),"",IF(VLOOKUP(ES$3,Touchpoints!$A:$C,3,FALSE)=0,"",VLOOKUP(ES$3,Touchpoints!$A:$C,3,FALSE)))),"")</f>
        <v/>
      </c>
      <c r="ET1" s="2" t="str">
        <f>IFERROR(IF(ET$3 = 1, Touchpoints!$C$2,IF(VLOOKUP(ET$3,Touchpoints!$A:$C,3,FALSE)=VLOOKUP(ES$3,Touchpoints!$A:$C,3,FALSE),"",IF(VLOOKUP(ET$3,Touchpoints!$A:$C,3,FALSE)=0,"",VLOOKUP(ET$3,Touchpoints!$A:$C,3,FALSE)))),"")</f>
        <v/>
      </c>
      <c r="EU1" s="2" t="str">
        <f>IFERROR(IF(EU$3 = 1, Touchpoints!$C$2,IF(VLOOKUP(EU$3,Touchpoints!$A:$C,3,FALSE)=VLOOKUP(ET$3,Touchpoints!$A:$C,3,FALSE),"",IF(VLOOKUP(EU$3,Touchpoints!$A:$C,3,FALSE)=0,"",VLOOKUP(EU$3,Touchpoints!$A:$C,3,FALSE)))),"")</f>
        <v/>
      </c>
      <c r="EV1" s="2" t="str">
        <f>IFERROR(IF(EV$3 = 1, Touchpoints!$C$2,IF(VLOOKUP(EV$3,Touchpoints!$A:$C,3,FALSE)=VLOOKUP(EU$3,Touchpoints!$A:$C,3,FALSE),"",IF(VLOOKUP(EV$3,Touchpoints!$A:$C,3,FALSE)=0,"",VLOOKUP(EV$3,Touchpoints!$A:$C,3,FALSE)))),"")</f>
        <v/>
      </c>
      <c r="EW1" s="2" t="str">
        <f>IFERROR(IF(EW$3 = 1, Touchpoints!$C$2,IF(VLOOKUP(EW$3,Touchpoints!$A:$C,3,FALSE)=VLOOKUP(EV$3,Touchpoints!$A:$C,3,FALSE),"",IF(VLOOKUP(EW$3,Touchpoints!$A:$C,3,FALSE)=0,"",VLOOKUP(EW$3,Touchpoints!$A:$C,3,FALSE)))),"")</f>
        <v/>
      </c>
      <c r="EX1" s="2" t="str">
        <f>IFERROR(IF(EX$3 = 1, Touchpoints!$C$2,IF(VLOOKUP(EX$3,Touchpoints!$A:$C,3,FALSE)=VLOOKUP(EW$3,Touchpoints!$A:$C,3,FALSE),"",IF(VLOOKUP(EX$3,Touchpoints!$A:$C,3,FALSE)=0,"",VLOOKUP(EX$3,Touchpoints!$A:$C,3,FALSE)))),"")</f>
        <v/>
      </c>
      <c r="EY1" s="2" t="str">
        <f>IFERROR(IF(EY$3 = 1, Touchpoints!$C$2,IF(VLOOKUP(EY$3,Touchpoints!$A:$C,3,FALSE)=VLOOKUP(EX$3,Touchpoints!$A:$C,3,FALSE),"",IF(VLOOKUP(EY$3,Touchpoints!$A:$C,3,FALSE)=0,"",VLOOKUP(EY$3,Touchpoints!$A:$C,3,FALSE)))),"")</f>
        <v/>
      </c>
      <c r="EZ1" s="2" t="str">
        <f>IFERROR(IF(EZ$3 = 1, Touchpoints!$C$2,IF(VLOOKUP(EZ$3,Touchpoints!$A:$C,3,FALSE)=VLOOKUP(EY$3,Touchpoints!$A:$C,3,FALSE),"",IF(VLOOKUP(EZ$3,Touchpoints!$A:$C,3,FALSE)=0,"",VLOOKUP(EZ$3,Touchpoints!$A:$C,3,FALSE)))),"")</f>
        <v/>
      </c>
      <c r="FA1" s="2" t="str">
        <f>IFERROR(IF(FA$3 = 1, Touchpoints!$C$2,IF(VLOOKUP(FA$3,Touchpoints!$A:$C,3,FALSE)=VLOOKUP(EZ$3,Touchpoints!$A:$C,3,FALSE),"",IF(VLOOKUP(FA$3,Touchpoints!$A:$C,3,FALSE)=0,"",VLOOKUP(FA$3,Touchpoints!$A:$C,3,FALSE)))),"")</f>
        <v/>
      </c>
      <c r="FB1" s="2" t="str">
        <f>IFERROR(IF(FB$3 = 1, Touchpoints!$C$2,IF(VLOOKUP(FB$3,Touchpoints!$A:$C,3,FALSE)=VLOOKUP(FA$3,Touchpoints!$A:$C,3,FALSE),"",IF(VLOOKUP(FB$3,Touchpoints!$A:$C,3,FALSE)=0,"",VLOOKUP(FB$3,Touchpoints!$A:$C,3,FALSE)))),"")</f>
        <v/>
      </c>
      <c r="FC1" s="2" t="str">
        <f>IFERROR(IF(FC$3 = 1, Touchpoints!$C$2,IF(VLOOKUP(FC$3,Touchpoints!$A:$C,3,FALSE)=VLOOKUP(FB$3,Touchpoints!$A:$C,3,FALSE),"",IF(VLOOKUP(FC$3,Touchpoints!$A:$C,3,FALSE)=0,"",VLOOKUP(FC$3,Touchpoints!$A:$C,3,FALSE)))),"")</f>
        <v/>
      </c>
      <c r="FD1" s="2" t="str">
        <f>IFERROR(IF(FD$3 = 1, Touchpoints!$C$2,IF(VLOOKUP(FD$3,Touchpoints!$A:$C,3,FALSE)=VLOOKUP(FC$3,Touchpoints!$A:$C,3,FALSE),"",IF(VLOOKUP(FD$3,Touchpoints!$A:$C,3,FALSE)=0,"",VLOOKUP(FD$3,Touchpoints!$A:$C,3,FALSE)))),"")</f>
        <v/>
      </c>
      <c r="FE1" s="2" t="str">
        <f>IFERROR(IF(FE$3 = 1, Touchpoints!$C$2,IF(VLOOKUP(FE$3,Touchpoints!$A:$C,3,FALSE)=VLOOKUP(FD$3,Touchpoints!$A:$C,3,FALSE),"",IF(VLOOKUP(FE$3,Touchpoints!$A:$C,3,FALSE)=0,"",VLOOKUP(FE$3,Touchpoints!$A:$C,3,FALSE)))),"")</f>
        <v/>
      </c>
      <c r="FF1" s="2" t="str">
        <f>IFERROR(IF(FF$3 = 1, Touchpoints!$C$2,IF(VLOOKUP(FF$3,Touchpoints!$A:$C,3,FALSE)=VLOOKUP(FE$3,Touchpoints!$A:$C,3,FALSE),"",IF(VLOOKUP(FF$3,Touchpoints!$A:$C,3,FALSE)=0,"",VLOOKUP(FF$3,Touchpoints!$A:$C,3,FALSE)))),"")</f>
        <v/>
      </c>
      <c r="FG1" s="2" t="str">
        <f>IFERROR(IF(FG$3 = 1, Touchpoints!$C$2,IF(VLOOKUP(FG$3,Touchpoints!$A:$C,3,FALSE)=VLOOKUP(FF$3,Touchpoints!$A:$C,3,FALSE),"",IF(VLOOKUP(FG$3,Touchpoints!$A:$C,3,FALSE)=0,"",VLOOKUP(FG$3,Touchpoints!$A:$C,3,FALSE)))),"")</f>
        <v/>
      </c>
      <c r="FH1" s="2" t="str">
        <f>IFERROR(IF(FH$3 = 1, Touchpoints!$C$2,IF(VLOOKUP(FH$3,Touchpoints!$A:$C,3,FALSE)=VLOOKUP(FG$3,Touchpoints!$A:$C,3,FALSE),"",IF(VLOOKUP(FH$3,Touchpoints!$A:$C,3,FALSE)=0,"",VLOOKUP(FH$3,Touchpoints!$A:$C,3,FALSE)))),"")</f>
        <v/>
      </c>
      <c r="FI1" s="2" t="str">
        <f>IFERROR(IF(FI$3 = 1, Touchpoints!$C$2,IF(VLOOKUP(FI$3,Touchpoints!$A:$C,3,FALSE)=VLOOKUP(FH$3,Touchpoints!$A:$C,3,FALSE),"",IF(VLOOKUP(FI$3,Touchpoints!$A:$C,3,FALSE)=0,"",VLOOKUP(FI$3,Touchpoints!$A:$C,3,FALSE)))),"")</f>
        <v/>
      </c>
      <c r="FJ1" s="2" t="str">
        <f>IFERROR(IF(FJ$3 = 1, Touchpoints!$C$2,IF(VLOOKUP(FJ$3,Touchpoints!$A:$C,3,FALSE)=VLOOKUP(FI$3,Touchpoints!$A:$C,3,FALSE),"",IF(VLOOKUP(FJ$3,Touchpoints!$A:$C,3,FALSE)=0,"",VLOOKUP(FJ$3,Touchpoints!$A:$C,3,FALSE)))),"")</f>
        <v/>
      </c>
      <c r="FK1" s="2" t="str">
        <f>IFERROR(IF(FK$3 = 1, Touchpoints!$C$2,IF(VLOOKUP(FK$3,Touchpoints!$A:$C,3,FALSE)=VLOOKUP(FJ$3,Touchpoints!$A:$C,3,FALSE),"",IF(VLOOKUP(FK$3,Touchpoints!$A:$C,3,FALSE)=0,"",VLOOKUP(FK$3,Touchpoints!$A:$C,3,FALSE)))),"")</f>
        <v/>
      </c>
      <c r="FL1" s="2" t="str">
        <f>IFERROR(IF(FL$3 = 1, Touchpoints!$C$2,IF(VLOOKUP(FL$3,Touchpoints!$A:$C,3,FALSE)=VLOOKUP(FK$3,Touchpoints!$A:$C,3,FALSE),"",IF(VLOOKUP(FL$3,Touchpoints!$A:$C,3,FALSE)=0,"",VLOOKUP(FL$3,Touchpoints!$A:$C,3,FALSE)))),"")</f>
        <v/>
      </c>
      <c r="FM1" s="2" t="str">
        <f>IFERROR(IF(FM$3 = 1, Touchpoints!$C$2,IF(VLOOKUP(FM$3,Touchpoints!$A:$C,3,FALSE)=VLOOKUP(FL$3,Touchpoints!$A:$C,3,FALSE),"",IF(VLOOKUP(FM$3,Touchpoints!$A:$C,3,FALSE)=0,"",VLOOKUP(FM$3,Touchpoints!$A:$C,3,FALSE)))),"")</f>
        <v/>
      </c>
      <c r="FN1" s="2" t="str">
        <f>IFERROR(IF(FN$3 = 1, Touchpoints!$C$2,IF(VLOOKUP(FN$3,Touchpoints!$A:$C,3,FALSE)=VLOOKUP(FM$3,Touchpoints!$A:$C,3,FALSE),"",IF(VLOOKUP(FN$3,Touchpoints!$A:$C,3,FALSE)=0,"",VLOOKUP(FN$3,Touchpoints!$A:$C,3,FALSE)))),"")</f>
        <v/>
      </c>
      <c r="FO1" s="2" t="str">
        <f>IFERROR(IF(FO$3 = 1, Touchpoints!$C$2,IF(VLOOKUP(FO$3,Touchpoints!$A:$C,3,FALSE)=VLOOKUP(FN$3,Touchpoints!$A:$C,3,FALSE),"",IF(VLOOKUP(FO$3,Touchpoints!$A:$C,3,FALSE)=0,"",VLOOKUP(FO$3,Touchpoints!$A:$C,3,FALSE)))),"")</f>
        <v/>
      </c>
      <c r="FP1" s="2" t="str">
        <f>IFERROR(IF(FP$3 = 1, Touchpoints!$C$2,IF(VLOOKUP(FP$3,Touchpoints!$A:$C,3,FALSE)=VLOOKUP(FO$3,Touchpoints!$A:$C,3,FALSE),"",IF(VLOOKUP(FP$3,Touchpoints!$A:$C,3,FALSE)=0,"",VLOOKUP(FP$3,Touchpoints!$A:$C,3,FALSE)))),"")</f>
        <v/>
      </c>
      <c r="FQ1" s="2" t="str">
        <f>IFERROR(IF(FQ$3 = 1, Touchpoints!$C$2,IF(VLOOKUP(FQ$3,Touchpoints!$A:$C,3,FALSE)=VLOOKUP(FP$3,Touchpoints!$A:$C,3,FALSE),"",IF(VLOOKUP(FQ$3,Touchpoints!$A:$C,3,FALSE)=0,"",VLOOKUP(FQ$3,Touchpoints!$A:$C,3,FALSE)))),"")</f>
        <v/>
      </c>
      <c r="FR1" s="2" t="str">
        <f>IFERROR(IF(FR$3 = 1, Touchpoints!$C$2,IF(VLOOKUP(FR$3,Touchpoints!$A:$C,3,FALSE)=VLOOKUP(FQ$3,Touchpoints!$A:$C,3,FALSE),"",IF(VLOOKUP(FR$3,Touchpoints!$A:$C,3,FALSE)=0,"",VLOOKUP(FR$3,Touchpoints!$A:$C,3,FALSE)))),"")</f>
        <v/>
      </c>
      <c r="FS1" s="2" t="str">
        <f>IFERROR(IF(FS$3 = 1, Touchpoints!$C$2,IF(VLOOKUP(FS$3,Touchpoints!$A:$C,3,FALSE)=VLOOKUP(FR$3,Touchpoints!$A:$C,3,FALSE),"",IF(VLOOKUP(FS$3,Touchpoints!$A:$C,3,FALSE)=0,"",VLOOKUP(FS$3,Touchpoints!$A:$C,3,FALSE)))),"")</f>
        <v/>
      </c>
      <c r="FT1" s="2" t="str">
        <f>IFERROR(IF(FT$3 = 1, Touchpoints!$C$2,IF(VLOOKUP(FT$3,Touchpoints!$A:$C,3,FALSE)=VLOOKUP(FS$3,Touchpoints!$A:$C,3,FALSE),"",IF(VLOOKUP(FT$3,Touchpoints!$A:$C,3,FALSE)=0,"",VLOOKUP(FT$3,Touchpoints!$A:$C,3,FALSE)))),"")</f>
        <v/>
      </c>
      <c r="FU1" s="2" t="str">
        <f>IFERROR(IF(FU$3 = 1, Touchpoints!$C$2,IF(VLOOKUP(FU$3,Touchpoints!$A:$C,3,FALSE)=VLOOKUP(FT$3,Touchpoints!$A:$C,3,FALSE),"",IF(VLOOKUP(FU$3,Touchpoints!$A:$C,3,FALSE)=0,"",VLOOKUP(FU$3,Touchpoints!$A:$C,3,FALSE)))),"")</f>
        <v/>
      </c>
      <c r="FV1" s="2" t="str">
        <f>IFERROR(IF(FV$3 = 1, Touchpoints!$C$2,IF(VLOOKUP(FV$3,Touchpoints!$A:$C,3,FALSE)=VLOOKUP(FU$3,Touchpoints!$A:$C,3,FALSE),"",IF(VLOOKUP(FV$3,Touchpoints!$A:$C,3,FALSE)=0,"",VLOOKUP(FV$3,Touchpoints!$A:$C,3,FALSE)))),"")</f>
        <v/>
      </c>
      <c r="FW1" s="2" t="str">
        <f>IFERROR(IF(FW$3 = 1, Touchpoints!$C$2,IF(VLOOKUP(FW$3,Touchpoints!$A:$C,3,FALSE)=VLOOKUP(FV$3,Touchpoints!$A:$C,3,FALSE),"",IF(VLOOKUP(FW$3,Touchpoints!$A:$C,3,FALSE)=0,"",VLOOKUP(FW$3,Touchpoints!$A:$C,3,FALSE)))),"")</f>
        <v/>
      </c>
      <c r="FX1" s="2" t="str">
        <f>IFERROR(IF(FX$3 = 1, Touchpoints!$C$2,IF(VLOOKUP(FX$3,Touchpoints!$A:$C,3,FALSE)=VLOOKUP(FW$3,Touchpoints!$A:$C,3,FALSE),"",IF(VLOOKUP(FX$3,Touchpoints!$A:$C,3,FALSE)=0,"",VLOOKUP(FX$3,Touchpoints!$A:$C,3,FALSE)))),"")</f>
        <v/>
      </c>
      <c r="FY1" s="2" t="str">
        <f>IFERROR(IF(FY$3 = 1, Touchpoints!$C$2,IF(VLOOKUP(FY$3,Touchpoints!$A:$C,3,FALSE)=VLOOKUP(FX$3,Touchpoints!$A:$C,3,FALSE),"",IF(VLOOKUP(FY$3,Touchpoints!$A:$C,3,FALSE)=0,"",VLOOKUP(FY$3,Touchpoints!$A:$C,3,FALSE)))),"")</f>
        <v/>
      </c>
      <c r="FZ1" s="2" t="str">
        <f>IFERROR(IF(FZ$3 = 1, Touchpoints!$C$2,IF(VLOOKUP(FZ$3,Touchpoints!$A:$C,3,FALSE)=VLOOKUP(FY$3,Touchpoints!$A:$C,3,FALSE),"",IF(VLOOKUP(FZ$3,Touchpoints!$A:$C,3,FALSE)=0,"",VLOOKUP(FZ$3,Touchpoints!$A:$C,3,FALSE)))),"")</f>
        <v/>
      </c>
      <c r="GA1" s="2" t="str">
        <f>IFERROR(IF(GA$3 = 1, Touchpoints!$C$2,IF(VLOOKUP(GA$3,Touchpoints!$A:$C,3,FALSE)=VLOOKUP(FZ$3,Touchpoints!$A:$C,3,FALSE),"",IF(VLOOKUP(GA$3,Touchpoints!$A:$C,3,FALSE)=0,"",VLOOKUP(GA$3,Touchpoints!$A:$C,3,FALSE)))),"")</f>
        <v/>
      </c>
      <c r="GB1" s="2" t="str">
        <f>IFERROR(IF(GB$3 = 1, Touchpoints!$C$2,IF(VLOOKUP(GB$3,Touchpoints!$A:$C,3,FALSE)=VLOOKUP(GA$3,Touchpoints!$A:$C,3,FALSE),"",IF(VLOOKUP(GB$3,Touchpoints!$A:$C,3,FALSE)=0,"",VLOOKUP(GB$3,Touchpoints!$A:$C,3,FALSE)))),"")</f>
        <v/>
      </c>
      <c r="GC1" s="2" t="str">
        <f>IFERROR(IF(GC$3 = 1, Touchpoints!$C$2,IF(VLOOKUP(GC$3,Touchpoints!$A:$C,3,FALSE)=VLOOKUP(GB$3,Touchpoints!$A:$C,3,FALSE),"",IF(VLOOKUP(GC$3,Touchpoints!$A:$C,3,FALSE)=0,"",VLOOKUP(GC$3,Touchpoints!$A:$C,3,FALSE)))),"")</f>
        <v/>
      </c>
      <c r="GD1" s="2" t="str">
        <f>IFERROR(IF(GD$3 = 1, Touchpoints!$C$2,IF(VLOOKUP(GD$3,Touchpoints!$A:$C,3,FALSE)=VLOOKUP(GC$3,Touchpoints!$A:$C,3,FALSE),"",IF(VLOOKUP(GD$3,Touchpoints!$A:$C,3,FALSE)=0,"",VLOOKUP(GD$3,Touchpoints!$A:$C,3,FALSE)))),"")</f>
        <v/>
      </c>
      <c r="GE1" s="2" t="str">
        <f>IFERROR(IF(GE$3 = 1, Touchpoints!$C$2,IF(VLOOKUP(GE$3,Touchpoints!$A:$C,3,FALSE)=VLOOKUP(GD$3,Touchpoints!$A:$C,3,FALSE),"",IF(VLOOKUP(GE$3,Touchpoints!$A:$C,3,FALSE)=0,"",VLOOKUP(GE$3,Touchpoints!$A:$C,3,FALSE)))),"")</f>
        <v/>
      </c>
      <c r="GF1" s="2" t="str">
        <f>IFERROR(IF(GF$3 = 1, Touchpoints!$C$2,IF(VLOOKUP(GF$3,Touchpoints!$A:$C,3,FALSE)=VLOOKUP(GE$3,Touchpoints!$A:$C,3,FALSE),"",IF(VLOOKUP(GF$3,Touchpoints!$A:$C,3,FALSE)=0,"",VLOOKUP(GF$3,Touchpoints!$A:$C,3,FALSE)))),"")</f>
        <v/>
      </c>
      <c r="GG1" s="2" t="str">
        <f>IFERROR(IF(GG$3 = 1, Touchpoints!$C$2,IF(VLOOKUP(GG$3,Touchpoints!$A:$C,3,FALSE)=VLOOKUP(GF$3,Touchpoints!$A:$C,3,FALSE),"",IF(VLOOKUP(GG$3,Touchpoints!$A:$C,3,FALSE)=0,"",VLOOKUP(GG$3,Touchpoints!$A:$C,3,FALSE)))),"")</f>
        <v/>
      </c>
      <c r="GH1" s="2" t="str">
        <f>IFERROR(IF(GH$3 = 1, Touchpoints!$C$2,IF(VLOOKUP(GH$3,Touchpoints!$A:$C,3,FALSE)=VLOOKUP(GG$3,Touchpoints!$A:$C,3,FALSE),"",IF(VLOOKUP(GH$3,Touchpoints!$A:$C,3,FALSE)=0,"",VLOOKUP(GH$3,Touchpoints!$A:$C,3,FALSE)))),"")</f>
        <v/>
      </c>
      <c r="GI1" s="2" t="str">
        <f>IFERROR(IF(GI$3 = 1, Touchpoints!$C$2,IF(VLOOKUP(GI$3,Touchpoints!$A:$C,3,FALSE)=VLOOKUP(GH$3,Touchpoints!$A:$C,3,FALSE),"",IF(VLOOKUP(GI$3,Touchpoints!$A:$C,3,FALSE)=0,"",VLOOKUP(GI$3,Touchpoints!$A:$C,3,FALSE)))),"")</f>
        <v/>
      </c>
      <c r="GJ1" s="2" t="str">
        <f>IFERROR(IF(GJ$3 = 1, Touchpoints!$C$2,IF(VLOOKUP(GJ$3,Touchpoints!$A:$C,3,FALSE)=VLOOKUP(GI$3,Touchpoints!$A:$C,3,FALSE),"",IF(VLOOKUP(GJ$3,Touchpoints!$A:$C,3,FALSE)=0,"",VLOOKUP(GJ$3,Touchpoints!$A:$C,3,FALSE)))),"")</f>
        <v/>
      </c>
      <c r="GK1" s="2" t="str">
        <f>IFERROR(IF(GK$3 = 1, Touchpoints!$C$2,IF(VLOOKUP(GK$3,Touchpoints!$A:$C,3,FALSE)=VLOOKUP(GJ$3,Touchpoints!$A:$C,3,FALSE),"",IF(VLOOKUP(GK$3,Touchpoints!$A:$C,3,FALSE)=0,"",VLOOKUP(GK$3,Touchpoints!$A:$C,3,FALSE)))),"")</f>
        <v/>
      </c>
      <c r="GL1" s="2" t="str">
        <f>IFERROR(IF(GL$3 = 1, Touchpoints!$C$2,IF(VLOOKUP(GL$3,Touchpoints!$A:$C,3,FALSE)=VLOOKUP(GK$3,Touchpoints!$A:$C,3,FALSE),"",IF(VLOOKUP(GL$3,Touchpoints!$A:$C,3,FALSE)=0,"",VLOOKUP(GL$3,Touchpoints!$A:$C,3,FALSE)))),"")</f>
        <v/>
      </c>
      <c r="GM1" s="2" t="str">
        <f>IFERROR(IF(GM$3 = 1, Touchpoints!$C$2,IF(VLOOKUP(GM$3,Touchpoints!$A:$C,3,FALSE)=VLOOKUP(GL$3,Touchpoints!$A:$C,3,FALSE),"",IF(VLOOKUP(GM$3,Touchpoints!$A:$C,3,FALSE)=0,"",VLOOKUP(GM$3,Touchpoints!$A:$C,3,FALSE)))),"")</f>
        <v/>
      </c>
      <c r="GN1" s="2" t="str">
        <f>IFERROR(IF(GN$3 = 1, Touchpoints!$C$2,IF(VLOOKUP(GN$3,Touchpoints!$A:$C,3,FALSE)=VLOOKUP(GM$3,Touchpoints!$A:$C,3,FALSE),"",IF(VLOOKUP(GN$3,Touchpoints!$A:$C,3,FALSE)=0,"",VLOOKUP(GN$3,Touchpoints!$A:$C,3,FALSE)))),"")</f>
        <v/>
      </c>
      <c r="GO1" s="2" t="str">
        <f>IFERROR(IF(GO$3 = 1, Touchpoints!$C$2,IF(VLOOKUP(GO$3,Touchpoints!$A:$C,3,FALSE)=VLOOKUP(GN$3,Touchpoints!$A:$C,3,FALSE),"",IF(VLOOKUP(GO$3,Touchpoints!$A:$C,3,FALSE)=0,"",VLOOKUP(GO$3,Touchpoints!$A:$C,3,FALSE)))),"")</f>
        <v/>
      </c>
      <c r="GP1" s="2" t="str">
        <f>IFERROR(IF(GP$3 = 1, Touchpoints!$C$2,IF(VLOOKUP(GP$3,Touchpoints!$A:$C,3,FALSE)=VLOOKUP(GO$3,Touchpoints!$A:$C,3,FALSE),"",IF(VLOOKUP(GP$3,Touchpoints!$A:$C,3,FALSE)=0,"",VLOOKUP(GP$3,Touchpoints!$A:$C,3,FALSE)))),"")</f>
        <v/>
      </c>
      <c r="GQ1" s="2" t="str">
        <f>IFERROR(IF(GQ$3 = 1, Touchpoints!$C$2,IF(VLOOKUP(GQ$3,Touchpoints!$A:$C,3,FALSE)=VLOOKUP(GP$3,Touchpoints!$A:$C,3,FALSE),"",IF(VLOOKUP(GQ$3,Touchpoints!$A:$C,3,FALSE)=0,"",VLOOKUP(GQ$3,Touchpoints!$A:$C,3,FALSE)))),"")</f>
        <v/>
      </c>
      <c r="GR1" s="2" t="str">
        <f>IFERROR(IF(GR$3 = 1, Touchpoints!$C$2,IF(VLOOKUP(GR$3,Touchpoints!$A:$C,3,FALSE)=VLOOKUP(GQ$3,Touchpoints!$A:$C,3,FALSE),"",IF(VLOOKUP(GR$3,Touchpoints!$A:$C,3,FALSE)=0,"",VLOOKUP(GR$3,Touchpoints!$A:$C,3,FALSE)))),"")</f>
        <v/>
      </c>
      <c r="GS1" s="2" t="str">
        <f>IFERROR(IF(GS$3 = 1, Touchpoints!$C$2,IF(VLOOKUP(GS$3,Touchpoints!$A:$C,3,FALSE)=VLOOKUP(GR$3,Touchpoints!$A:$C,3,FALSE),"",IF(VLOOKUP(GS$3,Touchpoints!$A:$C,3,FALSE)=0,"",VLOOKUP(GS$3,Touchpoints!$A:$C,3,FALSE)))),"")</f>
        <v/>
      </c>
      <c r="GT1" s="2" t="str">
        <f>IFERROR(IF(GT$3 = 1, Touchpoints!$C$2,IF(VLOOKUP(GT$3,Touchpoints!$A:$C,3,FALSE)=VLOOKUP(GS$3,Touchpoints!$A:$C,3,FALSE),"",IF(VLOOKUP(GT$3,Touchpoints!$A:$C,3,FALSE)=0,"",VLOOKUP(GT$3,Touchpoints!$A:$C,3,FALSE)))),"")</f>
        <v/>
      </c>
      <c r="GU1" s="2" t="str">
        <f>IFERROR(IF(GU$3 = 1, Touchpoints!$C$2,IF(VLOOKUP(GU$3,Touchpoints!$A:$C,3,FALSE)=VLOOKUP(GT$3,Touchpoints!$A:$C,3,FALSE),"",IF(VLOOKUP(GU$3,Touchpoints!$A:$C,3,FALSE)=0,"",VLOOKUP(GU$3,Touchpoints!$A:$C,3,FALSE)))),"")</f>
        <v/>
      </c>
      <c r="GV1" s="2" t="str">
        <f>IFERROR(IF(GV$3 = 1, Touchpoints!$C$2,IF(VLOOKUP(GV$3,Touchpoints!$A:$C,3,FALSE)=VLOOKUP(GU$3,Touchpoints!$A:$C,3,FALSE),"",IF(VLOOKUP(GV$3,Touchpoints!$A:$C,3,FALSE)=0,"",VLOOKUP(GV$3,Touchpoints!$A:$C,3,FALSE)))),"")</f>
        <v/>
      </c>
      <c r="GW1" s="2" t="str">
        <f>IFERROR(IF(GW$3 = 1, Touchpoints!$C$2,IF(VLOOKUP(GW$3,Touchpoints!$A:$C,3,FALSE)=VLOOKUP(GV$3,Touchpoints!$A:$C,3,FALSE),"",IF(VLOOKUP(GW$3,Touchpoints!$A:$C,3,FALSE)=0,"",VLOOKUP(GW$3,Touchpoints!$A:$C,3,FALSE)))),"")</f>
        <v/>
      </c>
      <c r="GX1" s="2" t="str">
        <f>IFERROR(IF(GX$3 = 1, Touchpoints!$C$2,IF(VLOOKUP(GX$3,Touchpoints!$A:$C,3,FALSE)=VLOOKUP(GW$3,Touchpoints!$A:$C,3,FALSE),"",IF(VLOOKUP(GX$3,Touchpoints!$A:$C,3,FALSE)=0,"",VLOOKUP(GX$3,Touchpoints!$A:$C,3,FALSE)))),"")</f>
        <v/>
      </c>
      <c r="GY1" s="2" t="str">
        <f>IFERROR(IF(GY$3 = 1, Touchpoints!$C$2,IF(VLOOKUP(GY$3,Touchpoints!$A:$C,3,FALSE)=VLOOKUP(GX$3,Touchpoints!$A:$C,3,FALSE),"",IF(VLOOKUP(GY$3,Touchpoints!$A:$C,3,FALSE)=0,"",VLOOKUP(GY$3,Touchpoints!$A:$C,3,FALSE)))),"")</f>
        <v/>
      </c>
      <c r="GZ1" s="2" t="str">
        <f>IFERROR(IF(GZ$3 = 1, Touchpoints!$C$2,IF(VLOOKUP(GZ$3,Touchpoints!$A:$C,3,FALSE)=VLOOKUP(GY$3,Touchpoints!$A:$C,3,FALSE),"",IF(VLOOKUP(GZ$3,Touchpoints!$A:$C,3,FALSE)=0,"",VLOOKUP(GZ$3,Touchpoints!$A:$C,3,FALSE)))),"")</f>
        <v/>
      </c>
      <c r="HA1" s="2" t="str">
        <f>IFERROR(IF(HA$3 = 1, Touchpoints!$C$2,IF(VLOOKUP(HA$3,Touchpoints!$A:$C,3,FALSE)=VLOOKUP(GZ$3,Touchpoints!$A:$C,3,FALSE),"",IF(VLOOKUP(HA$3,Touchpoints!$A:$C,3,FALSE)=0,"",VLOOKUP(HA$3,Touchpoints!$A:$C,3,FALSE)))),"")</f>
        <v/>
      </c>
      <c r="HB1" s="2" t="str">
        <f>IFERROR(IF(HB$3 = 1, Touchpoints!$C$2,IF(VLOOKUP(HB$3,Touchpoints!$A:$C,3,FALSE)=VLOOKUP(HA$3,Touchpoints!$A:$C,3,FALSE),"",IF(VLOOKUP(HB$3,Touchpoints!$A:$C,3,FALSE)=0,"",VLOOKUP(HB$3,Touchpoints!$A:$C,3,FALSE)))),"")</f>
        <v/>
      </c>
      <c r="HC1" s="2" t="str">
        <f>IFERROR(IF(HC$3 = 1, Touchpoints!$C$2,IF(VLOOKUP(HC$3,Touchpoints!$A:$C,3,FALSE)=VLOOKUP(HB$3,Touchpoints!$A:$C,3,FALSE),"",IF(VLOOKUP(HC$3,Touchpoints!$A:$C,3,FALSE)=0,"",VLOOKUP(HC$3,Touchpoints!$A:$C,3,FALSE)))),"")</f>
        <v/>
      </c>
      <c r="HD1" s="2" t="str">
        <f>IFERROR(IF(HD$3 = 1, Touchpoints!$C$2,IF(VLOOKUP(HD$3,Touchpoints!$A:$C,3,FALSE)=VLOOKUP(HC$3,Touchpoints!$A:$C,3,FALSE),"",IF(VLOOKUP(HD$3,Touchpoints!$A:$C,3,FALSE)=0,"",VLOOKUP(HD$3,Touchpoints!$A:$C,3,FALSE)))),"")</f>
        <v/>
      </c>
      <c r="HE1" s="2" t="str">
        <f>IFERROR(IF(HE$3 = 1, Touchpoints!$C$2,IF(VLOOKUP(HE$3,Touchpoints!$A:$C,3,FALSE)=VLOOKUP(HD$3,Touchpoints!$A:$C,3,FALSE),"",IF(VLOOKUP(HE$3,Touchpoints!$A:$C,3,FALSE)=0,"",VLOOKUP(HE$3,Touchpoints!$A:$C,3,FALSE)))),"")</f>
        <v/>
      </c>
      <c r="HF1" s="2" t="str">
        <f>IFERROR(IF(HF$3 = 1, Touchpoints!$C$2,IF(VLOOKUP(HF$3,Touchpoints!$A:$C,3,FALSE)=VLOOKUP(HE$3,Touchpoints!$A:$C,3,FALSE),"",IF(VLOOKUP(HF$3,Touchpoints!$A:$C,3,FALSE)=0,"",VLOOKUP(HF$3,Touchpoints!$A:$C,3,FALSE)))),"")</f>
        <v/>
      </c>
      <c r="HG1" s="2" t="str">
        <f>IFERROR(IF(HG$3 = 1, Touchpoints!$C$2,IF(VLOOKUP(HG$3,Touchpoints!$A:$C,3,FALSE)=VLOOKUP(HF$3,Touchpoints!$A:$C,3,FALSE),"",IF(VLOOKUP(HG$3,Touchpoints!$A:$C,3,FALSE)=0,"",VLOOKUP(HG$3,Touchpoints!$A:$C,3,FALSE)))),"")</f>
        <v/>
      </c>
      <c r="HH1" s="2" t="str">
        <f>IFERROR(IF(HH$3 = 1, Touchpoints!$C$2,IF(VLOOKUP(HH$3,Touchpoints!$A:$C,3,FALSE)=VLOOKUP(HG$3,Touchpoints!$A:$C,3,FALSE),"",IF(VLOOKUP(HH$3,Touchpoints!$A:$C,3,FALSE)=0,"",VLOOKUP(HH$3,Touchpoints!$A:$C,3,FALSE)))),"")</f>
        <v/>
      </c>
      <c r="HI1" s="2" t="str">
        <f>IFERROR(IF(HI$3 = 1, Touchpoints!$C$2,IF(VLOOKUP(HI$3,Touchpoints!$A:$C,3,FALSE)=VLOOKUP(HH$3,Touchpoints!$A:$C,3,FALSE),"",IF(VLOOKUP(HI$3,Touchpoints!$A:$C,3,FALSE)=0,"",VLOOKUP(HI$3,Touchpoints!$A:$C,3,FALSE)))),"")</f>
        <v/>
      </c>
      <c r="HJ1" s="2" t="str">
        <f>IFERROR(IF(HJ$3 = 1, Touchpoints!$C$2,IF(VLOOKUP(HJ$3,Touchpoints!$A:$C,3,FALSE)=VLOOKUP(HI$3,Touchpoints!$A:$C,3,FALSE),"",IF(VLOOKUP(HJ$3,Touchpoints!$A:$C,3,FALSE)=0,"",VLOOKUP(HJ$3,Touchpoints!$A:$C,3,FALSE)))),"")</f>
        <v/>
      </c>
      <c r="HK1" s="2" t="str">
        <f>IFERROR(IF(HK$3 = 1, Touchpoints!$C$2,IF(VLOOKUP(HK$3,Touchpoints!$A:$C,3,FALSE)=VLOOKUP(HJ$3,Touchpoints!$A:$C,3,FALSE),"",IF(VLOOKUP(HK$3,Touchpoints!$A:$C,3,FALSE)=0,"",VLOOKUP(HK$3,Touchpoints!$A:$C,3,FALSE)))),"")</f>
        <v/>
      </c>
      <c r="HL1" s="2" t="str">
        <f>IFERROR(IF(HL$3 = 1, Touchpoints!$C$2,IF(VLOOKUP(HL$3,Touchpoints!$A:$C,3,FALSE)=VLOOKUP(HK$3,Touchpoints!$A:$C,3,FALSE),"",IF(VLOOKUP(HL$3,Touchpoints!$A:$C,3,FALSE)=0,"",VLOOKUP(HL$3,Touchpoints!$A:$C,3,FALSE)))),"")</f>
        <v/>
      </c>
      <c r="HM1" s="2" t="str">
        <f>IFERROR(IF(HM$3 = 1, Touchpoints!$C$2,IF(VLOOKUP(HM$3,Touchpoints!$A:$C,3,FALSE)=VLOOKUP(HL$3,Touchpoints!$A:$C,3,FALSE),"",IF(VLOOKUP(HM$3,Touchpoints!$A:$C,3,FALSE)=0,"",VLOOKUP(HM$3,Touchpoints!$A:$C,3,FALSE)))),"")</f>
        <v/>
      </c>
      <c r="HN1" s="2" t="str">
        <f>IFERROR(IF(HN$3 = 1, Touchpoints!$C$2,IF(VLOOKUP(HN$3,Touchpoints!$A:$C,3,FALSE)=VLOOKUP(HM$3,Touchpoints!$A:$C,3,FALSE),"",IF(VLOOKUP(HN$3,Touchpoints!$A:$C,3,FALSE)=0,"",VLOOKUP(HN$3,Touchpoints!$A:$C,3,FALSE)))),"")</f>
        <v/>
      </c>
      <c r="HO1" s="2" t="str">
        <f>IFERROR(IF(HO$3 = 1, Touchpoints!$C$2,IF(VLOOKUP(HO$3,Touchpoints!$A:$C,3,FALSE)=VLOOKUP(HN$3,Touchpoints!$A:$C,3,FALSE),"",IF(VLOOKUP(HO$3,Touchpoints!$A:$C,3,FALSE)=0,"",VLOOKUP(HO$3,Touchpoints!$A:$C,3,FALSE)))),"")</f>
        <v/>
      </c>
      <c r="HP1" s="2" t="str">
        <f>IFERROR(IF(HP$3 = 1, Touchpoints!$C$2,IF(VLOOKUP(HP$3,Touchpoints!$A:$C,3,FALSE)=VLOOKUP(HO$3,Touchpoints!$A:$C,3,FALSE),"",IF(VLOOKUP(HP$3,Touchpoints!$A:$C,3,FALSE)=0,"",VLOOKUP(HP$3,Touchpoints!$A:$C,3,FALSE)))),"")</f>
        <v/>
      </c>
      <c r="HQ1" s="2" t="str">
        <f>IFERROR(IF(HQ$3 = 1, Touchpoints!$C$2,IF(VLOOKUP(HQ$3,Touchpoints!$A:$C,3,FALSE)=VLOOKUP(HP$3,Touchpoints!$A:$C,3,FALSE),"",IF(VLOOKUP(HQ$3,Touchpoints!$A:$C,3,FALSE)=0,"",VLOOKUP(HQ$3,Touchpoints!$A:$C,3,FALSE)))),"")</f>
        <v/>
      </c>
      <c r="HR1" s="2" t="str">
        <f>IFERROR(IF(HR$3 = 1, Touchpoints!$C$2,IF(VLOOKUP(HR$3,Touchpoints!$A:$C,3,FALSE)=VLOOKUP(HQ$3,Touchpoints!$A:$C,3,FALSE),"",IF(VLOOKUP(HR$3,Touchpoints!$A:$C,3,FALSE)=0,"",VLOOKUP(HR$3,Touchpoints!$A:$C,3,FALSE)))),"")</f>
        <v/>
      </c>
      <c r="HS1" s="2" t="str">
        <f>IFERROR(IF(HS$3 = 1, Touchpoints!$C$2,IF(VLOOKUP(HS$3,Touchpoints!$A:$C,3,FALSE)=VLOOKUP(HR$3,Touchpoints!$A:$C,3,FALSE),"",IF(VLOOKUP(HS$3,Touchpoints!$A:$C,3,FALSE)=0,"",VLOOKUP(HS$3,Touchpoints!$A:$C,3,FALSE)))),"")</f>
        <v/>
      </c>
      <c r="HT1" s="2" t="str">
        <f>IFERROR(IF(HT$3 = 1, Touchpoints!$C$2,IF(VLOOKUP(HT$3,Touchpoints!$A:$C,3,FALSE)=VLOOKUP(HS$3,Touchpoints!$A:$C,3,FALSE),"",IF(VLOOKUP(HT$3,Touchpoints!$A:$C,3,FALSE)=0,"",VLOOKUP(HT$3,Touchpoints!$A:$C,3,FALSE)))),"")</f>
        <v/>
      </c>
      <c r="HU1" s="2" t="str">
        <f>IFERROR(IF(HU$3 = 1, Touchpoints!$C$2,IF(VLOOKUP(HU$3,Touchpoints!$A:$C,3,FALSE)=VLOOKUP(HT$3,Touchpoints!$A:$C,3,FALSE),"",IF(VLOOKUP(HU$3,Touchpoints!$A:$C,3,FALSE)=0,"",VLOOKUP(HU$3,Touchpoints!$A:$C,3,FALSE)))),"")</f>
        <v/>
      </c>
      <c r="HV1" s="2" t="str">
        <f>IFERROR(IF(HV$3 = 1, Touchpoints!$C$2,IF(VLOOKUP(HV$3,Touchpoints!$A:$C,3,FALSE)=VLOOKUP(HU$3,Touchpoints!$A:$C,3,FALSE),"",IF(VLOOKUP(HV$3,Touchpoints!$A:$C,3,FALSE)=0,"",VLOOKUP(HV$3,Touchpoints!$A:$C,3,FALSE)))),"")</f>
        <v/>
      </c>
      <c r="HW1" s="2" t="str">
        <f>IFERROR(IF(HW$3 = 1, Touchpoints!$C$2,IF(VLOOKUP(HW$3,Touchpoints!$A:$C,3,FALSE)=VLOOKUP(HV$3,Touchpoints!$A:$C,3,FALSE),"",IF(VLOOKUP(HW$3,Touchpoints!$A:$C,3,FALSE)=0,"",VLOOKUP(HW$3,Touchpoints!$A:$C,3,FALSE)))),"")</f>
        <v/>
      </c>
      <c r="HX1" s="2" t="str">
        <f>IFERROR(IF(HX$3 = 1, Touchpoints!$C$2,IF(VLOOKUP(HX$3,Touchpoints!$A:$C,3,FALSE)=VLOOKUP(HW$3,Touchpoints!$A:$C,3,FALSE),"",IF(VLOOKUP(HX$3,Touchpoints!$A:$C,3,FALSE)=0,"",VLOOKUP(HX$3,Touchpoints!$A:$C,3,FALSE)))),"")</f>
        <v/>
      </c>
      <c r="HY1" s="2" t="str">
        <f>IFERROR(IF(HY$3 = 1, Touchpoints!$C$2,IF(VLOOKUP(HY$3,Touchpoints!$A:$C,3,FALSE)=VLOOKUP(HX$3,Touchpoints!$A:$C,3,FALSE),"",IF(VLOOKUP(HY$3,Touchpoints!$A:$C,3,FALSE)=0,"",VLOOKUP(HY$3,Touchpoints!$A:$C,3,FALSE)))),"")</f>
        <v/>
      </c>
      <c r="HZ1" s="2" t="str">
        <f>IFERROR(IF(HZ$3 = 1, Touchpoints!$C$2,IF(VLOOKUP(HZ$3,Touchpoints!$A:$C,3,FALSE)=VLOOKUP(HY$3,Touchpoints!$A:$C,3,FALSE),"",IF(VLOOKUP(HZ$3,Touchpoints!$A:$C,3,FALSE)=0,"",VLOOKUP(HZ$3,Touchpoints!$A:$C,3,FALSE)))),"")</f>
        <v/>
      </c>
      <c r="IA1" s="2" t="str">
        <f>IFERROR(IF(IA$3 = 1, Touchpoints!$C$2,IF(VLOOKUP(IA$3,Touchpoints!$A:$C,3,FALSE)=VLOOKUP(HZ$3,Touchpoints!$A:$C,3,FALSE),"",IF(VLOOKUP(IA$3,Touchpoints!$A:$C,3,FALSE)=0,"",VLOOKUP(IA$3,Touchpoints!$A:$C,3,FALSE)))),"")</f>
        <v/>
      </c>
      <c r="IB1" s="2" t="str">
        <f>IFERROR(IF(IB$3 = 1, Touchpoints!$C$2,IF(VLOOKUP(IB$3,Touchpoints!$A:$C,3,FALSE)=VLOOKUP(IA$3,Touchpoints!$A:$C,3,FALSE),"",IF(VLOOKUP(IB$3,Touchpoints!$A:$C,3,FALSE)=0,"",VLOOKUP(IB$3,Touchpoints!$A:$C,3,FALSE)))),"")</f>
        <v/>
      </c>
      <c r="IC1" s="2" t="str">
        <f>IFERROR(IF(IC$3 = 1, Touchpoints!$C$2,IF(VLOOKUP(IC$3,Touchpoints!$A:$C,3,FALSE)=VLOOKUP(IB$3,Touchpoints!$A:$C,3,FALSE),"",IF(VLOOKUP(IC$3,Touchpoints!$A:$C,3,FALSE)=0,"",VLOOKUP(IC$3,Touchpoints!$A:$C,3,FALSE)))),"")</f>
        <v/>
      </c>
      <c r="ID1" s="2" t="str">
        <f>IFERROR(IF(ID$3 = 1, Touchpoints!$C$2,IF(VLOOKUP(ID$3,Touchpoints!$A:$C,3,FALSE)=VLOOKUP(IC$3,Touchpoints!$A:$C,3,FALSE),"",IF(VLOOKUP(ID$3,Touchpoints!$A:$C,3,FALSE)=0,"",VLOOKUP(ID$3,Touchpoints!$A:$C,3,FALSE)))),"")</f>
        <v/>
      </c>
      <c r="IE1" s="2" t="str">
        <f>IFERROR(IF(IE$3 = 1, Touchpoints!$C$2,IF(VLOOKUP(IE$3,Touchpoints!$A:$C,3,FALSE)=VLOOKUP(ID$3,Touchpoints!$A:$C,3,FALSE),"",IF(VLOOKUP(IE$3,Touchpoints!$A:$C,3,FALSE)=0,"",VLOOKUP(IE$3,Touchpoints!$A:$C,3,FALSE)))),"")</f>
        <v/>
      </c>
      <c r="IF1" s="2" t="str">
        <f>IFERROR(IF(IF$3 = 1, Touchpoints!$C$2,IF(VLOOKUP(IF$3,Touchpoints!$A:$C,3,FALSE)=VLOOKUP(IE$3,Touchpoints!$A:$C,3,FALSE),"",IF(VLOOKUP(IF$3,Touchpoints!$A:$C,3,FALSE)=0,"",VLOOKUP(IF$3,Touchpoints!$A:$C,3,FALSE)))),"")</f>
        <v/>
      </c>
      <c r="IG1" s="2" t="str">
        <f>IFERROR(IF(IG$3 = 1, Touchpoints!$C$2,IF(VLOOKUP(IG$3,Touchpoints!$A:$C,3,FALSE)=VLOOKUP(IF$3,Touchpoints!$A:$C,3,FALSE),"",IF(VLOOKUP(IG$3,Touchpoints!$A:$C,3,FALSE)=0,"",VLOOKUP(IG$3,Touchpoints!$A:$C,3,FALSE)))),"")</f>
        <v/>
      </c>
      <c r="IH1" s="2" t="str">
        <f>IFERROR(IF(IH$3 = 1, Touchpoints!$C$2,IF(VLOOKUP(IH$3,Touchpoints!$A:$C,3,FALSE)=VLOOKUP(IG$3,Touchpoints!$A:$C,3,FALSE),"",IF(VLOOKUP(IH$3,Touchpoints!$A:$C,3,FALSE)=0,"",VLOOKUP(IH$3,Touchpoints!$A:$C,3,FALSE)))),"")</f>
        <v/>
      </c>
      <c r="II1" s="2" t="str">
        <f>IFERROR(IF(II$3 = 1, Touchpoints!$C$2,IF(VLOOKUP(II$3,Touchpoints!$A:$C,3,FALSE)=VLOOKUP(IH$3,Touchpoints!$A:$C,3,FALSE),"",IF(VLOOKUP(II$3,Touchpoints!$A:$C,3,FALSE)=0,"",VLOOKUP(II$3,Touchpoints!$A:$C,3,FALSE)))),"")</f>
        <v/>
      </c>
      <c r="IJ1" s="2" t="str">
        <f>IFERROR(IF(IJ$3 = 1, Touchpoints!$C$2,IF(VLOOKUP(IJ$3,Touchpoints!$A:$C,3,FALSE)=VLOOKUP(II$3,Touchpoints!$A:$C,3,FALSE),"",IF(VLOOKUP(IJ$3,Touchpoints!$A:$C,3,FALSE)=0,"",VLOOKUP(IJ$3,Touchpoints!$A:$C,3,FALSE)))),"")</f>
        <v/>
      </c>
      <c r="IK1" s="2" t="str">
        <f>IFERROR(IF(IK$3 = 1, Touchpoints!$C$2,IF(VLOOKUP(IK$3,Touchpoints!$A:$C,3,FALSE)=VLOOKUP(IJ$3,Touchpoints!$A:$C,3,FALSE),"",IF(VLOOKUP(IK$3,Touchpoints!$A:$C,3,FALSE)=0,"",VLOOKUP(IK$3,Touchpoints!$A:$C,3,FALSE)))),"")</f>
        <v/>
      </c>
      <c r="IL1" s="2" t="str">
        <f>IFERROR(IF(IL$3 = 1, Touchpoints!$C$2,IF(VLOOKUP(IL$3,Touchpoints!$A:$C,3,FALSE)=VLOOKUP(IK$3,Touchpoints!$A:$C,3,FALSE),"",IF(VLOOKUP(IL$3,Touchpoints!$A:$C,3,FALSE)=0,"",VLOOKUP(IL$3,Touchpoints!$A:$C,3,FALSE)))),"")</f>
        <v/>
      </c>
      <c r="IM1" s="2" t="str">
        <f>IFERROR(IF(IM$3 = 1, Touchpoints!$C$2,IF(VLOOKUP(IM$3,Touchpoints!$A:$C,3,FALSE)=VLOOKUP(IL$3,Touchpoints!$A:$C,3,FALSE),"",IF(VLOOKUP(IM$3,Touchpoints!$A:$C,3,FALSE)=0,"",VLOOKUP(IM$3,Touchpoints!$A:$C,3,FALSE)))),"")</f>
        <v/>
      </c>
      <c r="IN1" s="2" t="str">
        <f>IFERROR(IF(IN$3 = 1, Touchpoints!$C$2,IF(VLOOKUP(IN$3,Touchpoints!$A:$C,3,FALSE)=VLOOKUP(IM$3,Touchpoints!$A:$C,3,FALSE),"",IF(VLOOKUP(IN$3,Touchpoints!$A:$C,3,FALSE)=0,"",VLOOKUP(IN$3,Touchpoints!$A:$C,3,FALSE)))),"")</f>
        <v/>
      </c>
      <c r="IO1" s="2" t="str">
        <f>IFERROR(IF(IO$3 = 1, Touchpoints!$C$2,IF(VLOOKUP(IO$3,Touchpoints!$A:$C,3,FALSE)=VLOOKUP(IN$3,Touchpoints!$A:$C,3,FALSE),"",IF(VLOOKUP(IO$3,Touchpoints!$A:$C,3,FALSE)=0,"",VLOOKUP(IO$3,Touchpoints!$A:$C,3,FALSE)))),"")</f>
        <v/>
      </c>
      <c r="IP1" s="2" t="str">
        <f>IFERROR(IF(IP$3 = 1, Touchpoints!$C$2,IF(VLOOKUP(IP$3,Touchpoints!$A:$C,3,FALSE)=VLOOKUP(IO$3,Touchpoints!$A:$C,3,FALSE),"",IF(VLOOKUP(IP$3,Touchpoints!$A:$C,3,FALSE)=0,"",VLOOKUP(IP$3,Touchpoints!$A:$C,3,FALSE)))),"")</f>
        <v/>
      </c>
      <c r="IQ1" s="2" t="str">
        <f>IFERROR(IF(IQ$3 = 1, Touchpoints!$C$2,IF(VLOOKUP(IQ$3,Touchpoints!$A:$C,3,FALSE)=VLOOKUP(IP$3,Touchpoints!$A:$C,3,FALSE),"",IF(VLOOKUP(IQ$3,Touchpoints!$A:$C,3,FALSE)=0,"",VLOOKUP(IQ$3,Touchpoints!$A:$C,3,FALSE)))),"")</f>
        <v/>
      </c>
      <c r="IR1" s="2" t="str">
        <f>IFERROR(IF(IR$3 = 1, Touchpoints!$C$2,IF(VLOOKUP(IR$3,Touchpoints!$A:$C,3,FALSE)=VLOOKUP(IQ$3,Touchpoints!$A:$C,3,FALSE),"",IF(VLOOKUP(IR$3,Touchpoints!$A:$C,3,FALSE)=0,"",VLOOKUP(IR$3,Touchpoints!$A:$C,3,FALSE)))),"")</f>
        <v/>
      </c>
      <c r="IS1" s="2" t="str">
        <f>IFERROR(IF(IS$3 = 1, Touchpoints!$C$2,IF(VLOOKUP(IS$3,Touchpoints!$A:$C,3,FALSE)=VLOOKUP(IR$3,Touchpoints!$A:$C,3,FALSE),"",IF(VLOOKUP(IS$3,Touchpoints!$A:$C,3,FALSE)=0,"",VLOOKUP(IS$3,Touchpoints!$A:$C,3,FALSE)))),"")</f>
        <v/>
      </c>
      <c r="IT1" s="2" t="str">
        <f>IFERROR(IF(IT$3 = 1, Touchpoints!$C$2,IF(VLOOKUP(IT$3,Touchpoints!$A:$C,3,FALSE)=VLOOKUP(IS$3,Touchpoints!$A:$C,3,FALSE),"",IF(VLOOKUP(IT$3,Touchpoints!$A:$C,3,FALSE)=0,"",VLOOKUP(IT$3,Touchpoints!$A:$C,3,FALSE)))),"")</f>
        <v/>
      </c>
      <c r="IU1" s="2" t="str">
        <f>IFERROR(IF(IU$3 = 1, Touchpoints!$C$2,IF(VLOOKUP(IU$3,Touchpoints!$A:$C,3,FALSE)=VLOOKUP(IT$3,Touchpoints!$A:$C,3,FALSE),"",IF(VLOOKUP(IU$3,Touchpoints!$A:$C,3,FALSE)=0,"",VLOOKUP(IU$3,Touchpoints!$A:$C,3,FALSE)))),"")</f>
        <v/>
      </c>
      <c r="IV1" s="2" t="str">
        <f>IFERROR(IF(IV$3 = 1, Touchpoints!$C$2,IF(VLOOKUP(IV$3,Touchpoints!$A:$C,3,FALSE)=VLOOKUP(IU$3,Touchpoints!$A:$C,3,FALSE),"",IF(VLOOKUP(IV$3,Touchpoints!$A:$C,3,FALSE)=0,"",VLOOKUP(IV$3,Touchpoints!$A:$C,3,FALSE)))),"")</f>
        <v/>
      </c>
      <c r="IW1" s="2" t="str">
        <f>IFERROR(IF(IW$3 = 1, Touchpoints!$C$2,IF(VLOOKUP(IW$3,Touchpoints!$A:$C,3,FALSE)=VLOOKUP(IV$3,Touchpoints!$A:$C,3,FALSE),"",IF(VLOOKUP(IW$3,Touchpoints!$A:$C,3,FALSE)=0,"",VLOOKUP(IW$3,Touchpoints!$A:$C,3,FALSE)))),"")</f>
        <v/>
      </c>
      <c r="IX1" s="2" t="str">
        <f>IFERROR(IF(IX$3 = 1, Touchpoints!$C$2,IF(VLOOKUP(IX$3,Touchpoints!$A:$C,3,FALSE)=VLOOKUP(IW$3,Touchpoints!$A:$C,3,FALSE),"",IF(VLOOKUP(IX$3,Touchpoints!$A:$C,3,FALSE)=0,"",VLOOKUP(IX$3,Touchpoints!$A:$C,3,FALSE)))),"")</f>
        <v/>
      </c>
      <c r="IY1" s="2" t="str">
        <f>IFERROR(IF(IY$3 = 1, Touchpoints!$C$2,IF(VLOOKUP(IY$3,Touchpoints!$A:$C,3,FALSE)=VLOOKUP(IX$3,Touchpoints!$A:$C,3,FALSE),"",IF(VLOOKUP(IY$3,Touchpoints!$A:$C,3,FALSE)=0,"",VLOOKUP(IY$3,Touchpoints!$A:$C,3,FALSE)))),"")</f>
        <v/>
      </c>
      <c r="IZ1" s="2" t="str">
        <f>IFERROR(IF(IZ$3 = 1, Touchpoints!$C$2,IF(VLOOKUP(IZ$3,Touchpoints!$A:$C,3,FALSE)=VLOOKUP(IY$3,Touchpoints!$A:$C,3,FALSE),"",IF(VLOOKUP(IZ$3,Touchpoints!$A:$C,3,FALSE)=0,"",VLOOKUP(IZ$3,Touchpoints!$A:$C,3,FALSE)))),"")</f>
        <v/>
      </c>
      <c r="JA1" s="2" t="str">
        <f>IFERROR(IF(JA$3 = 1, Touchpoints!$C$2,IF(VLOOKUP(JA$3,Touchpoints!$A:$C,3,FALSE)=VLOOKUP(IZ$3,Touchpoints!$A:$C,3,FALSE),"",IF(VLOOKUP(JA$3,Touchpoints!$A:$C,3,FALSE)=0,"",VLOOKUP(JA$3,Touchpoints!$A:$C,3,FALSE)))),"")</f>
        <v/>
      </c>
      <c r="JB1" s="2" t="str">
        <f>IFERROR(IF(JB$3 = 1, Touchpoints!$C$2,IF(VLOOKUP(JB$3,Touchpoints!$A:$C,3,FALSE)=VLOOKUP(JA$3,Touchpoints!$A:$C,3,FALSE),"",IF(VLOOKUP(JB$3,Touchpoints!$A:$C,3,FALSE)=0,"",VLOOKUP(JB$3,Touchpoints!$A:$C,3,FALSE)))),"")</f>
        <v/>
      </c>
      <c r="JC1" s="2" t="str">
        <f>IFERROR(IF(JC$3 = 1, Touchpoints!$C$2,IF(VLOOKUP(JC$3,Touchpoints!$A:$C,3,FALSE)=VLOOKUP(JB$3,Touchpoints!$A:$C,3,FALSE),"",IF(VLOOKUP(JC$3,Touchpoints!$A:$C,3,FALSE)=0,"",VLOOKUP(JC$3,Touchpoints!$A:$C,3,FALSE)))),"")</f>
        <v/>
      </c>
      <c r="JD1" s="2" t="str">
        <f>IFERROR(IF(JD$3 = 1, Touchpoints!$C$2,IF(VLOOKUP(JD$3,Touchpoints!$A:$C,3,FALSE)=VLOOKUP(JC$3,Touchpoints!$A:$C,3,FALSE),"",IF(VLOOKUP(JD$3,Touchpoints!$A:$C,3,FALSE)=0,"",VLOOKUP(JD$3,Touchpoints!$A:$C,3,FALSE)))),"")</f>
        <v/>
      </c>
      <c r="JE1" s="2" t="str">
        <f>IFERROR(IF(JE$3 = 1, Touchpoints!$C$2,IF(VLOOKUP(JE$3,Touchpoints!$A:$C,3,FALSE)=VLOOKUP(JD$3,Touchpoints!$A:$C,3,FALSE),"",IF(VLOOKUP(JE$3,Touchpoints!$A:$C,3,FALSE)=0,"",VLOOKUP(JE$3,Touchpoints!$A:$C,3,FALSE)))),"")</f>
        <v/>
      </c>
      <c r="JF1" s="2" t="str">
        <f>IFERROR(IF(JF$3 = 1, Touchpoints!$C$2,IF(VLOOKUP(JF$3,Touchpoints!$A:$C,3,FALSE)=VLOOKUP(JE$3,Touchpoints!$A:$C,3,FALSE),"",IF(VLOOKUP(JF$3,Touchpoints!$A:$C,3,FALSE)=0,"",VLOOKUP(JF$3,Touchpoints!$A:$C,3,FALSE)))),"")</f>
        <v/>
      </c>
      <c r="JG1" s="2" t="str">
        <f>IFERROR(IF(JG$3 = 1, Touchpoints!$C$2,IF(VLOOKUP(JG$3,Touchpoints!$A:$C,3,FALSE)=VLOOKUP(JF$3,Touchpoints!$A:$C,3,FALSE),"",IF(VLOOKUP(JG$3,Touchpoints!$A:$C,3,FALSE)=0,"",VLOOKUP(JG$3,Touchpoints!$A:$C,3,FALSE)))),"")</f>
        <v/>
      </c>
      <c r="JH1" s="2" t="str">
        <f>IFERROR(IF(JH$3 = 1, Touchpoints!$C$2,IF(VLOOKUP(JH$3,Touchpoints!$A:$C,3,FALSE)=VLOOKUP(JG$3,Touchpoints!$A:$C,3,FALSE),"",IF(VLOOKUP(JH$3,Touchpoints!$A:$C,3,FALSE)=0,"",VLOOKUP(JH$3,Touchpoints!$A:$C,3,FALSE)))),"")</f>
        <v/>
      </c>
      <c r="JI1" s="2" t="str">
        <f>IFERROR(IF(JI$3 = 1, Touchpoints!$C$2,IF(VLOOKUP(JI$3,Touchpoints!$A:$C,3,FALSE)=VLOOKUP(JH$3,Touchpoints!$A:$C,3,FALSE),"",IF(VLOOKUP(JI$3,Touchpoints!$A:$C,3,FALSE)=0,"",VLOOKUP(JI$3,Touchpoints!$A:$C,3,FALSE)))),"")</f>
        <v/>
      </c>
      <c r="JJ1" s="2" t="str">
        <f>IFERROR(IF(JJ$3 = 1, Touchpoints!$C$2,IF(VLOOKUP(JJ$3,Touchpoints!$A:$C,3,FALSE)=VLOOKUP(JI$3,Touchpoints!$A:$C,3,FALSE),"",IF(VLOOKUP(JJ$3,Touchpoints!$A:$C,3,FALSE)=0,"",VLOOKUP(JJ$3,Touchpoints!$A:$C,3,FALSE)))),"")</f>
        <v/>
      </c>
      <c r="JK1" s="2" t="str">
        <f>IFERROR(IF(JK$3 = 1, Touchpoints!$C$2,IF(VLOOKUP(JK$3,Touchpoints!$A:$C,3,FALSE)=VLOOKUP(JJ$3,Touchpoints!$A:$C,3,FALSE),"",IF(VLOOKUP(JK$3,Touchpoints!$A:$C,3,FALSE)=0,"",VLOOKUP(JK$3,Touchpoints!$A:$C,3,FALSE)))),"")</f>
        <v/>
      </c>
      <c r="JL1" s="2" t="str">
        <f>IFERROR(IF(JL$3 = 1, Touchpoints!$C$2,IF(VLOOKUP(JL$3,Touchpoints!$A:$C,3,FALSE)=VLOOKUP(JK$3,Touchpoints!$A:$C,3,FALSE),"",IF(VLOOKUP(JL$3,Touchpoints!$A:$C,3,FALSE)=0,"",VLOOKUP(JL$3,Touchpoints!$A:$C,3,FALSE)))),"")</f>
        <v/>
      </c>
      <c r="JM1" s="2" t="str">
        <f>IFERROR(IF(JM$3 = 1, Touchpoints!$C$2,IF(VLOOKUP(JM$3,Touchpoints!$A:$C,3,FALSE)=VLOOKUP(JL$3,Touchpoints!$A:$C,3,FALSE),"",IF(VLOOKUP(JM$3,Touchpoints!$A:$C,3,FALSE)=0,"",VLOOKUP(JM$3,Touchpoints!$A:$C,3,FALSE)))),"")</f>
        <v/>
      </c>
      <c r="JN1" s="2" t="str">
        <f>IFERROR(IF(JN$3 = 1, Touchpoints!$C$2,IF(VLOOKUP(JN$3,Touchpoints!$A:$C,3,FALSE)=VLOOKUP(JM$3,Touchpoints!$A:$C,3,FALSE),"",IF(VLOOKUP(JN$3,Touchpoints!$A:$C,3,FALSE)=0,"",VLOOKUP(JN$3,Touchpoints!$A:$C,3,FALSE)))),"")</f>
        <v/>
      </c>
      <c r="JO1" s="2" t="str">
        <f>IFERROR(IF(JO$3 = 1, Touchpoints!$C$2,IF(VLOOKUP(JO$3,Touchpoints!$A:$C,3,FALSE)=VLOOKUP(JN$3,Touchpoints!$A:$C,3,FALSE),"",IF(VLOOKUP(JO$3,Touchpoints!$A:$C,3,FALSE)=0,"",VLOOKUP(JO$3,Touchpoints!$A:$C,3,FALSE)))),"")</f>
        <v/>
      </c>
      <c r="JP1" s="2" t="str">
        <f>IFERROR(IF(JP$3 = 1, Touchpoints!$C$2,IF(VLOOKUP(JP$3,Touchpoints!$A:$C,3,FALSE)=VLOOKUP(JO$3,Touchpoints!$A:$C,3,FALSE),"",IF(VLOOKUP(JP$3,Touchpoints!$A:$C,3,FALSE)=0,"",VLOOKUP(JP$3,Touchpoints!$A:$C,3,FALSE)))),"")</f>
        <v/>
      </c>
      <c r="JQ1" s="2" t="str">
        <f>IFERROR(IF(JQ$3 = 1, Touchpoints!$C$2,IF(VLOOKUP(JQ$3,Touchpoints!$A:$C,3,FALSE)=VLOOKUP(JP$3,Touchpoints!$A:$C,3,FALSE),"",IF(VLOOKUP(JQ$3,Touchpoints!$A:$C,3,FALSE)=0,"",VLOOKUP(JQ$3,Touchpoints!$A:$C,3,FALSE)))),"")</f>
        <v/>
      </c>
      <c r="JR1" s="2" t="str">
        <f>IFERROR(IF(JR$3 = 1, Touchpoints!$C$2,IF(VLOOKUP(JR$3,Touchpoints!$A:$C,3,FALSE)=VLOOKUP(JQ$3,Touchpoints!$A:$C,3,FALSE),"",IF(VLOOKUP(JR$3,Touchpoints!$A:$C,3,FALSE)=0,"",VLOOKUP(JR$3,Touchpoints!$A:$C,3,FALSE)))),"")</f>
        <v/>
      </c>
      <c r="JS1" s="2" t="str">
        <f>IFERROR(IF(JS$3 = 1, Touchpoints!$C$2,IF(VLOOKUP(JS$3,Touchpoints!$A:$C,3,FALSE)=VLOOKUP(JR$3,Touchpoints!$A:$C,3,FALSE),"",IF(VLOOKUP(JS$3,Touchpoints!$A:$C,3,FALSE)=0,"",VLOOKUP(JS$3,Touchpoints!$A:$C,3,FALSE)))),"")</f>
        <v/>
      </c>
      <c r="JT1" s="2" t="str">
        <f>IFERROR(IF(JT$3 = 1, Touchpoints!$C$2,IF(VLOOKUP(JT$3,Touchpoints!$A:$C,3,FALSE)=VLOOKUP(JS$3,Touchpoints!$A:$C,3,FALSE),"",IF(VLOOKUP(JT$3,Touchpoints!$A:$C,3,FALSE)=0,"",VLOOKUP(JT$3,Touchpoints!$A:$C,3,FALSE)))),"")</f>
        <v/>
      </c>
      <c r="JU1" s="2" t="str">
        <f>IFERROR(IF(JU$3 = 1, Touchpoints!$C$2,IF(VLOOKUP(JU$3,Touchpoints!$A:$C,3,FALSE)=VLOOKUP(JT$3,Touchpoints!$A:$C,3,FALSE),"",IF(VLOOKUP(JU$3,Touchpoints!$A:$C,3,FALSE)=0,"",VLOOKUP(JU$3,Touchpoints!$A:$C,3,FALSE)))),"")</f>
        <v/>
      </c>
      <c r="JV1" s="2" t="str">
        <f>IFERROR(IF(JV$3 = 1, Touchpoints!$C$2,IF(VLOOKUP(JV$3,Touchpoints!$A:$C,3,FALSE)=VLOOKUP(JU$3,Touchpoints!$A:$C,3,FALSE),"",IF(VLOOKUP(JV$3,Touchpoints!$A:$C,3,FALSE)=0,"",VLOOKUP(JV$3,Touchpoints!$A:$C,3,FALSE)))),"")</f>
        <v/>
      </c>
      <c r="JW1" s="2" t="str">
        <f>IFERROR(IF(JW$3 = 1, Touchpoints!$C$2,IF(VLOOKUP(JW$3,Touchpoints!$A:$C,3,FALSE)=VLOOKUP(JV$3,Touchpoints!$A:$C,3,FALSE),"",IF(VLOOKUP(JW$3,Touchpoints!$A:$C,3,FALSE)=0,"",VLOOKUP(JW$3,Touchpoints!$A:$C,3,FALSE)))),"")</f>
        <v/>
      </c>
      <c r="JX1" s="2" t="str">
        <f>IFERROR(IF(JX$3 = 1, Touchpoints!$C$2,IF(VLOOKUP(JX$3,Touchpoints!$A:$C,3,FALSE)=VLOOKUP(JW$3,Touchpoints!$A:$C,3,FALSE),"",IF(VLOOKUP(JX$3,Touchpoints!$A:$C,3,FALSE)=0,"",VLOOKUP(JX$3,Touchpoints!$A:$C,3,FALSE)))),"")</f>
        <v/>
      </c>
      <c r="JY1" s="2" t="str">
        <f>IFERROR(IF(JY$3 = 1, Touchpoints!$C$2,IF(VLOOKUP(JY$3,Touchpoints!$A:$C,3,FALSE)=VLOOKUP(JX$3,Touchpoints!$A:$C,3,FALSE),"",IF(VLOOKUP(JY$3,Touchpoints!$A:$C,3,FALSE)=0,"",VLOOKUP(JY$3,Touchpoints!$A:$C,3,FALSE)))),"")</f>
        <v/>
      </c>
      <c r="JZ1" s="2" t="str">
        <f>IFERROR(IF(JZ$3 = 1, Touchpoints!$C$2,IF(VLOOKUP(JZ$3,Touchpoints!$A:$C,3,FALSE)=VLOOKUP(JY$3,Touchpoints!$A:$C,3,FALSE),"",IF(VLOOKUP(JZ$3,Touchpoints!$A:$C,3,FALSE)=0,"",VLOOKUP(JZ$3,Touchpoints!$A:$C,3,FALSE)))),"")</f>
        <v/>
      </c>
      <c r="KA1" s="2" t="str">
        <f>IFERROR(IF(KA$3 = 1, Touchpoints!$C$2,IF(VLOOKUP(KA$3,Touchpoints!$A:$C,3,FALSE)=VLOOKUP(JZ$3,Touchpoints!$A:$C,3,FALSE),"",IF(VLOOKUP(KA$3,Touchpoints!$A:$C,3,FALSE)=0,"",VLOOKUP(KA$3,Touchpoints!$A:$C,3,FALSE)))),"")</f>
        <v/>
      </c>
      <c r="KB1" s="2" t="str">
        <f>IFERROR(IF(KB$3 = 1, Touchpoints!$C$2,IF(VLOOKUP(KB$3,Touchpoints!$A:$C,3,FALSE)=VLOOKUP(KA$3,Touchpoints!$A:$C,3,FALSE),"",IF(VLOOKUP(KB$3,Touchpoints!$A:$C,3,FALSE)=0,"",VLOOKUP(KB$3,Touchpoints!$A:$C,3,FALSE)))),"")</f>
        <v/>
      </c>
      <c r="KC1" s="2" t="str">
        <f>IFERROR(IF(KC$3 = 1, Touchpoints!$C$2,IF(VLOOKUP(KC$3,Touchpoints!$A:$C,3,FALSE)=VLOOKUP(KB$3,Touchpoints!$A:$C,3,FALSE),"",IF(VLOOKUP(KC$3,Touchpoints!$A:$C,3,FALSE)=0,"",VLOOKUP(KC$3,Touchpoints!$A:$C,3,FALSE)))),"")</f>
        <v/>
      </c>
      <c r="KD1" s="2" t="str">
        <f>IFERROR(IF(KD$3 = 1, Touchpoints!$C$2,IF(VLOOKUP(KD$3,Touchpoints!$A:$C,3,FALSE)=VLOOKUP(KC$3,Touchpoints!$A:$C,3,FALSE),"",IF(VLOOKUP(KD$3,Touchpoints!$A:$C,3,FALSE)=0,"",VLOOKUP(KD$3,Touchpoints!$A:$C,3,FALSE)))),"")</f>
        <v/>
      </c>
      <c r="KE1" s="2" t="str">
        <f>IFERROR(IF(KE$3 = 1, Touchpoints!$C$2,IF(VLOOKUP(KE$3,Touchpoints!$A:$C,3,FALSE)=VLOOKUP(KD$3,Touchpoints!$A:$C,3,FALSE),"",IF(VLOOKUP(KE$3,Touchpoints!$A:$C,3,FALSE)=0,"",VLOOKUP(KE$3,Touchpoints!$A:$C,3,FALSE)))),"")</f>
        <v/>
      </c>
      <c r="KF1" s="2" t="str">
        <f>IFERROR(IF(KF$3 = 1, Touchpoints!$C$2,IF(VLOOKUP(KF$3,Touchpoints!$A:$C,3,FALSE)=VLOOKUP(KE$3,Touchpoints!$A:$C,3,FALSE),"",IF(VLOOKUP(KF$3,Touchpoints!$A:$C,3,FALSE)=0,"",VLOOKUP(KF$3,Touchpoints!$A:$C,3,FALSE)))),"")</f>
        <v/>
      </c>
      <c r="KG1" s="2" t="str">
        <f>IFERROR(IF(KG$3 = 1, Touchpoints!$C$2,IF(VLOOKUP(KG$3,Touchpoints!$A:$C,3,FALSE)=VLOOKUP(KF$3,Touchpoints!$A:$C,3,FALSE),"",IF(VLOOKUP(KG$3,Touchpoints!$A:$C,3,FALSE)=0,"",VLOOKUP(KG$3,Touchpoints!$A:$C,3,FALSE)))),"")</f>
        <v/>
      </c>
      <c r="KH1" s="2" t="str">
        <f>IFERROR(IF(KH$3 = 1, Touchpoints!$C$2,IF(VLOOKUP(KH$3,Touchpoints!$A:$C,3,FALSE)=VLOOKUP(KG$3,Touchpoints!$A:$C,3,FALSE),"",IF(VLOOKUP(KH$3,Touchpoints!$A:$C,3,FALSE)=0,"",VLOOKUP(KH$3,Touchpoints!$A:$C,3,FALSE)))),"")</f>
        <v/>
      </c>
      <c r="KI1" s="2" t="str">
        <f>IFERROR(IF(KI$3 = 1, Touchpoints!$C$2,IF(VLOOKUP(KI$3,Touchpoints!$A:$C,3,FALSE)=VLOOKUP(KH$3,Touchpoints!$A:$C,3,FALSE),"",IF(VLOOKUP(KI$3,Touchpoints!$A:$C,3,FALSE)=0,"",VLOOKUP(KI$3,Touchpoints!$A:$C,3,FALSE)))),"")</f>
        <v/>
      </c>
      <c r="KJ1" s="2" t="str">
        <f>IFERROR(IF(KJ$3 = 1, Touchpoints!$C$2,IF(VLOOKUP(KJ$3,Touchpoints!$A:$C,3,FALSE)=VLOOKUP(KI$3,Touchpoints!$A:$C,3,FALSE),"",IF(VLOOKUP(KJ$3,Touchpoints!$A:$C,3,FALSE)=0,"",VLOOKUP(KJ$3,Touchpoints!$A:$C,3,FALSE)))),"")</f>
        <v/>
      </c>
      <c r="KK1" s="2" t="str">
        <f>IFERROR(IF(KK$3 = 1, Touchpoints!$C$2,IF(VLOOKUP(KK$3,Touchpoints!$A:$C,3,FALSE)=VLOOKUP(KJ$3,Touchpoints!$A:$C,3,FALSE),"",IF(VLOOKUP(KK$3,Touchpoints!$A:$C,3,FALSE)=0,"",VLOOKUP(KK$3,Touchpoints!$A:$C,3,FALSE)))),"")</f>
        <v/>
      </c>
      <c r="KL1" s="2" t="str">
        <f>IFERROR(IF(KL$3 = 1, Touchpoints!$C$2,IF(VLOOKUP(KL$3,Touchpoints!$A:$C,3,FALSE)=VLOOKUP(KK$3,Touchpoints!$A:$C,3,FALSE),"",IF(VLOOKUP(KL$3,Touchpoints!$A:$C,3,FALSE)=0,"",VLOOKUP(KL$3,Touchpoints!$A:$C,3,FALSE)))),"")</f>
        <v/>
      </c>
      <c r="KM1" s="2" t="str">
        <f>IFERROR(IF(KM$3 = 1, Touchpoints!$C$2,IF(VLOOKUP(KM$3,Touchpoints!$A:$C,3,FALSE)=VLOOKUP(KL$3,Touchpoints!$A:$C,3,FALSE),"",IF(VLOOKUP(KM$3,Touchpoints!$A:$C,3,FALSE)=0,"",VLOOKUP(KM$3,Touchpoints!$A:$C,3,FALSE)))),"")</f>
        <v/>
      </c>
      <c r="KN1" s="2" t="str">
        <f>IFERROR(IF(KN$3 = 1, Touchpoints!$C$2,IF(VLOOKUP(KN$3,Touchpoints!$A:$C,3,FALSE)=VLOOKUP(KM$3,Touchpoints!$A:$C,3,FALSE),"",IF(VLOOKUP(KN$3,Touchpoints!$A:$C,3,FALSE)=0,"",VLOOKUP(KN$3,Touchpoints!$A:$C,3,FALSE)))),"")</f>
        <v/>
      </c>
      <c r="KO1" s="2" t="str">
        <f>IFERROR(IF(KO$3 = 1, Touchpoints!$C$2,IF(VLOOKUP(KO$3,Touchpoints!$A:$C,3,FALSE)=VLOOKUP(KN$3,Touchpoints!$A:$C,3,FALSE),"",IF(VLOOKUP(KO$3,Touchpoints!$A:$C,3,FALSE)=0,"",VLOOKUP(KO$3,Touchpoints!$A:$C,3,FALSE)))),"")</f>
        <v/>
      </c>
      <c r="KP1" s="2" t="str">
        <f>IFERROR(IF(KP$3 = 1, Touchpoints!$C$2,IF(VLOOKUP(KP$3,Touchpoints!$A:$C,3,FALSE)=VLOOKUP(KO$3,Touchpoints!$A:$C,3,FALSE),"",IF(VLOOKUP(KP$3,Touchpoints!$A:$C,3,FALSE)=0,"",VLOOKUP(KP$3,Touchpoints!$A:$C,3,FALSE)))),"")</f>
        <v/>
      </c>
      <c r="KQ1" s="2" t="str">
        <f>IFERROR(IF(KQ$3 = 1, Touchpoints!$C$2,IF(VLOOKUP(KQ$3,Touchpoints!$A:$C,3,FALSE)=VLOOKUP(KP$3,Touchpoints!$A:$C,3,FALSE),"",IF(VLOOKUP(KQ$3,Touchpoints!$A:$C,3,FALSE)=0,"",VLOOKUP(KQ$3,Touchpoints!$A:$C,3,FALSE)))),"")</f>
        <v/>
      </c>
      <c r="KR1" s="2" t="str">
        <f>IFERROR(IF(KR$3 = 1, Touchpoints!$C$2,IF(VLOOKUP(KR$3,Touchpoints!$A:$C,3,FALSE)=VLOOKUP(KQ$3,Touchpoints!$A:$C,3,FALSE),"",IF(VLOOKUP(KR$3,Touchpoints!$A:$C,3,FALSE)=0,"",VLOOKUP(KR$3,Touchpoints!$A:$C,3,FALSE)))),"")</f>
        <v/>
      </c>
      <c r="KS1" s="2" t="str">
        <f>IFERROR(IF(KS$3 = 1, Touchpoints!$C$2,IF(VLOOKUP(KS$3,Touchpoints!$A:$C,3,FALSE)=VLOOKUP(KR$3,Touchpoints!$A:$C,3,FALSE),"",IF(VLOOKUP(KS$3,Touchpoints!$A:$C,3,FALSE)=0,"",VLOOKUP(KS$3,Touchpoints!$A:$C,3,FALSE)))),"")</f>
        <v/>
      </c>
      <c r="KT1" s="2" t="str">
        <f>IFERROR(IF(KT$3 = 1, Touchpoints!$C$2,IF(VLOOKUP(KT$3,Touchpoints!$A:$C,3,FALSE)=VLOOKUP(KS$3,Touchpoints!$A:$C,3,FALSE),"",IF(VLOOKUP(KT$3,Touchpoints!$A:$C,3,FALSE)=0,"",VLOOKUP(KT$3,Touchpoints!$A:$C,3,FALSE)))),"")</f>
        <v/>
      </c>
      <c r="KU1" s="2" t="str">
        <f>IFERROR(IF(KU$3 = 1, Touchpoints!$C$2,IF(VLOOKUP(KU$3,Touchpoints!$A:$C,3,FALSE)=VLOOKUP(KT$3,Touchpoints!$A:$C,3,FALSE),"",IF(VLOOKUP(KU$3,Touchpoints!$A:$C,3,FALSE)=0,"",VLOOKUP(KU$3,Touchpoints!$A:$C,3,FALSE)))),"")</f>
        <v/>
      </c>
      <c r="KV1" s="2" t="str">
        <f>IFERROR(IF(KV$3 = 1, Touchpoints!$C$2,IF(VLOOKUP(KV$3,Touchpoints!$A:$C,3,FALSE)=VLOOKUP(KU$3,Touchpoints!$A:$C,3,FALSE),"",IF(VLOOKUP(KV$3,Touchpoints!$A:$C,3,FALSE)=0,"",VLOOKUP(KV$3,Touchpoints!$A:$C,3,FALSE)))),"")</f>
        <v/>
      </c>
      <c r="KW1" s="2" t="str">
        <f>IFERROR(IF(KW$3 = 1, Touchpoints!$C$2,IF(VLOOKUP(KW$3,Touchpoints!$A:$C,3,FALSE)=VLOOKUP(KV$3,Touchpoints!$A:$C,3,FALSE),"",IF(VLOOKUP(KW$3,Touchpoints!$A:$C,3,FALSE)=0,"",VLOOKUP(KW$3,Touchpoints!$A:$C,3,FALSE)))),"")</f>
        <v/>
      </c>
      <c r="KX1" s="2" t="str">
        <f>IFERROR(IF(KX$3 = 1, Touchpoints!$C$2,IF(VLOOKUP(KX$3,Touchpoints!$A:$C,3,FALSE)=VLOOKUP(KW$3,Touchpoints!$A:$C,3,FALSE),"",IF(VLOOKUP(KX$3,Touchpoints!$A:$C,3,FALSE)=0,"",VLOOKUP(KX$3,Touchpoints!$A:$C,3,FALSE)))),"")</f>
        <v/>
      </c>
      <c r="KY1" s="2" t="str">
        <f>IFERROR(IF(KY$3 = 1, Touchpoints!$C$2,IF(VLOOKUP(KY$3,Touchpoints!$A:$C,3,FALSE)=VLOOKUP(KX$3,Touchpoints!$A:$C,3,FALSE),"",IF(VLOOKUP(KY$3,Touchpoints!$A:$C,3,FALSE)=0,"",VLOOKUP(KY$3,Touchpoints!$A:$C,3,FALSE)))),"")</f>
        <v/>
      </c>
      <c r="KZ1" s="2" t="str">
        <f>IFERROR(IF(KZ$3 = 1, Touchpoints!$C$2,IF(VLOOKUP(KZ$3,Touchpoints!$A:$C,3,FALSE)=VLOOKUP(KY$3,Touchpoints!$A:$C,3,FALSE),"",IF(VLOOKUP(KZ$3,Touchpoints!$A:$C,3,FALSE)=0,"",VLOOKUP(KZ$3,Touchpoints!$A:$C,3,FALSE)))),"")</f>
        <v/>
      </c>
      <c r="LA1" s="2" t="str">
        <f>IFERROR(IF(LA$3 = 1, Touchpoints!$C$2,IF(VLOOKUP(LA$3,Touchpoints!$A:$C,3,FALSE)=VLOOKUP(KZ$3,Touchpoints!$A:$C,3,FALSE),"",IF(VLOOKUP(LA$3,Touchpoints!$A:$C,3,FALSE)=0,"",VLOOKUP(LA$3,Touchpoints!$A:$C,3,FALSE)))),"")</f>
        <v/>
      </c>
      <c r="LB1" s="2" t="str">
        <f>IFERROR(IF(LB$3 = 1, Touchpoints!$C$2,IF(VLOOKUP(LB$3,Touchpoints!$A:$C,3,FALSE)=VLOOKUP(LA$3,Touchpoints!$A:$C,3,FALSE),"",IF(VLOOKUP(LB$3,Touchpoints!$A:$C,3,FALSE)=0,"",VLOOKUP(LB$3,Touchpoints!$A:$C,3,FALSE)))),"")</f>
        <v/>
      </c>
      <c r="LC1" s="2" t="str">
        <f>IFERROR(IF(LC$3 = 1, Touchpoints!$C$2,IF(VLOOKUP(LC$3,Touchpoints!$A:$C,3,FALSE)=VLOOKUP(LB$3,Touchpoints!$A:$C,3,FALSE),"",IF(VLOOKUP(LC$3,Touchpoints!$A:$C,3,FALSE)=0,"",VLOOKUP(LC$3,Touchpoints!$A:$C,3,FALSE)))),"")</f>
        <v/>
      </c>
      <c r="LD1" s="2" t="str">
        <f>IFERROR(IF(LD$3 = 1, Touchpoints!$C$2,IF(VLOOKUP(LD$3,Touchpoints!$A:$C,3,FALSE)=VLOOKUP(LC$3,Touchpoints!$A:$C,3,FALSE),"",IF(VLOOKUP(LD$3,Touchpoints!$A:$C,3,FALSE)=0,"",VLOOKUP(LD$3,Touchpoints!$A:$C,3,FALSE)))),"")</f>
        <v/>
      </c>
      <c r="LE1" s="2" t="str">
        <f>IFERROR(IF(LE$3 = 1, Touchpoints!$C$2,IF(VLOOKUP(LE$3,Touchpoints!$A:$C,3,FALSE)=VLOOKUP(LD$3,Touchpoints!$A:$C,3,FALSE),"",IF(VLOOKUP(LE$3,Touchpoints!$A:$C,3,FALSE)=0,"",VLOOKUP(LE$3,Touchpoints!$A:$C,3,FALSE)))),"")</f>
        <v/>
      </c>
      <c r="LF1" s="2" t="str">
        <f>IFERROR(IF(LF$3 = 1, Touchpoints!$C$2,IF(VLOOKUP(LF$3,Touchpoints!$A:$C,3,FALSE)=VLOOKUP(LE$3,Touchpoints!$A:$C,3,FALSE),"",IF(VLOOKUP(LF$3,Touchpoints!$A:$C,3,FALSE)=0,"",VLOOKUP(LF$3,Touchpoints!$A:$C,3,FALSE)))),"")</f>
        <v/>
      </c>
      <c r="LG1" s="2" t="str">
        <f>IFERROR(IF(LG$3 = 1, Touchpoints!$C$2,IF(VLOOKUP(LG$3,Touchpoints!$A:$C,3,FALSE)=VLOOKUP(LF$3,Touchpoints!$A:$C,3,FALSE),"",IF(VLOOKUP(LG$3,Touchpoints!$A:$C,3,FALSE)=0,"",VLOOKUP(LG$3,Touchpoints!$A:$C,3,FALSE)))),"")</f>
        <v/>
      </c>
      <c r="LH1" s="2" t="str">
        <f>IFERROR(IF(LH$3 = 1, Touchpoints!$C$2,IF(VLOOKUP(LH$3,Touchpoints!$A:$C,3,FALSE)=VLOOKUP(LG$3,Touchpoints!$A:$C,3,FALSE),"",IF(VLOOKUP(LH$3,Touchpoints!$A:$C,3,FALSE)=0,"",VLOOKUP(LH$3,Touchpoints!$A:$C,3,FALSE)))),"")</f>
        <v/>
      </c>
      <c r="LI1" s="2" t="str">
        <f>IFERROR(IF(LI$3 = 1, Touchpoints!$C$2,IF(VLOOKUP(LI$3,Touchpoints!$A:$C,3,FALSE)=VLOOKUP(LH$3,Touchpoints!$A:$C,3,FALSE),"",IF(VLOOKUP(LI$3,Touchpoints!$A:$C,3,FALSE)=0,"",VLOOKUP(LI$3,Touchpoints!$A:$C,3,FALSE)))),"")</f>
        <v/>
      </c>
      <c r="LJ1" s="2" t="str">
        <f>IFERROR(IF(LJ$3 = 1, Touchpoints!$C$2,IF(VLOOKUP(LJ$3,Touchpoints!$A:$C,3,FALSE)=VLOOKUP(LI$3,Touchpoints!$A:$C,3,FALSE),"",IF(VLOOKUP(LJ$3,Touchpoints!$A:$C,3,FALSE)=0,"",VLOOKUP(LJ$3,Touchpoints!$A:$C,3,FALSE)))),"")</f>
        <v/>
      </c>
      <c r="LK1" s="2" t="str">
        <f>IFERROR(IF(LK$3 = 1, Touchpoints!$C$2,IF(VLOOKUP(LK$3,Touchpoints!$A:$C,3,FALSE)=VLOOKUP(LJ$3,Touchpoints!$A:$C,3,FALSE),"",IF(VLOOKUP(LK$3,Touchpoints!$A:$C,3,FALSE)=0,"",VLOOKUP(LK$3,Touchpoints!$A:$C,3,FALSE)))),"")</f>
        <v/>
      </c>
      <c r="LL1" s="2" t="str">
        <f>IFERROR(IF(LL$3 = 1, Touchpoints!$C$2,IF(VLOOKUP(LL$3,Touchpoints!$A:$C,3,FALSE)=VLOOKUP(LK$3,Touchpoints!$A:$C,3,FALSE),"",IF(VLOOKUP(LL$3,Touchpoints!$A:$C,3,FALSE)=0,"",VLOOKUP(LL$3,Touchpoints!$A:$C,3,FALSE)))),"")</f>
        <v/>
      </c>
      <c r="LM1" s="2" t="str">
        <f>IFERROR(IF(LM$3 = 1, Touchpoints!$C$2,IF(VLOOKUP(LM$3,Touchpoints!$A:$C,3,FALSE)=VLOOKUP(LL$3,Touchpoints!$A:$C,3,FALSE),"",IF(VLOOKUP(LM$3,Touchpoints!$A:$C,3,FALSE)=0,"",VLOOKUP(LM$3,Touchpoints!$A:$C,3,FALSE)))),"")</f>
        <v/>
      </c>
      <c r="LN1" s="2" t="str">
        <f>IFERROR(IF(LN$3 = 1, Touchpoints!$C$2,IF(VLOOKUP(LN$3,Touchpoints!$A:$C,3,FALSE)=VLOOKUP(LM$3,Touchpoints!$A:$C,3,FALSE),"",IF(VLOOKUP(LN$3,Touchpoints!$A:$C,3,FALSE)=0,"",VLOOKUP(LN$3,Touchpoints!$A:$C,3,FALSE)))),"")</f>
        <v/>
      </c>
      <c r="LO1" s="2" t="str">
        <f>IFERROR(IF(LO$3 = 1, Touchpoints!$C$2,IF(VLOOKUP(LO$3,Touchpoints!$A:$C,3,FALSE)=VLOOKUP(LN$3,Touchpoints!$A:$C,3,FALSE),"",IF(VLOOKUP(LO$3,Touchpoints!$A:$C,3,FALSE)=0,"",VLOOKUP(LO$3,Touchpoints!$A:$C,3,FALSE)))),"")</f>
        <v/>
      </c>
      <c r="LP1" s="2" t="str">
        <f>IFERROR(IF(LP$3 = 1, Touchpoints!$C$2,IF(VLOOKUP(LP$3,Touchpoints!$A:$C,3,FALSE)=VLOOKUP(LO$3,Touchpoints!$A:$C,3,FALSE),"",IF(VLOOKUP(LP$3,Touchpoints!$A:$C,3,FALSE)=0,"",VLOOKUP(LP$3,Touchpoints!$A:$C,3,FALSE)))),"")</f>
        <v/>
      </c>
      <c r="LQ1" s="2" t="str">
        <f>IFERROR(IF(LQ$3 = 1, Touchpoints!$C$2,IF(VLOOKUP(LQ$3,Touchpoints!$A:$C,3,FALSE)=VLOOKUP(LP$3,Touchpoints!$A:$C,3,FALSE),"",IF(VLOOKUP(LQ$3,Touchpoints!$A:$C,3,FALSE)=0,"",VLOOKUP(LQ$3,Touchpoints!$A:$C,3,FALSE)))),"")</f>
        <v/>
      </c>
      <c r="LR1" s="2" t="str">
        <f>IFERROR(IF(LR$3 = 1, Touchpoints!$C$2,IF(VLOOKUP(LR$3,Touchpoints!$A:$C,3,FALSE)=VLOOKUP(LQ$3,Touchpoints!$A:$C,3,FALSE),"",IF(VLOOKUP(LR$3,Touchpoints!$A:$C,3,FALSE)=0,"",VLOOKUP(LR$3,Touchpoints!$A:$C,3,FALSE)))),"")</f>
        <v/>
      </c>
      <c r="LS1" s="2" t="str">
        <f>IFERROR(IF(LS$3 = 1, Touchpoints!$C$2,IF(VLOOKUP(LS$3,Touchpoints!$A:$C,3,FALSE)=VLOOKUP(LR$3,Touchpoints!$A:$C,3,FALSE),"",IF(VLOOKUP(LS$3,Touchpoints!$A:$C,3,FALSE)=0,"",VLOOKUP(LS$3,Touchpoints!$A:$C,3,FALSE)))),"")</f>
        <v/>
      </c>
      <c r="LT1" s="2" t="str">
        <f>IFERROR(IF(LT$3 = 1, Touchpoints!$C$2,IF(VLOOKUP(LT$3,Touchpoints!$A:$C,3,FALSE)=VLOOKUP(LS$3,Touchpoints!$A:$C,3,FALSE),"",IF(VLOOKUP(LT$3,Touchpoints!$A:$C,3,FALSE)=0,"",VLOOKUP(LT$3,Touchpoints!$A:$C,3,FALSE)))),"")</f>
        <v/>
      </c>
      <c r="LU1" s="2" t="str">
        <f>IFERROR(IF(LU$3 = 1, Touchpoints!$C$2,IF(VLOOKUP(LU$3,Touchpoints!$A:$C,3,FALSE)=VLOOKUP(LT$3,Touchpoints!$A:$C,3,FALSE),"",IF(VLOOKUP(LU$3,Touchpoints!$A:$C,3,FALSE)=0,"",VLOOKUP(LU$3,Touchpoints!$A:$C,3,FALSE)))),"")</f>
        <v/>
      </c>
      <c r="LV1" s="2" t="str">
        <f>IFERROR(IF(LV$3 = 1, Touchpoints!$C$2,IF(VLOOKUP(LV$3,Touchpoints!$A:$C,3,FALSE)=VLOOKUP(LU$3,Touchpoints!$A:$C,3,FALSE),"",IF(VLOOKUP(LV$3,Touchpoints!$A:$C,3,FALSE)=0,"",VLOOKUP(LV$3,Touchpoints!$A:$C,3,FALSE)))),"")</f>
        <v/>
      </c>
      <c r="LW1" s="2" t="str">
        <f>IFERROR(IF(LW$3 = 1, Touchpoints!$C$2,IF(VLOOKUP(LW$3,Touchpoints!$A:$C,3,FALSE)=VLOOKUP(LV$3,Touchpoints!$A:$C,3,FALSE),"",IF(VLOOKUP(LW$3,Touchpoints!$A:$C,3,FALSE)=0,"",VLOOKUP(LW$3,Touchpoints!$A:$C,3,FALSE)))),"")</f>
        <v/>
      </c>
      <c r="LX1" s="2" t="str">
        <f>IFERROR(IF(LX$3 = 1, Touchpoints!$C$2,IF(VLOOKUP(LX$3,Touchpoints!$A:$C,3,FALSE)=VLOOKUP(LW$3,Touchpoints!$A:$C,3,FALSE),"",IF(VLOOKUP(LX$3,Touchpoints!$A:$C,3,FALSE)=0,"",VLOOKUP(LX$3,Touchpoints!$A:$C,3,FALSE)))),"")</f>
        <v/>
      </c>
      <c r="LY1" s="2" t="str">
        <f>IFERROR(IF(LY$3 = 1, Touchpoints!$C$2,IF(VLOOKUP(LY$3,Touchpoints!$A:$C,3,FALSE)=VLOOKUP(LX$3,Touchpoints!$A:$C,3,FALSE),"",IF(VLOOKUP(LY$3,Touchpoints!$A:$C,3,FALSE)=0,"",VLOOKUP(LY$3,Touchpoints!$A:$C,3,FALSE)))),"")</f>
        <v/>
      </c>
      <c r="LZ1" s="2" t="str">
        <f>IFERROR(IF(LZ$3 = 1, Touchpoints!$C$2,IF(VLOOKUP(LZ$3,Touchpoints!$A:$C,3,FALSE)=VLOOKUP(LY$3,Touchpoints!$A:$C,3,FALSE),"",IF(VLOOKUP(LZ$3,Touchpoints!$A:$C,3,FALSE)=0,"",VLOOKUP(LZ$3,Touchpoints!$A:$C,3,FALSE)))),"")</f>
        <v/>
      </c>
      <c r="MA1" s="2" t="str">
        <f>IFERROR(IF(MA$3 = 1, Touchpoints!$C$2,IF(VLOOKUP(MA$3,Touchpoints!$A:$C,3,FALSE)=VLOOKUP(LZ$3,Touchpoints!$A:$C,3,FALSE),"",IF(VLOOKUP(MA$3,Touchpoints!$A:$C,3,FALSE)=0,"",VLOOKUP(MA$3,Touchpoints!$A:$C,3,FALSE)))),"")</f>
        <v/>
      </c>
      <c r="MB1" s="2" t="str">
        <f>IFERROR(IF(MB$3 = 1, Touchpoints!$C$2,IF(VLOOKUP(MB$3,Touchpoints!$A:$C,3,FALSE)=VLOOKUP(MA$3,Touchpoints!$A:$C,3,FALSE),"",IF(VLOOKUP(MB$3,Touchpoints!$A:$C,3,FALSE)=0,"",VLOOKUP(MB$3,Touchpoints!$A:$C,3,FALSE)))),"")</f>
        <v/>
      </c>
      <c r="MC1" s="2" t="str">
        <f>IFERROR(IF(MC$3 = 1, Touchpoints!$C$2,IF(VLOOKUP(MC$3,Touchpoints!$A:$C,3,FALSE)=VLOOKUP(MB$3,Touchpoints!$A:$C,3,FALSE),"",IF(VLOOKUP(MC$3,Touchpoints!$A:$C,3,FALSE)=0,"",VLOOKUP(MC$3,Touchpoints!$A:$C,3,FALSE)))),"")</f>
        <v/>
      </c>
      <c r="MD1" s="2" t="str">
        <f>IFERROR(IF(MD$3 = 1, Touchpoints!$C$2,IF(VLOOKUP(MD$3,Touchpoints!$A:$C,3,FALSE)=VLOOKUP(MC$3,Touchpoints!$A:$C,3,FALSE),"",IF(VLOOKUP(MD$3,Touchpoints!$A:$C,3,FALSE)=0,"",VLOOKUP(MD$3,Touchpoints!$A:$C,3,FALSE)))),"")</f>
        <v/>
      </c>
      <c r="ME1" s="2" t="str">
        <f>IFERROR(IF(ME$3 = 1, Touchpoints!$C$2,IF(VLOOKUP(ME$3,Touchpoints!$A:$C,3,FALSE)=VLOOKUP(MD$3,Touchpoints!$A:$C,3,FALSE),"",IF(VLOOKUP(ME$3,Touchpoints!$A:$C,3,FALSE)=0,"",VLOOKUP(ME$3,Touchpoints!$A:$C,3,FALSE)))),"")</f>
        <v/>
      </c>
      <c r="MF1" s="2" t="str">
        <f>IFERROR(IF(MF$3 = 1, Touchpoints!$C$2,IF(VLOOKUP(MF$3,Touchpoints!$A:$C,3,FALSE)=VLOOKUP(ME$3,Touchpoints!$A:$C,3,FALSE),"",IF(VLOOKUP(MF$3,Touchpoints!$A:$C,3,FALSE)=0,"",VLOOKUP(MF$3,Touchpoints!$A:$C,3,FALSE)))),"")</f>
        <v/>
      </c>
      <c r="MG1" s="2" t="str">
        <f>IFERROR(IF(MG$3 = 1, Touchpoints!$C$2,IF(VLOOKUP(MG$3,Touchpoints!$A:$C,3,FALSE)=VLOOKUP(MF$3,Touchpoints!$A:$C,3,FALSE),"",IF(VLOOKUP(MG$3,Touchpoints!$A:$C,3,FALSE)=0,"",VLOOKUP(MG$3,Touchpoints!$A:$C,3,FALSE)))),"")</f>
        <v/>
      </c>
      <c r="MH1" s="2" t="str">
        <f>IFERROR(IF(MH$3 = 1, Touchpoints!$C$2,IF(VLOOKUP(MH$3,Touchpoints!$A:$C,3,FALSE)=VLOOKUP(MG$3,Touchpoints!$A:$C,3,FALSE),"",IF(VLOOKUP(MH$3,Touchpoints!$A:$C,3,FALSE)=0,"",VLOOKUP(MH$3,Touchpoints!$A:$C,3,FALSE)))),"")</f>
        <v/>
      </c>
      <c r="MI1" s="2" t="str">
        <f>IFERROR(IF(MI$3 = 1, Touchpoints!$C$2,IF(VLOOKUP(MI$3,Touchpoints!$A:$C,3,FALSE)=VLOOKUP(MH$3,Touchpoints!$A:$C,3,FALSE),"",IF(VLOOKUP(MI$3,Touchpoints!$A:$C,3,FALSE)=0,"",VLOOKUP(MI$3,Touchpoints!$A:$C,3,FALSE)))),"")</f>
        <v/>
      </c>
      <c r="MJ1" s="2" t="str">
        <f>IFERROR(IF(MJ$3 = 1, Touchpoints!$C$2,IF(VLOOKUP(MJ$3,Touchpoints!$A:$C,3,FALSE)=VLOOKUP(MI$3,Touchpoints!$A:$C,3,FALSE),"",IF(VLOOKUP(MJ$3,Touchpoints!$A:$C,3,FALSE)=0,"",VLOOKUP(MJ$3,Touchpoints!$A:$C,3,FALSE)))),"")</f>
        <v/>
      </c>
      <c r="MK1" s="2" t="str">
        <f>IFERROR(IF(MK$3 = 1, Touchpoints!$C$2,IF(VLOOKUP(MK$3,Touchpoints!$A:$C,3,FALSE)=VLOOKUP(MJ$3,Touchpoints!$A:$C,3,FALSE),"",IF(VLOOKUP(MK$3,Touchpoints!$A:$C,3,FALSE)=0,"",VLOOKUP(MK$3,Touchpoints!$A:$C,3,FALSE)))),"")</f>
        <v/>
      </c>
      <c r="ML1" s="2" t="str">
        <f>IFERROR(IF(ML$3 = 1, Touchpoints!$C$2,IF(VLOOKUP(ML$3,Touchpoints!$A:$C,3,FALSE)=VLOOKUP(MK$3,Touchpoints!$A:$C,3,FALSE),"",IF(VLOOKUP(ML$3,Touchpoints!$A:$C,3,FALSE)=0,"",VLOOKUP(ML$3,Touchpoints!$A:$C,3,FALSE)))),"")</f>
        <v/>
      </c>
      <c r="MM1" s="2" t="str">
        <f>IFERROR(IF(MM$3 = 1, Touchpoints!$C$2,IF(VLOOKUP(MM$3,Touchpoints!$A:$C,3,FALSE)=VLOOKUP(ML$3,Touchpoints!$A:$C,3,FALSE),"",IF(VLOOKUP(MM$3,Touchpoints!$A:$C,3,FALSE)=0,"",VLOOKUP(MM$3,Touchpoints!$A:$C,3,FALSE)))),"")</f>
        <v/>
      </c>
      <c r="MN1" s="2" t="str">
        <f>IFERROR(IF(MN$3 = 1, Touchpoints!$C$2,IF(VLOOKUP(MN$3,Touchpoints!$A:$C,3,FALSE)=VLOOKUP(MM$3,Touchpoints!$A:$C,3,FALSE),"",IF(VLOOKUP(MN$3,Touchpoints!$A:$C,3,FALSE)=0,"",VLOOKUP(MN$3,Touchpoints!$A:$C,3,FALSE)))),"")</f>
        <v/>
      </c>
      <c r="MO1" s="2" t="str">
        <f>IFERROR(IF(MO$3 = 1, Touchpoints!$C$2,IF(VLOOKUP(MO$3,Touchpoints!$A:$C,3,FALSE)=VLOOKUP(MN$3,Touchpoints!$A:$C,3,FALSE),"",IF(VLOOKUP(MO$3,Touchpoints!$A:$C,3,FALSE)=0,"",VLOOKUP(MO$3,Touchpoints!$A:$C,3,FALSE)))),"")</f>
        <v/>
      </c>
      <c r="MP1" s="2" t="str">
        <f>IFERROR(IF(MP$3 = 1, Touchpoints!$C$2,IF(VLOOKUP(MP$3,Touchpoints!$A:$C,3,FALSE)=VLOOKUP(MO$3,Touchpoints!$A:$C,3,FALSE),"",IF(VLOOKUP(MP$3,Touchpoints!$A:$C,3,FALSE)=0,"",VLOOKUP(MP$3,Touchpoints!$A:$C,3,FALSE)))),"")</f>
        <v/>
      </c>
      <c r="MQ1" s="2" t="str">
        <f>IFERROR(IF(MQ$3 = 1, Touchpoints!$C$2,IF(VLOOKUP(MQ$3,Touchpoints!$A:$C,3,FALSE)=VLOOKUP(MP$3,Touchpoints!$A:$C,3,FALSE),"",IF(VLOOKUP(MQ$3,Touchpoints!$A:$C,3,FALSE)=0,"",VLOOKUP(MQ$3,Touchpoints!$A:$C,3,FALSE)))),"")</f>
        <v/>
      </c>
      <c r="MR1" s="2" t="str">
        <f>IFERROR(IF(MR$3 = 1, Touchpoints!$C$2,IF(VLOOKUP(MR$3,Touchpoints!$A:$C,3,FALSE)=VLOOKUP(MQ$3,Touchpoints!$A:$C,3,FALSE),"",IF(VLOOKUP(MR$3,Touchpoints!$A:$C,3,FALSE)=0,"",VLOOKUP(MR$3,Touchpoints!$A:$C,3,FALSE)))),"")</f>
        <v/>
      </c>
      <c r="MS1" s="2" t="str">
        <f>IFERROR(IF(MS$3 = 1, Touchpoints!$C$2,IF(VLOOKUP(MS$3,Touchpoints!$A:$C,3,FALSE)=VLOOKUP(MR$3,Touchpoints!$A:$C,3,FALSE),"",IF(VLOOKUP(MS$3,Touchpoints!$A:$C,3,FALSE)=0,"",VLOOKUP(MS$3,Touchpoints!$A:$C,3,FALSE)))),"")</f>
        <v/>
      </c>
      <c r="MT1" s="2" t="str">
        <f>IFERROR(IF(MT$3 = 1, Touchpoints!$C$2,IF(VLOOKUP(MT$3,Touchpoints!$A:$C,3,FALSE)=VLOOKUP(MS$3,Touchpoints!$A:$C,3,FALSE),"",IF(VLOOKUP(MT$3,Touchpoints!$A:$C,3,FALSE)=0,"",VLOOKUP(MT$3,Touchpoints!$A:$C,3,FALSE)))),"")</f>
        <v/>
      </c>
      <c r="MU1" s="2" t="str">
        <f>IFERROR(IF(MU$3 = 1, Touchpoints!$C$2,IF(VLOOKUP(MU$3,Touchpoints!$A:$C,3,FALSE)=VLOOKUP(MT$3,Touchpoints!$A:$C,3,FALSE),"",IF(VLOOKUP(MU$3,Touchpoints!$A:$C,3,FALSE)=0,"",VLOOKUP(MU$3,Touchpoints!$A:$C,3,FALSE)))),"")</f>
        <v/>
      </c>
      <c r="MV1" s="2" t="str">
        <f>IFERROR(IF(MV$3 = 1, Touchpoints!$C$2,IF(VLOOKUP(MV$3,Touchpoints!$A:$C,3,FALSE)=VLOOKUP(MU$3,Touchpoints!$A:$C,3,FALSE),"",IF(VLOOKUP(MV$3,Touchpoints!$A:$C,3,FALSE)=0,"",VLOOKUP(MV$3,Touchpoints!$A:$C,3,FALSE)))),"")</f>
        <v/>
      </c>
      <c r="MW1" s="2" t="str">
        <f>IFERROR(IF(MW$3 = 1, Touchpoints!$C$2,IF(VLOOKUP(MW$3,Touchpoints!$A:$C,3,FALSE)=VLOOKUP(MV$3,Touchpoints!$A:$C,3,FALSE),"",IF(VLOOKUP(MW$3,Touchpoints!$A:$C,3,FALSE)=0,"",VLOOKUP(MW$3,Touchpoints!$A:$C,3,FALSE)))),"")</f>
        <v/>
      </c>
      <c r="MX1" s="2" t="str">
        <f>IFERROR(IF(MX$3 = 1, Touchpoints!$C$2,IF(VLOOKUP(MX$3,Touchpoints!$A:$C,3,FALSE)=VLOOKUP(MW$3,Touchpoints!$A:$C,3,FALSE),"",IF(VLOOKUP(MX$3,Touchpoints!$A:$C,3,FALSE)=0,"",VLOOKUP(MX$3,Touchpoints!$A:$C,3,FALSE)))),"")</f>
        <v/>
      </c>
      <c r="MY1" s="2" t="str">
        <f>IFERROR(IF(MY$3 = 1, Touchpoints!$C$2,IF(VLOOKUP(MY$3,Touchpoints!$A:$C,3,FALSE)=VLOOKUP(MX$3,Touchpoints!$A:$C,3,FALSE),"",IF(VLOOKUP(MY$3,Touchpoints!$A:$C,3,FALSE)=0,"",VLOOKUP(MY$3,Touchpoints!$A:$C,3,FALSE)))),"")</f>
        <v/>
      </c>
      <c r="MZ1" s="2" t="str">
        <f>IFERROR(IF(MZ$3 = 1, Touchpoints!$C$2,IF(VLOOKUP(MZ$3,Touchpoints!$A:$C,3,FALSE)=VLOOKUP(MY$3,Touchpoints!$A:$C,3,FALSE),"",IF(VLOOKUP(MZ$3,Touchpoints!$A:$C,3,FALSE)=0,"",VLOOKUP(MZ$3,Touchpoints!$A:$C,3,FALSE)))),"")</f>
        <v/>
      </c>
      <c r="NA1" s="2" t="str">
        <f>IFERROR(IF(NA$3 = 1, Touchpoints!$C$2,IF(VLOOKUP(NA$3,Touchpoints!$A:$C,3,FALSE)=VLOOKUP(MZ$3,Touchpoints!$A:$C,3,FALSE),"",IF(VLOOKUP(NA$3,Touchpoints!$A:$C,3,FALSE)=0,"",VLOOKUP(NA$3,Touchpoints!$A:$C,3,FALSE)))),"")</f>
        <v/>
      </c>
      <c r="NB1" s="2" t="str">
        <f>IFERROR(IF(NB$3 = 1, Touchpoints!$C$2,IF(VLOOKUP(NB$3,Touchpoints!$A:$C,3,FALSE)=VLOOKUP(NA$3,Touchpoints!$A:$C,3,FALSE),"",IF(VLOOKUP(NB$3,Touchpoints!$A:$C,3,FALSE)=0,"",VLOOKUP(NB$3,Touchpoints!$A:$C,3,FALSE)))),"")</f>
        <v/>
      </c>
      <c r="NC1" s="2" t="str">
        <f>IFERROR(IF(NC$3 = 1, Touchpoints!$C$2,IF(VLOOKUP(NC$3,Touchpoints!$A:$C,3,FALSE)=VLOOKUP(NB$3,Touchpoints!$A:$C,3,FALSE),"",IF(VLOOKUP(NC$3,Touchpoints!$A:$C,3,FALSE)=0,"",VLOOKUP(NC$3,Touchpoints!$A:$C,3,FALSE)))),"")</f>
        <v/>
      </c>
      <c r="ND1" s="2" t="str">
        <f>IFERROR(IF(ND$3 = 1, Touchpoints!$C$2,IF(VLOOKUP(ND$3,Touchpoints!$A:$C,3,FALSE)=VLOOKUP(NC$3,Touchpoints!$A:$C,3,FALSE),"",IF(VLOOKUP(ND$3,Touchpoints!$A:$C,3,FALSE)=0,"",VLOOKUP(ND$3,Touchpoints!$A:$C,3,FALSE)))),"")</f>
        <v/>
      </c>
      <c r="NE1" s="2" t="str">
        <f>IFERROR(IF(NE$3 = 1, Touchpoints!$C$2,IF(VLOOKUP(NE$3,Touchpoints!$A:$C,3,FALSE)=VLOOKUP(ND$3,Touchpoints!$A:$C,3,FALSE),"",IF(VLOOKUP(NE$3,Touchpoints!$A:$C,3,FALSE)=0,"",VLOOKUP(NE$3,Touchpoints!$A:$C,3,FALSE)))),"")</f>
        <v/>
      </c>
      <c r="NF1" s="2" t="str">
        <f>IFERROR(IF(NF$3 = 1, Touchpoints!$C$2,IF(VLOOKUP(NF$3,Touchpoints!$A:$C,3,FALSE)=VLOOKUP(NE$3,Touchpoints!$A:$C,3,FALSE),"",IF(VLOOKUP(NF$3,Touchpoints!$A:$C,3,FALSE)=0,"",VLOOKUP(NF$3,Touchpoints!$A:$C,3,FALSE)))),"")</f>
        <v/>
      </c>
      <c r="NG1" s="2" t="str">
        <f>IFERROR(IF(NG$3 = 1, Touchpoints!$C$2,IF(VLOOKUP(NG$3,Touchpoints!$A:$C,3,FALSE)=VLOOKUP(NF$3,Touchpoints!$A:$C,3,FALSE),"",IF(VLOOKUP(NG$3,Touchpoints!$A:$C,3,FALSE)=0,"",VLOOKUP(NG$3,Touchpoints!$A:$C,3,FALSE)))),"")</f>
        <v/>
      </c>
      <c r="NH1" s="2" t="str">
        <f>IFERROR(IF(NH$3 = 1, Touchpoints!$C$2,IF(VLOOKUP(NH$3,Touchpoints!$A:$C,3,FALSE)=VLOOKUP(NG$3,Touchpoints!$A:$C,3,FALSE),"",IF(VLOOKUP(NH$3,Touchpoints!$A:$C,3,FALSE)=0,"",VLOOKUP(NH$3,Touchpoints!$A:$C,3,FALSE)))),"")</f>
        <v/>
      </c>
      <c r="NI1" s="2" t="str">
        <f>IFERROR(IF(NI$3 = 1, Touchpoints!$C$2,IF(VLOOKUP(NI$3,Touchpoints!$A:$C,3,FALSE)=VLOOKUP(NH$3,Touchpoints!$A:$C,3,FALSE),"",IF(VLOOKUP(NI$3,Touchpoints!$A:$C,3,FALSE)=0,"",VLOOKUP(NI$3,Touchpoints!$A:$C,3,FALSE)))),"")</f>
        <v/>
      </c>
      <c r="NJ1" s="2" t="str">
        <f>IFERROR(IF(NJ$3 = 1, Touchpoints!$C$2,IF(VLOOKUP(NJ$3,Touchpoints!$A:$C,3,FALSE)=VLOOKUP(NI$3,Touchpoints!$A:$C,3,FALSE),"",IF(VLOOKUP(NJ$3,Touchpoints!$A:$C,3,FALSE)=0,"",VLOOKUP(NJ$3,Touchpoints!$A:$C,3,FALSE)))),"")</f>
        <v/>
      </c>
      <c r="NK1" s="2" t="str">
        <f>IFERROR(IF(NK$3 = 1, Touchpoints!$C$2,IF(VLOOKUP(NK$3,Touchpoints!$A:$C,3,FALSE)=VLOOKUP(NJ$3,Touchpoints!$A:$C,3,FALSE),"",IF(VLOOKUP(NK$3,Touchpoints!$A:$C,3,FALSE)=0,"",VLOOKUP(NK$3,Touchpoints!$A:$C,3,FALSE)))),"")</f>
        <v/>
      </c>
      <c r="NL1" s="2" t="str">
        <f>IFERROR(IF(NL$3 = 1, Touchpoints!$C$2,IF(VLOOKUP(NL$3,Touchpoints!$A:$C,3,FALSE)=VLOOKUP(NK$3,Touchpoints!$A:$C,3,FALSE),"",IF(VLOOKUP(NL$3,Touchpoints!$A:$C,3,FALSE)=0,"",VLOOKUP(NL$3,Touchpoints!$A:$C,3,FALSE)))),"")</f>
        <v/>
      </c>
      <c r="NM1" s="2" t="str">
        <f>IFERROR(IF(NM$3 = 1, Touchpoints!$C$2,IF(VLOOKUP(NM$3,Touchpoints!$A:$C,3,FALSE)=VLOOKUP(NL$3,Touchpoints!$A:$C,3,FALSE),"",IF(VLOOKUP(NM$3,Touchpoints!$A:$C,3,FALSE)=0,"",VLOOKUP(NM$3,Touchpoints!$A:$C,3,FALSE)))),"")</f>
        <v/>
      </c>
      <c r="NN1" s="2" t="str">
        <f>IFERROR(IF(NN$3 = 1, Touchpoints!$C$2,IF(VLOOKUP(NN$3,Touchpoints!$A:$C,3,FALSE)=VLOOKUP(NM$3,Touchpoints!$A:$C,3,FALSE),"",IF(VLOOKUP(NN$3,Touchpoints!$A:$C,3,FALSE)=0,"",VLOOKUP(NN$3,Touchpoints!$A:$C,3,FALSE)))),"")</f>
        <v/>
      </c>
      <c r="NO1" s="2" t="str">
        <f>IFERROR(IF(NO$3 = 1, Touchpoints!$C$2,IF(VLOOKUP(NO$3,Touchpoints!$A:$C,3,FALSE)=VLOOKUP(NN$3,Touchpoints!$A:$C,3,FALSE),"",IF(VLOOKUP(NO$3,Touchpoints!$A:$C,3,FALSE)=0,"",VLOOKUP(NO$3,Touchpoints!$A:$C,3,FALSE)))),"")</f>
        <v/>
      </c>
      <c r="NP1" s="2" t="str">
        <f>IFERROR(IF(NP$3 = 1, Touchpoints!$C$2,IF(VLOOKUP(NP$3,Touchpoints!$A:$C,3,FALSE)=VLOOKUP(NO$3,Touchpoints!$A:$C,3,FALSE),"",IF(VLOOKUP(NP$3,Touchpoints!$A:$C,3,FALSE)=0,"",VLOOKUP(NP$3,Touchpoints!$A:$C,3,FALSE)))),"")</f>
        <v/>
      </c>
      <c r="NQ1" s="2" t="str">
        <f>IFERROR(IF(NQ$3 = 1, Touchpoints!$C$2,IF(VLOOKUP(NQ$3,Touchpoints!$A:$C,3,FALSE)=VLOOKUP(NP$3,Touchpoints!$A:$C,3,FALSE),"",IF(VLOOKUP(NQ$3,Touchpoints!$A:$C,3,FALSE)=0,"",VLOOKUP(NQ$3,Touchpoints!$A:$C,3,FALSE)))),"")</f>
        <v/>
      </c>
      <c r="NR1" s="2" t="str">
        <f>IFERROR(IF(NR$3 = 1, Touchpoints!$C$2,IF(VLOOKUP(NR$3,Touchpoints!$A:$C,3,FALSE)=VLOOKUP(NQ$3,Touchpoints!$A:$C,3,FALSE),"",IF(VLOOKUP(NR$3,Touchpoints!$A:$C,3,FALSE)=0,"",VLOOKUP(NR$3,Touchpoints!$A:$C,3,FALSE)))),"")</f>
        <v/>
      </c>
      <c r="NS1" s="2" t="str">
        <f>IFERROR(IF(NS$3 = 1, Touchpoints!$C$2,IF(VLOOKUP(NS$3,Touchpoints!$A:$C,3,FALSE)=VLOOKUP(NR$3,Touchpoints!$A:$C,3,FALSE),"",IF(VLOOKUP(NS$3,Touchpoints!$A:$C,3,FALSE)=0,"",VLOOKUP(NS$3,Touchpoints!$A:$C,3,FALSE)))),"")</f>
        <v/>
      </c>
      <c r="NT1" s="2" t="str">
        <f>IFERROR(IF(NT$3 = 1, Touchpoints!$C$2,IF(VLOOKUP(NT$3,Touchpoints!$A:$C,3,FALSE)=VLOOKUP(NS$3,Touchpoints!$A:$C,3,FALSE),"",IF(VLOOKUP(NT$3,Touchpoints!$A:$C,3,FALSE)=0,"",VLOOKUP(NT$3,Touchpoints!$A:$C,3,FALSE)))),"")</f>
        <v/>
      </c>
      <c r="NU1" s="2" t="str">
        <f>IFERROR(IF(NU$3 = 1, Touchpoints!$C$2,IF(VLOOKUP(NU$3,Touchpoints!$A:$C,3,FALSE)=VLOOKUP(NT$3,Touchpoints!$A:$C,3,FALSE),"",IF(VLOOKUP(NU$3,Touchpoints!$A:$C,3,FALSE)=0,"",VLOOKUP(NU$3,Touchpoints!$A:$C,3,FALSE)))),"")</f>
        <v/>
      </c>
      <c r="NV1" s="2" t="str">
        <f>IFERROR(IF(NV$3 = 1, Touchpoints!$C$2,IF(VLOOKUP(NV$3,Touchpoints!$A:$C,3,FALSE)=VLOOKUP(NU$3,Touchpoints!$A:$C,3,FALSE),"",IF(VLOOKUP(NV$3,Touchpoints!$A:$C,3,FALSE)=0,"",VLOOKUP(NV$3,Touchpoints!$A:$C,3,FALSE)))),"")</f>
        <v/>
      </c>
      <c r="NW1" s="2" t="str">
        <f>IFERROR(IF(NW$3 = 1, Touchpoints!$C$2,IF(VLOOKUP(NW$3,Touchpoints!$A:$C,3,FALSE)=VLOOKUP(NV$3,Touchpoints!$A:$C,3,FALSE),"",IF(VLOOKUP(NW$3,Touchpoints!$A:$C,3,FALSE)=0,"",VLOOKUP(NW$3,Touchpoints!$A:$C,3,FALSE)))),"")</f>
        <v/>
      </c>
      <c r="NX1" s="2" t="str">
        <f>IFERROR(IF(NX$3 = 1, Touchpoints!$C$2,IF(VLOOKUP(NX$3,Touchpoints!$A:$C,3,FALSE)=VLOOKUP(NW$3,Touchpoints!$A:$C,3,FALSE),"",IF(VLOOKUP(NX$3,Touchpoints!$A:$C,3,FALSE)=0,"",VLOOKUP(NX$3,Touchpoints!$A:$C,3,FALSE)))),"")</f>
        <v/>
      </c>
      <c r="NY1" s="2" t="str">
        <f>IFERROR(IF(NY$3 = 1, Touchpoints!$C$2,IF(VLOOKUP(NY$3,Touchpoints!$A:$C,3,FALSE)=VLOOKUP(NX$3,Touchpoints!$A:$C,3,FALSE),"",IF(VLOOKUP(NY$3,Touchpoints!$A:$C,3,FALSE)=0,"",VLOOKUP(NY$3,Touchpoints!$A:$C,3,FALSE)))),"")</f>
        <v/>
      </c>
      <c r="NZ1" s="2" t="str">
        <f>IFERROR(IF(NZ$3 = 1, Touchpoints!$C$2,IF(VLOOKUP(NZ$3,Touchpoints!$A:$C,3,FALSE)=VLOOKUP(NY$3,Touchpoints!$A:$C,3,FALSE),"",IF(VLOOKUP(NZ$3,Touchpoints!$A:$C,3,FALSE)=0,"",VLOOKUP(NZ$3,Touchpoints!$A:$C,3,FALSE)))),"")</f>
        <v/>
      </c>
      <c r="OA1" s="2" t="str">
        <f>IFERROR(IF(OA$3 = 1, Touchpoints!$C$2,IF(VLOOKUP(OA$3,Touchpoints!$A:$C,3,FALSE)=VLOOKUP(NZ$3,Touchpoints!$A:$C,3,FALSE),"",IF(VLOOKUP(OA$3,Touchpoints!$A:$C,3,FALSE)=0,"",VLOOKUP(OA$3,Touchpoints!$A:$C,3,FALSE)))),"")</f>
        <v/>
      </c>
      <c r="OB1" s="2" t="str">
        <f>IFERROR(IF(OB$3 = 1, Touchpoints!$C$2,IF(VLOOKUP(OB$3,Touchpoints!$A:$C,3,FALSE)=VLOOKUP(OA$3,Touchpoints!$A:$C,3,FALSE),"",IF(VLOOKUP(OB$3,Touchpoints!$A:$C,3,FALSE)=0,"",VLOOKUP(OB$3,Touchpoints!$A:$C,3,FALSE)))),"")</f>
        <v/>
      </c>
      <c r="OC1" s="2" t="str">
        <f>IFERROR(IF(OC$3 = 1, Touchpoints!$C$2,IF(VLOOKUP(OC$3,Touchpoints!$A:$C,3,FALSE)=VLOOKUP(OB$3,Touchpoints!$A:$C,3,FALSE),"",IF(VLOOKUP(OC$3,Touchpoints!$A:$C,3,FALSE)=0,"",VLOOKUP(OC$3,Touchpoints!$A:$C,3,FALSE)))),"")</f>
        <v/>
      </c>
      <c r="OD1" s="2" t="str">
        <f>IFERROR(IF(OD$3 = 1, Touchpoints!$C$2,IF(VLOOKUP(OD$3,Touchpoints!$A:$C,3,FALSE)=VLOOKUP(OC$3,Touchpoints!$A:$C,3,FALSE),"",IF(VLOOKUP(OD$3,Touchpoints!$A:$C,3,FALSE)=0,"",VLOOKUP(OD$3,Touchpoints!$A:$C,3,FALSE)))),"")</f>
        <v/>
      </c>
      <c r="OE1" s="2" t="str">
        <f>IFERROR(IF(OE$3 = 1, Touchpoints!$C$2,IF(VLOOKUP(OE$3,Touchpoints!$A:$C,3,FALSE)=VLOOKUP(OD$3,Touchpoints!$A:$C,3,FALSE),"",IF(VLOOKUP(OE$3,Touchpoints!$A:$C,3,FALSE)=0,"",VLOOKUP(OE$3,Touchpoints!$A:$C,3,FALSE)))),"")</f>
        <v/>
      </c>
      <c r="OF1" s="2" t="str">
        <f>IFERROR(IF(OF$3 = 1, Touchpoints!$C$2,IF(VLOOKUP(OF$3,Touchpoints!$A:$C,3,FALSE)=VLOOKUP(OE$3,Touchpoints!$A:$C,3,FALSE),"",IF(VLOOKUP(OF$3,Touchpoints!$A:$C,3,FALSE)=0,"",VLOOKUP(OF$3,Touchpoints!$A:$C,3,FALSE)))),"")</f>
        <v/>
      </c>
      <c r="OG1" s="2" t="str">
        <f>IFERROR(IF(OG$3 = 1, Touchpoints!$C$2,IF(VLOOKUP(OG$3,Touchpoints!$A:$C,3,FALSE)=VLOOKUP(OF$3,Touchpoints!$A:$C,3,FALSE),"",IF(VLOOKUP(OG$3,Touchpoints!$A:$C,3,FALSE)=0,"",VLOOKUP(OG$3,Touchpoints!$A:$C,3,FALSE)))),"")</f>
        <v/>
      </c>
      <c r="OH1" s="2" t="str">
        <f>IFERROR(IF(OH$3 = 1, Touchpoints!$C$2,IF(VLOOKUP(OH$3,Touchpoints!$A:$C,3,FALSE)=VLOOKUP(OG$3,Touchpoints!$A:$C,3,FALSE),"",IF(VLOOKUP(OH$3,Touchpoints!$A:$C,3,FALSE)=0,"",VLOOKUP(OH$3,Touchpoints!$A:$C,3,FALSE)))),"")</f>
        <v/>
      </c>
      <c r="OI1" s="2" t="str">
        <f>IFERROR(IF(OI$3 = 1, Touchpoints!$C$2,IF(VLOOKUP(OI$3,Touchpoints!$A:$C,3,FALSE)=VLOOKUP(OH$3,Touchpoints!$A:$C,3,FALSE),"",IF(VLOOKUP(OI$3,Touchpoints!$A:$C,3,FALSE)=0,"",VLOOKUP(OI$3,Touchpoints!$A:$C,3,FALSE)))),"")</f>
        <v/>
      </c>
      <c r="OJ1" s="2" t="str">
        <f>IFERROR(IF(OJ$3 = 1, Touchpoints!$C$2,IF(VLOOKUP(OJ$3,Touchpoints!$A:$C,3,FALSE)=VLOOKUP(OI$3,Touchpoints!$A:$C,3,FALSE),"",IF(VLOOKUP(OJ$3,Touchpoints!$A:$C,3,FALSE)=0,"",VLOOKUP(OJ$3,Touchpoints!$A:$C,3,FALSE)))),"")</f>
        <v/>
      </c>
      <c r="OK1" s="2" t="str">
        <f>IFERROR(IF(OK$3 = 1, Touchpoints!$C$2,IF(VLOOKUP(OK$3,Touchpoints!$A:$C,3,FALSE)=VLOOKUP(OJ$3,Touchpoints!$A:$C,3,FALSE),"",IF(VLOOKUP(OK$3,Touchpoints!$A:$C,3,FALSE)=0,"",VLOOKUP(OK$3,Touchpoints!$A:$C,3,FALSE)))),"")</f>
        <v/>
      </c>
      <c r="OL1" s="2" t="str">
        <f>IFERROR(IF(OL$3 = 1, Touchpoints!$C$2,IF(VLOOKUP(OL$3,Touchpoints!$A:$C,3,FALSE)=VLOOKUP(OK$3,Touchpoints!$A:$C,3,FALSE),"",IF(VLOOKUP(OL$3,Touchpoints!$A:$C,3,FALSE)=0,"",VLOOKUP(OL$3,Touchpoints!$A:$C,3,FALSE)))),"")</f>
        <v/>
      </c>
      <c r="OM1" s="2" t="str">
        <f>IFERROR(IF(OM$3 = 1, Touchpoints!$C$2,IF(VLOOKUP(OM$3,Touchpoints!$A:$C,3,FALSE)=VLOOKUP(OL$3,Touchpoints!$A:$C,3,FALSE),"",IF(VLOOKUP(OM$3,Touchpoints!$A:$C,3,FALSE)=0,"",VLOOKUP(OM$3,Touchpoints!$A:$C,3,FALSE)))),"")</f>
        <v/>
      </c>
      <c r="ON1" s="2" t="str">
        <f>IFERROR(IF(ON$3 = 1, Touchpoints!$C$2,IF(VLOOKUP(ON$3,Touchpoints!$A:$C,3,FALSE)=VLOOKUP(OM$3,Touchpoints!$A:$C,3,FALSE),"",IF(VLOOKUP(ON$3,Touchpoints!$A:$C,3,FALSE)=0,"",VLOOKUP(ON$3,Touchpoints!$A:$C,3,FALSE)))),"")</f>
        <v/>
      </c>
      <c r="OO1" s="2" t="str">
        <f>IFERROR(IF(OO$3 = 1, Touchpoints!$C$2,IF(VLOOKUP(OO$3,Touchpoints!$A:$C,3,FALSE)=VLOOKUP(ON$3,Touchpoints!$A:$C,3,FALSE),"",IF(VLOOKUP(OO$3,Touchpoints!$A:$C,3,FALSE)=0,"",VLOOKUP(OO$3,Touchpoints!$A:$C,3,FALSE)))),"")</f>
        <v/>
      </c>
      <c r="OP1" s="2" t="str">
        <f>IFERROR(IF(OP$3 = 1, Touchpoints!$C$2,IF(VLOOKUP(OP$3,Touchpoints!$A:$C,3,FALSE)=VLOOKUP(OO$3,Touchpoints!$A:$C,3,FALSE),"",IF(VLOOKUP(OP$3,Touchpoints!$A:$C,3,FALSE)=0,"",VLOOKUP(OP$3,Touchpoints!$A:$C,3,FALSE)))),"")</f>
        <v/>
      </c>
      <c r="OQ1" s="2" t="str">
        <f>IFERROR(IF(OQ$3 = 1, Touchpoints!$C$2,IF(VLOOKUP(OQ$3,Touchpoints!$A:$C,3,FALSE)=VLOOKUP(OP$3,Touchpoints!$A:$C,3,FALSE),"",IF(VLOOKUP(OQ$3,Touchpoints!$A:$C,3,FALSE)=0,"",VLOOKUP(OQ$3,Touchpoints!$A:$C,3,FALSE)))),"")</f>
        <v/>
      </c>
      <c r="OR1" s="2" t="str">
        <f>IFERROR(IF(OR$3 = 1, Touchpoints!$C$2,IF(VLOOKUP(OR$3,Touchpoints!$A:$C,3,FALSE)=VLOOKUP(OQ$3,Touchpoints!$A:$C,3,FALSE),"",IF(VLOOKUP(OR$3,Touchpoints!$A:$C,3,FALSE)=0,"",VLOOKUP(OR$3,Touchpoints!$A:$C,3,FALSE)))),"")</f>
        <v/>
      </c>
      <c r="OS1" s="2" t="str">
        <f>IFERROR(IF(OS$3 = 1, Touchpoints!$C$2,IF(VLOOKUP(OS$3,Touchpoints!$A:$C,3,FALSE)=VLOOKUP(OR$3,Touchpoints!$A:$C,3,FALSE),"",IF(VLOOKUP(OS$3,Touchpoints!$A:$C,3,FALSE)=0,"",VLOOKUP(OS$3,Touchpoints!$A:$C,3,FALSE)))),"")</f>
        <v/>
      </c>
      <c r="OT1" s="2" t="str">
        <f>IFERROR(IF(OT$3 = 1, Touchpoints!$C$2,IF(VLOOKUP(OT$3,Touchpoints!$A:$C,3,FALSE)=VLOOKUP(OS$3,Touchpoints!$A:$C,3,FALSE),"",IF(VLOOKUP(OT$3,Touchpoints!$A:$C,3,FALSE)=0,"",VLOOKUP(OT$3,Touchpoints!$A:$C,3,FALSE)))),"")</f>
        <v/>
      </c>
      <c r="OU1" s="2" t="str">
        <f>IFERROR(IF(OU$3 = 1, Touchpoints!$C$2,IF(VLOOKUP(OU$3,Touchpoints!$A:$C,3,FALSE)=VLOOKUP(OT$3,Touchpoints!$A:$C,3,FALSE),"",IF(VLOOKUP(OU$3,Touchpoints!$A:$C,3,FALSE)=0,"",VLOOKUP(OU$3,Touchpoints!$A:$C,3,FALSE)))),"")</f>
        <v/>
      </c>
      <c r="OV1" s="2" t="str">
        <f>IFERROR(IF(OV$3 = 1, Touchpoints!$C$2,IF(VLOOKUP(OV$3,Touchpoints!$A:$C,3,FALSE)=VLOOKUP(OU$3,Touchpoints!$A:$C,3,FALSE),"",IF(VLOOKUP(OV$3,Touchpoints!$A:$C,3,FALSE)=0,"",VLOOKUP(OV$3,Touchpoints!$A:$C,3,FALSE)))),"")</f>
        <v/>
      </c>
      <c r="OW1" s="2" t="str">
        <f>IFERROR(IF(OW$3 = 1, Touchpoints!$C$2,IF(VLOOKUP(OW$3,Touchpoints!$A:$C,3,FALSE)=VLOOKUP(OV$3,Touchpoints!$A:$C,3,FALSE),"",IF(VLOOKUP(OW$3,Touchpoints!$A:$C,3,FALSE)=0,"",VLOOKUP(OW$3,Touchpoints!$A:$C,3,FALSE)))),"")</f>
        <v/>
      </c>
      <c r="OX1" s="2" t="str">
        <f>IFERROR(IF(OX$3 = 1, Touchpoints!$C$2,IF(VLOOKUP(OX$3,Touchpoints!$A:$C,3,FALSE)=VLOOKUP(OW$3,Touchpoints!$A:$C,3,FALSE),"",IF(VLOOKUP(OX$3,Touchpoints!$A:$C,3,FALSE)=0,"",VLOOKUP(OX$3,Touchpoints!$A:$C,3,FALSE)))),"")</f>
        <v/>
      </c>
      <c r="OY1" s="2" t="str">
        <f>IFERROR(IF(OY$3 = 1, Touchpoints!$C$2,IF(VLOOKUP(OY$3,Touchpoints!$A:$C,3,FALSE)=VLOOKUP(OX$3,Touchpoints!$A:$C,3,FALSE),"",IF(VLOOKUP(OY$3,Touchpoints!$A:$C,3,FALSE)=0,"",VLOOKUP(OY$3,Touchpoints!$A:$C,3,FALSE)))),"")</f>
        <v/>
      </c>
      <c r="OZ1" s="2" t="str">
        <f>IFERROR(IF(OZ$3 = 1, Touchpoints!$C$2,IF(VLOOKUP(OZ$3,Touchpoints!$A:$C,3,FALSE)=VLOOKUP(OY$3,Touchpoints!$A:$C,3,FALSE),"",IF(VLOOKUP(OZ$3,Touchpoints!$A:$C,3,FALSE)=0,"",VLOOKUP(OZ$3,Touchpoints!$A:$C,3,FALSE)))),"")</f>
        <v/>
      </c>
      <c r="PA1" s="2" t="str">
        <f>IFERROR(IF(PA$3 = 1, Touchpoints!$C$2,IF(VLOOKUP(PA$3,Touchpoints!$A:$C,3,FALSE)=VLOOKUP(OZ$3,Touchpoints!$A:$C,3,FALSE),"",IF(VLOOKUP(PA$3,Touchpoints!$A:$C,3,FALSE)=0,"",VLOOKUP(PA$3,Touchpoints!$A:$C,3,FALSE)))),"")</f>
        <v/>
      </c>
      <c r="PB1" s="2" t="str">
        <f>IFERROR(IF(PB$3 = 1, Touchpoints!$C$2,IF(VLOOKUP(PB$3,Touchpoints!$A:$C,3,FALSE)=VLOOKUP(PA$3,Touchpoints!$A:$C,3,FALSE),"",IF(VLOOKUP(PB$3,Touchpoints!$A:$C,3,FALSE)=0,"",VLOOKUP(PB$3,Touchpoints!$A:$C,3,FALSE)))),"")</f>
        <v/>
      </c>
      <c r="PC1" s="2" t="str">
        <f>IFERROR(IF(PC$3 = 1, Touchpoints!$C$2,IF(VLOOKUP(PC$3,Touchpoints!$A:$C,3,FALSE)=VLOOKUP(PB$3,Touchpoints!$A:$C,3,FALSE),"",IF(VLOOKUP(PC$3,Touchpoints!$A:$C,3,FALSE)=0,"",VLOOKUP(PC$3,Touchpoints!$A:$C,3,FALSE)))),"")</f>
        <v/>
      </c>
      <c r="PD1" s="2" t="str">
        <f>IFERROR(IF(PD$3 = 1, Touchpoints!$C$2,IF(VLOOKUP(PD$3,Touchpoints!$A:$C,3,FALSE)=VLOOKUP(PC$3,Touchpoints!$A:$C,3,FALSE),"",IF(VLOOKUP(PD$3,Touchpoints!$A:$C,3,FALSE)=0,"",VLOOKUP(PD$3,Touchpoints!$A:$C,3,FALSE)))),"")</f>
        <v/>
      </c>
      <c r="PE1" s="2" t="str">
        <f>IFERROR(IF(PE$3 = 1, Touchpoints!$C$2,IF(VLOOKUP(PE$3,Touchpoints!$A:$C,3,FALSE)=VLOOKUP(PD$3,Touchpoints!$A:$C,3,FALSE),"",IF(VLOOKUP(PE$3,Touchpoints!$A:$C,3,FALSE)=0,"",VLOOKUP(PE$3,Touchpoints!$A:$C,3,FALSE)))),"")</f>
        <v/>
      </c>
      <c r="PF1" s="2" t="str">
        <f>IFERROR(IF(PF$3 = 1, Touchpoints!$C$2,IF(VLOOKUP(PF$3,Touchpoints!$A:$C,3,FALSE)=VLOOKUP(PE$3,Touchpoints!$A:$C,3,FALSE),"",IF(VLOOKUP(PF$3,Touchpoints!$A:$C,3,FALSE)=0,"",VLOOKUP(PF$3,Touchpoints!$A:$C,3,FALSE)))),"")</f>
        <v/>
      </c>
      <c r="PG1" s="2" t="str">
        <f>IFERROR(IF(PG$3 = 1, Touchpoints!$C$2,IF(VLOOKUP(PG$3,Touchpoints!$A:$C,3,FALSE)=VLOOKUP(PF$3,Touchpoints!$A:$C,3,FALSE),"",IF(VLOOKUP(PG$3,Touchpoints!$A:$C,3,FALSE)=0,"",VLOOKUP(PG$3,Touchpoints!$A:$C,3,FALSE)))),"")</f>
        <v/>
      </c>
      <c r="PH1" s="2" t="str">
        <f>IFERROR(IF(PH$3 = 1, Touchpoints!$C$2,IF(VLOOKUP(PH$3,Touchpoints!$A:$C,3,FALSE)=VLOOKUP(PG$3,Touchpoints!$A:$C,3,FALSE),"",IF(VLOOKUP(PH$3,Touchpoints!$A:$C,3,FALSE)=0,"",VLOOKUP(PH$3,Touchpoints!$A:$C,3,FALSE)))),"")</f>
        <v/>
      </c>
      <c r="PI1" s="2" t="str">
        <f>IFERROR(IF(PI$3 = 1, Touchpoints!$C$2,IF(VLOOKUP(PI$3,Touchpoints!$A:$C,3,FALSE)=VLOOKUP(PH$3,Touchpoints!$A:$C,3,FALSE),"",IF(VLOOKUP(PI$3,Touchpoints!$A:$C,3,FALSE)=0,"",VLOOKUP(PI$3,Touchpoints!$A:$C,3,FALSE)))),"")</f>
        <v/>
      </c>
      <c r="PJ1" s="2" t="str">
        <f>IFERROR(IF(PJ$3 = 1, Touchpoints!$C$2,IF(VLOOKUP(PJ$3,Touchpoints!$A:$C,3,FALSE)=VLOOKUP(PI$3,Touchpoints!$A:$C,3,FALSE),"",IF(VLOOKUP(PJ$3,Touchpoints!$A:$C,3,FALSE)=0,"",VLOOKUP(PJ$3,Touchpoints!$A:$C,3,FALSE)))),"")</f>
        <v/>
      </c>
      <c r="PK1" s="2" t="str">
        <f>IFERROR(IF(PK$3 = 1, Touchpoints!$C$2,IF(VLOOKUP(PK$3,Touchpoints!$A:$C,3,FALSE)=VLOOKUP(PJ$3,Touchpoints!$A:$C,3,FALSE),"",IF(VLOOKUP(PK$3,Touchpoints!$A:$C,3,FALSE)=0,"",VLOOKUP(PK$3,Touchpoints!$A:$C,3,FALSE)))),"")</f>
        <v/>
      </c>
      <c r="PL1" s="2" t="str">
        <f>IFERROR(IF(PL$3 = 1, Touchpoints!$C$2,IF(VLOOKUP(PL$3,Touchpoints!$A:$C,3,FALSE)=VLOOKUP(PK$3,Touchpoints!$A:$C,3,FALSE),"",IF(VLOOKUP(PL$3,Touchpoints!$A:$C,3,FALSE)=0,"",VLOOKUP(PL$3,Touchpoints!$A:$C,3,FALSE)))),"")</f>
        <v/>
      </c>
      <c r="PM1" s="2" t="str">
        <f>IFERROR(IF(PM$3 = 1, Touchpoints!$C$2,IF(VLOOKUP(PM$3,Touchpoints!$A:$C,3,FALSE)=VLOOKUP(PL$3,Touchpoints!$A:$C,3,FALSE),"",IF(VLOOKUP(PM$3,Touchpoints!$A:$C,3,FALSE)=0,"",VLOOKUP(PM$3,Touchpoints!$A:$C,3,FALSE)))),"")</f>
        <v/>
      </c>
      <c r="PN1" s="2" t="str">
        <f>IFERROR(IF(PN$3 = 1, Touchpoints!$C$2,IF(VLOOKUP(PN$3,Touchpoints!$A:$C,3,FALSE)=VLOOKUP(PM$3,Touchpoints!$A:$C,3,FALSE),"",IF(VLOOKUP(PN$3,Touchpoints!$A:$C,3,FALSE)=0,"",VLOOKUP(PN$3,Touchpoints!$A:$C,3,FALSE)))),"")</f>
        <v/>
      </c>
      <c r="PO1" s="2" t="str">
        <f>IFERROR(IF(PO$3 = 1, Touchpoints!$C$2,IF(VLOOKUP(PO$3,Touchpoints!$A:$C,3,FALSE)=VLOOKUP(PN$3,Touchpoints!$A:$C,3,FALSE),"",IF(VLOOKUP(PO$3,Touchpoints!$A:$C,3,FALSE)=0,"",VLOOKUP(PO$3,Touchpoints!$A:$C,3,FALSE)))),"")</f>
        <v/>
      </c>
      <c r="PP1" s="2" t="str">
        <f>IFERROR(IF(PP$3 = 1, Touchpoints!$C$2,IF(VLOOKUP(PP$3,Touchpoints!$A:$C,3,FALSE)=VLOOKUP(PO$3,Touchpoints!$A:$C,3,FALSE),"",IF(VLOOKUP(PP$3,Touchpoints!$A:$C,3,FALSE)=0,"",VLOOKUP(PP$3,Touchpoints!$A:$C,3,FALSE)))),"")</f>
        <v/>
      </c>
      <c r="PQ1" s="2" t="str">
        <f>IFERROR(IF(PQ$3 = 1, Touchpoints!$C$2,IF(VLOOKUP(PQ$3,Touchpoints!$A:$C,3,FALSE)=VLOOKUP(PP$3,Touchpoints!$A:$C,3,FALSE),"",IF(VLOOKUP(PQ$3,Touchpoints!$A:$C,3,FALSE)=0,"",VLOOKUP(PQ$3,Touchpoints!$A:$C,3,FALSE)))),"")</f>
        <v/>
      </c>
      <c r="PR1" s="2" t="str">
        <f>IFERROR(IF(PR$3 = 1, Touchpoints!$C$2,IF(VLOOKUP(PR$3,Touchpoints!$A:$C,3,FALSE)=VLOOKUP(PQ$3,Touchpoints!$A:$C,3,FALSE),"",IF(VLOOKUP(PR$3,Touchpoints!$A:$C,3,FALSE)=0,"",VLOOKUP(PR$3,Touchpoints!$A:$C,3,FALSE)))),"")</f>
        <v/>
      </c>
      <c r="PS1" s="2" t="str">
        <f>IFERROR(IF(PS$3 = 1, Touchpoints!$C$2,IF(VLOOKUP(PS$3,Touchpoints!$A:$C,3,FALSE)=VLOOKUP(PR$3,Touchpoints!$A:$C,3,FALSE),"",IF(VLOOKUP(PS$3,Touchpoints!$A:$C,3,FALSE)=0,"",VLOOKUP(PS$3,Touchpoints!$A:$C,3,FALSE)))),"")</f>
        <v/>
      </c>
      <c r="PT1" s="2" t="str">
        <f>IFERROR(IF(PT$3 = 1, Touchpoints!$C$2,IF(VLOOKUP(PT$3,Touchpoints!$A:$C,3,FALSE)=VLOOKUP(PS$3,Touchpoints!$A:$C,3,FALSE),"",IF(VLOOKUP(PT$3,Touchpoints!$A:$C,3,FALSE)=0,"",VLOOKUP(PT$3,Touchpoints!$A:$C,3,FALSE)))),"")</f>
        <v/>
      </c>
      <c r="PU1" s="2" t="str">
        <f>IFERROR(IF(PU$3 = 1, Touchpoints!$C$2,IF(VLOOKUP(PU$3,Touchpoints!$A:$C,3,FALSE)=VLOOKUP(PT$3,Touchpoints!$A:$C,3,FALSE),"",IF(VLOOKUP(PU$3,Touchpoints!$A:$C,3,FALSE)=0,"",VLOOKUP(PU$3,Touchpoints!$A:$C,3,FALSE)))),"")</f>
        <v/>
      </c>
      <c r="PV1" s="2" t="str">
        <f>IFERROR(IF(PV$3 = 1, Touchpoints!$C$2,IF(VLOOKUP(PV$3,Touchpoints!$A:$C,3,FALSE)=VLOOKUP(PU$3,Touchpoints!$A:$C,3,FALSE),"",IF(VLOOKUP(PV$3,Touchpoints!$A:$C,3,FALSE)=0,"",VLOOKUP(PV$3,Touchpoints!$A:$C,3,FALSE)))),"")</f>
        <v/>
      </c>
      <c r="PW1" s="2" t="str">
        <f>IFERROR(IF(PW$3 = 1, Touchpoints!$C$2,IF(VLOOKUP(PW$3,Touchpoints!$A:$C,3,FALSE)=VLOOKUP(PV$3,Touchpoints!$A:$C,3,FALSE),"",IF(VLOOKUP(PW$3,Touchpoints!$A:$C,3,FALSE)=0,"",VLOOKUP(PW$3,Touchpoints!$A:$C,3,FALSE)))),"")</f>
        <v/>
      </c>
      <c r="PX1" s="2" t="str">
        <f>IFERROR(IF(PX$3 = 1, Touchpoints!$C$2,IF(VLOOKUP(PX$3,Touchpoints!$A:$C,3,FALSE)=VLOOKUP(PW$3,Touchpoints!$A:$C,3,FALSE),"",IF(VLOOKUP(PX$3,Touchpoints!$A:$C,3,FALSE)=0,"",VLOOKUP(PX$3,Touchpoints!$A:$C,3,FALSE)))),"")</f>
        <v/>
      </c>
      <c r="PY1" s="2" t="str">
        <f>IFERROR(IF(PY$3 = 1, Touchpoints!$C$2,IF(VLOOKUP(PY$3,Touchpoints!$A:$C,3,FALSE)=VLOOKUP(PX$3,Touchpoints!$A:$C,3,FALSE),"",IF(VLOOKUP(PY$3,Touchpoints!$A:$C,3,FALSE)=0,"",VLOOKUP(PY$3,Touchpoints!$A:$C,3,FALSE)))),"")</f>
        <v/>
      </c>
      <c r="PZ1" s="2" t="str">
        <f>IFERROR(IF(PZ$3 = 1, Touchpoints!$C$2,IF(VLOOKUP(PZ$3,Touchpoints!$A:$C,3,FALSE)=VLOOKUP(PY$3,Touchpoints!$A:$C,3,FALSE),"",IF(VLOOKUP(PZ$3,Touchpoints!$A:$C,3,FALSE)=0,"",VLOOKUP(PZ$3,Touchpoints!$A:$C,3,FALSE)))),"")</f>
        <v/>
      </c>
      <c r="QA1" s="2" t="str">
        <f>IFERROR(IF(QA$3 = 1, Touchpoints!$C$2,IF(VLOOKUP(QA$3,Touchpoints!$A:$C,3,FALSE)=VLOOKUP(PZ$3,Touchpoints!$A:$C,3,FALSE),"",IF(VLOOKUP(QA$3,Touchpoints!$A:$C,3,FALSE)=0,"",VLOOKUP(QA$3,Touchpoints!$A:$C,3,FALSE)))),"")</f>
        <v/>
      </c>
      <c r="QB1" s="2" t="str">
        <f>IFERROR(IF(QB$3 = 1, Touchpoints!$C$2,IF(VLOOKUP(QB$3,Touchpoints!$A:$C,3,FALSE)=VLOOKUP(QA$3,Touchpoints!$A:$C,3,FALSE),"",IF(VLOOKUP(QB$3,Touchpoints!$A:$C,3,FALSE)=0,"",VLOOKUP(QB$3,Touchpoints!$A:$C,3,FALSE)))),"")</f>
        <v/>
      </c>
      <c r="QC1" s="2" t="str">
        <f>IFERROR(IF(QC$3 = 1, Touchpoints!$C$2,IF(VLOOKUP(QC$3,Touchpoints!$A:$C,3,FALSE)=VLOOKUP(QB$3,Touchpoints!$A:$C,3,FALSE),"",IF(VLOOKUP(QC$3,Touchpoints!$A:$C,3,FALSE)=0,"",VLOOKUP(QC$3,Touchpoints!$A:$C,3,FALSE)))),"")</f>
        <v/>
      </c>
      <c r="QD1" s="2" t="str">
        <f>IFERROR(IF(QD$3 = 1, Touchpoints!$C$2,IF(VLOOKUP(QD$3,Touchpoints!$A:$C,3,FALSE)=VLOOKUP(QC$3,Touchpoints!$A:$C,3,FALSE),"",IF(VLOOKUP(QD$3,Touchpoints!$A:$C,3,FALSE)=0,"",VLOOKUP(QD$3,Touchpoints!$A:$C,3,FALSE)))),"")</f>
        <v/>
      </c>
      <c r="QE1" s="2" t="str">
        <f>IFERROR(IF(QE$3 = 1, Touchpoints!$C$2,IF(VLOOKUP(QE$3,Touchpoints!$A:$C,3,FALSE)=VLOOKUP(QD$3,Touchpoints!$A:$C,3,FALSE),"",IF(VLOOKUP(QE$3,Touchpoints!$A:$C,3,FALSE)=0,"",VLOOKUP(QE$3,Touchpoints!$A:$C,3,FALSE)))),"")</f>
        <v/>
      </c>
      <c r="QF1" s="2" t="str">
        <f>IFERROR(IF(QF$3 = 1, Touchpoints!$C$2,IF(VLOOKUP(QF$3,Touchpoints!$A:$C,3,FALSE)=VLOOKUP(QE$3,Touchpoints!$A:$C,3,FALSE),"",IF(VLOOKUP(QF$3,Touchpoints!$A:$C,3,FALSE)=0,"",VLOOKUP(QF$3,Touchpoints!$A:$C,3,FALSE)))),"")</f>
        <v/>
      </c>
      <c r="QG1" s="2" t="str">
        <f>IFERROR(IF(QG$3 = 1, Touchpoints!$C$2,IF(VLOOKUP(QG$3,Touchpoints!$A:$C,3,FALSE)=VLOOKUP(QF$3,Touchpoints!$A:$C,3,FALSE),"",IF(VLOOKUP(QG$3,Touchpoints!$A:$C,3,FALSE)=0,"",VLOOKUP(QG$3,Touchpoints!$A:$C,3,FALSE)))),"")</f>
        <v/>
      </c>
      <c r="QH1" s="2" t="str">
        <f>IFERROR(IF(QH$3 = 1, Touchpoints!$C$2,IF(VLOOKUP(QH$3,Touchpoints!$A:$C,3,FALSE)=VLOOKUP(QG$3,Touchpoints!$A:$C,3,FALSE),"",IF(VLOOKUP(QH$3,Touchpoints!$A:$C,3,FALSE)=0,"",VLOOKUP(QH$3,Touchpoints!$A:$C,3,FALSE)))),"")</f>
        <v/>
      </c>
      <c r="QI1" s="2" t="str">
        <f>IFERROR(IF(QI$3 = 1, Touchpoints!$C$2,IF(VLOOKUP(QI$3,Touchpoints!$A:$C,3,FALSE)=VLOOKUP(QH$3,Touchpoints!$A:$C,3,FALSE),"",IF(VLOOKUP(QI$3,Touchpoints!$A:$C,3,FALSE)=0,"",VLOOKUP(QI$3,Touchpoints!$A:$C,3,FALSE)))),"")</f>
        <v/>
      </c>
      <c r="QJ1" s="2" t="str">
        <f>IFERROR(IF(QJ$3 = 1, Touchpoints!$C$2,IF(VLOOKUP(QJ$3,Touchpoints!$A:$C,3,FALSE)=VLOOKUP(QI$3,Touchpoints!$A:$C,3,FALSE),"",IF(VLOOKUP(QJ$3,Touchpoints!$A:$C,3,FALSE)=0,"",VLOOKUP(QJ$3,Touchpoints!$A:$C,3,FALSE)))),"")</f>
        <v/>
      </c>
      <c r="QK1" s="2" t="str">
        <f>IFERROR(IF(QK$3 = 1, Touchpoints!$C$2,IF(VLOOKUP(QK$3,Touchpoints!$A:$C,3,FALSE)=VLOOKUP(QJ$3,Touchpoints!$A:$C,3,FALSE),"",IF(VLOOKUP(QK$3,Touchpoints!$A:$C,3,FALSE)=0,"",VLOOKUP(QK$3,Touchpoints!$A:$C,3,FALSE)))),"")</f>
        <v/>
      </c>
      <c r="QL1" s="2" t="str">
        <f>IFERROR(IF(QL$3 = 1, Touchpoints!$C$2,IF(VLOOKUP(QL$3,Touchpoints!$A:$C,3,FALSE)=VLOOKUP(QK$3,Touchpoints!$A:$C,3,FALSE),"",IF(VLOOKUP(QL$3,Touchpoints!$A:$C,3,FALSE)=0,"",VLOOKUP(QL$3,Touchpoints!$A:$C,3,FALSE)))),"")</f>
        <v/>
      </c>
      <c r="QM1" s="2" t="str">
        <f>IFERROR(IF(QM$3 = 1, Touchpoints!$C$2,IF(VLOOKUP(QM$3,Touchpoints!$A:$C,3,FALSE)=VLOOKUP(QL$3,Touchpoints!$A:$C,3,FALSE),"",IF(VLOOKUP(QM$3,Touchpoints!$A:$C,3,FALSE)=0,"",VLOOKUP(QM$3,Touchpoints!$A:$C,3,FALSE)))),"")</f>
        <v/>
      </c>
      <c r="QN1" s="2" t="str">
        <f>IFERROR(IF(QN$3 = 1, Touchpoints!$C$2,IF(VLOOKUP(QN$3,Touchpoints!$A:$C,3,FALSE)=VLOOKUP(QM$3,Touchpoints!$A:$C,3,FALSE),"",IF(VLOOKUP(QN$3,Touchpoints!$A:$C,3,FALSE)=0,"",VLOOKUP(QN$3,Touchpoints!$A:$C,3,FALSE)))),"")</f>
        <v/>
      </c>
      <c r="QO1" s="2" t="str">
        <f>IFERROR(IF(QO$3 = 1, Touchpoints!$C$2,IF(VLOOKUP(QO$3,Touchpoints!$A:$C,3,FALSE)=VLOOKUP(QN$3,Touchpoints!$A:$C,3,FALSE),"",IF(VLOOKUP(QO$3,Touchpoints!$A:$C,3,FALSE)=0,"",VLOOKUP(QO$3,Touchpoints!$A:$C,3,FALSE)))),"")</f>
        <v/>
      </c>
      <c r="QP1" s="2" t="str">
        <f>IFERROR(IF(QP$3 = 1, Touchpoints!$C$2,IF(VLOOKUP(QP$3,Touchpoints!$A:$C,3,FALSE)=VLOOKUP(QO$3,Touchpoints!$A:$C,3,FALSE),"",IF(VLOOKUP(QP$3,Touchpoints!$A:$C,3,FALSE)=0,"",VLOOKUP(QP$3,Touchpoints!$A:$C,3,FALSE)))),"")</f>
        <v/>
      </c>
      <c r="QQ1" s="2" t="str">
        <f>IFERROR(IF(QQ$3 = 1, Touchpoints!$C$2,IF(VLOOKUP(QQ$3,Touchpoints!$A:$C,3,FALSE)=VLOOKUP(QP$3,Touchpoints!$A:$C,3,FALSE),"",IF(VLOOKUP(QQ$3,Touchpoints!$A:$C,3,FALSE)=0,"",VLOOKUP(QQ$3,Touchpoints!$A:$C,3,FALSE)))),"")</f>
        <v/>
      </c>
      <c r="QR1" s="2" t="str">
        <f>IFERROR(IF(QR$3 = 1, Touchpoints!$C$2,IF(VLOOKUP(QR$3,Touchpoints!$A:$C,3,FALSE)=VLOOKUP(QQ$3,Touchpoints!$A:$C,3,FALSE),"",IF(VLOOKUP(QR$3,Touchpoints!$A:$C,3,FALSE)=0,"",VLOOKUP(QR$3,Touchpoints!$A:$C,3,FALSE)))),"")</f>
        <v/>
      </c>
      <c r="QS1" s="2" t="str">
        <f>IFERROR(IF(QS$3 = 1, Touchpoints!$C$2,IF(VLOOKUP(QS$3,Touchpoints!$A:$C,3,FALSE)=VLOOKUP(QR$3,Touchpoints!$A:$C,3,FALSE),"",IF(VLOOKUP(QS$3,Touchpoints!$A:$C,3,FALSE)=0,"",VLOOKUP(QS$3,Touchpoints!$A:$C,3,FALSE)))),"")</f>
        <v/>
      </c>
      <c r="QT1" s="2" t="str">
        <f>IFERROR(IF(QT$3 = 1, Touchpoints!$C$2,IF(VLOOKUP(QT$3,Touchpoints!$A:$C,3,FALSE)=VLOOKUP(QS$3,Touchpoints!$A:$C,3,FALSE),"",IF(VLOOKUP(QT$3,Touchpoints!$A:$C,3,FALSE)=0,"",VLOOKUP(QT$3,Touchpoints!$A:$C,3,FALSE)))),"")</f>
        <v/>
      </c>
      <c r="QU1" s="2" t="str">
        <f>IFERROR(IF(QU$3 = 1, Touchpoints!$C$2,IF(VLOOKUP(QU$3,Touchpoints!$A:$C,3,FALSE)=VLOOKUP(QT$3,Touchpoints!$A:$C,3,FALSE),"",IF(VLOOKUP(QU$3,Touchpoints!$A:$C,3,FALSE)=0,"",VLOOKUP(QU$3,Touchpoints!$A:$C,3,FALSE)))),"")</f>
        <v/>
      </c>
      <c r="QV1" s="2" t="str">
        <f>IFERROR(IF(QV$3 = 1, Touchpoints!$C$2,IF(VLOOKUP(QV$3,Touchpoints!$A:$C,3,FALSE)=VLOOKUP(QU$3,Touchpoints!$A:$C,3,FALSE),"",IF(VLOOKUP(QV$3,Touchpoints!$A:$C,3,FALSE)=0,"",VLOOKUP(QV$3,Touchpoints!$A:$C,3,FALSE)))),"")</f>
        <v/>
      </c>
      <c r="QW1" s="2" t="str">
        <f>IFERROR(IF(QW$3 = 1, Touchpoints!$C$2,IF(VLOOKUP(QW$3,Touchpoints!$A:$C,3,FALSE)=VLOOKUP(QV$3,Touchpoints!$A:$C,3,FALSE),"",IF(VLOOKUP(QW$3,Touchpoints!$A:$C,3,FALSE)=0,"",VLOOKUP(QW$3,Touchpoints!$A:$C,3,FALSE)))),"")</f>
        <v/>
      </c>
      <c r="QX1" s="2" t="str">
        <f>IFERROR(IF(QX$3 = 1, Touchpoints!$C$2,IF(VLOOKUP(QX$3,Touchpoints!$A:$C,3,FALSE)=VLOOKUP(QW$3,Touchpoints!$A:$C,3,FALSE),"",IF(VLOOKUP(QX$3,Touchpoints!$A:$C,3,FALSE)=0,"",VLOOKUP(QX$3,Touchpoints!$A:$C,3,FALSE)))),"")</f>
        <v/>
      </c>
      <c r="QY1" s="2" t="str">
        <f>IFERROR(IF(QY$3 = 1, Touchpoints!$C$2,IF(VLOOKUP(QY$3,Touchpoints!$A:$C,3,FALSE)=VLOOKUP(QX$3,Touchpoints!$A:$C,3,FALSE),"",IF(VLOOKUP(QY$3,Touchpoints!$A:$C,3,FALSE)=0,"",VLOOKUP(QY$3,Touchpoints!$A:$C,3,FALSE)))),"")</f>
        <v/>
      </c>
      <c r="QZ1" s="2" t="str">
        <f>IFERROR(IF(QZ$3 = 1, Touchpoints!$C$2,IF(VLOOKUP(QZ$3,Touchpoints!$A:$C,3,FALSE)=VLOOKUP(QY$3,Touchpoints!$A:$C,3,FALSE),"",IF(VLOOKUP(QZ$3,Touchpoints!$A:$C,3,FALSE)=0,"",VLOOKUP(QZ$3,Touchpoints!$A:$C,3,FALSE)))),"")</f>
        <v/>
      </c>
      <c r="RA1" s="2" t="str">
        <f>IFERROR(IF(RA$3 = 1, Touchpoints!$C$2,IF(VLOOKUP(RA$3,Touchpoints!$A:$C,3,FALSE)=VLOOKUP(QZ$3,Touchpoints!$A:$C,3,FALSE),"",IF(VLOOKUP(RA$3,Touchpoints!$A:$C,3,FALSE)=0,"",VLOOKUP(RA$3,Touchpoints!$A:$C,3,FALSE)))),"")</f>
        <v/>
      </c>
      <c r="RB1" s="2" t="str">
        <f>IFERROR(IF(RB$3 = 1, Touchpoints!$C$2,IF(VLOOKUP(RB$3,Touchpoints!$A:$C,3,FALSE)=VLOOKUP(RA$3,Touchpoints!$A:$C,3,FALSE),"",IF(VLOOKUP(RB$3,Touchpoints!$A:$C,3,FALSE)=0,"",VLOOKUP(RB$3,Touchpoints!$A:$C,3,FALSE)))),"")</f>
        <v/>
      </c>
      <c r="RC1" s="2" t="str">
        <f>IFERROR(IF(RC$3 = 1, Touchpoints!$C$2,IF(VLOOKUP(RC$3,Touchpoints!$A:$C,3,FALSE)=VLOOKUP(RB$3,Touchpoints!$A:$C,3,FALSE),"",IF(VLOOKUP(RC$3,Touchpoints!$A:$C,3,FALSE)=0,"",VLOOKUP(RC$3,Touchpoints!$A:$C,3,FALSE)))),"")</f>
        <v/>
      </c>
      <c r="RD1" s="2" t="str">
        <f>IFERROR(IF(RD$3 = 1, Touchpoints!$C$2,IF(VLOOKUP(RD$3,Touchpoints!$A:$C,3,FALSE)=VLOOKUP(RC$3,Touchpoints!$A:$C,3,FALSE),"",IF(VLOOKUP(RD$3,Touchpoints!$A:$C,3,FALSE)=0,"",VLOOKUP(RD$3,Touchpoints!$A:$C,3,FALSE)))),"")</f>
        <v/>
      </c>
      <c r="RE1" s="2" t="str">
        <f>IFERROR(IF(RE$3 = 1, Touchpoints!$C$2,IF(VLOOKUP(RE$3,Touchpoints!$A:$C,3,FALSE)=VLOOKUP(RD$3,Touchpoints!$A:$C,3,FALSE),"",IF(VLOOKUP(RE$3,Touchpoints!$A:$C,3,FALSE)=0,"",VLOOKUP(RE$3,Touchpoints!$A:$C,3,FALSE)))),"")</f>
        <v/>
      </c>
      <c r="RF1" s="2" t="str">
        <f>IFERROR(IF(RF$3 = 1, Touchpoints!$C$2,IF(VLOOKUP(RF$3,Touchpoints!$A:$C,3,FALSE)=VLOOKUP(RE$3,Touchpoints!$A:$C,3,FALSE),"",IF(VLOOKUP(RF$3,Touchpoints!$A:$C,3,FALSE)=0,"",VLOOKUP(RF$3,Touchpoints!$A:$C,3,FALSE)))),"")</f>
        <v/>
      </c>
      <c r="RG1" s="2" t="str">
        <f>IFERROR(IF(RG$3 = 1, Touchpoints!$C$2,IF(VLOOKUP(RG$3,Touchpoints!$A:$C,3,FALSE)=VLOOKUP(RF$3,Touchpoints!$A:$C,3,FALSE),"",IF(VLOOKUP(RG$3,Touchpoints!$A:$C,3,FALSE)=0,"",VLOOKUP(RG$3,Touchpoints!$A:$C,3,FALSE)))),"")</f>
        <v/>
      </c>
      <c r="RH1" s="2" t="str">
        <f>IFERROR(IF(RH$3 = 1, Touchpoints!$C$2,IF(VLOOKUP(RH$3,Touchpoints!$A:$C,3,FALSE)=VLOOKUP(RG$3,Touchpoints!$A:$C,3,FALSE),"",IF(VLOOKUP(RH$3,Touchpoints!$A:$C,3,FALSE)=0,"",VLOOKUP(RH$3,Touchpoints!$A:$C,3,FALSE)))),"")</f>
        <v/>
      </c>
      <c r="RI1" s="2" t="str">
        <f>IFERROR(IF(RI$3 = 1, Touchpoints!$C$2,IF(VLOOKUP(RI$3,Touchpoints!$A:$C,3,FALSE)=VLOOKUP(RH$3,Touchpoints!$A:$C,3,FALSE),"",IF(VLOOKUP(RI$3,Touchpoints!$A:$C,3,FALSE)=0,"",VLOOKUP(RI$3,Touchpoints!$A:$C,3,FALSE)))),"")</f>
        <v/>
      </c>
      <c r="RJ1" s="2" t="str">
        <f>IFERROR(IF(RJ$3 = 1, Touchpoints!$C$2,IF(VLOOKUP(RJ$3,Touchpoints!$A:$C,3,FALSE)=VLOOKUP(RI$3,Touchpoints!$A:$C,3,FALSE),"",IF(VLOOKUP(RJ$3,Touchpoints!$A:$C,3,FALSE)=0,"",VLOOKUP(RJ$3,Touchpoints!$A:$C,3,FALSE)))),"")</f>
        <v/>
      </c>
      <c r="RK1" s="2" t="str">
        <f>IFERROR(IF(RK$3 = 1, Touchpoints!$C$2,IF(VLOOKUP(RK$3,Touchpoints!$A:$C,3,FALSE)=VLOOKUP(RJ$3,Touchpoints!$A:$C,3,FALSE),"",IF(VLOOKUP(RK$3,Touchpoints!$A:$C,3,FALSE)=0,"",VLOOKUP(RK$3,Touchpoints!$A:$C,3,FALSE)))),"")</f>
        <v/>
      </c>
      <c r="RL1" s="2" t="str">
        <f>IFERROR(IF(RL$3 = 1, Touchpoints!$C$2,IF(VLOOKUP(RL$3,Touchpoints!$A:$C,3,FALSE)=VLOOKUP(RK$3,Touchpoints!$A:$C,3,FALSE),"",IF(VLOOKUP(RL$3,Touchpoints!$A:$C,3,FALSE)=0,"",VLOOKUP(RL$3,Touchpoints!$A:$C,3,FALSE)))),"")</f>
        <v/>
      </c>
      <c r="RM1" s="2" t="str">
        <f>IFERROR(IF(RM$3 = 1, Touchpoints!$C$2,IF(VLOOKUP(RM$3,Touchpoints!$A:$C,3,FALSE)=VLOOKUP(RL$3,Touchpoints!$A:$C,3,FALSE),"",IF(VLOOKUP(RM$3,Touchpoints!$A:$C,3,FALSE)=0,"",VLOOKUP(RM$3,Touchpoints!$A:$C,3,FALSE)))),"")</f>
        <v/>
      </c>
      <c r="RN1" s="2" t="str">
        <f>IFERROR(IF(RN$3 = 1, Touchpoints!$C$2,IF(VLOOKUP(RN$3,Touchpoints!$A:$C,3,FALSE)=VLOOKUP(RM$3,Touchpoints!$A:$C,3,FALSE),"",IF(VLOOKUP(RN$3,Touchpoints!$A:$C,3,FALSE)=0,"",VLOOKUP(RN$3,Touchpoints!$A:$C,3,FALSE)))),"")</f>
        <v/>
      </c>
      <c r="RO1" s="2" t="str">
        <f>IFERROR(IF(RO$3 = 1, Touchpoints!$C$2,IF(VLOOKUP(RO$3,Touchpoints!$A:$C,3,FALSE)=VLOOKUP(RN$3,Touchpoints!$A:$C,3,FALSE),"",IF(VLOOKUP(RO$3,Touchpoints!$A:$C,3,FALSE)=0,"",VLOOKUP(RO$3,Touchpoints!$A:$C,3,FALSE)))),"")</f>
        <v/>
      </c>
      <c r="RP1" s="2" t="str">
        <f>IFERROR(IF(RP$3 = 1, Touchpoints!$C$2,IF(VLOOKUP(RP$3,Touchpoints!$A:$C,3,FALSE)=VLOOKUP(RO$3,Touchpoints!$A:$C,3,FALSE),"",IF(VLOOKUP(RP$3,Touchpoints!$A:$C,3,FALSE)=0,"",VLOOKUP(RP$3,Touchpoints!$A:$C,3,FALSE)))),"")</f>
        <v/>
      </c>
      <c r="RQ1" s="2" t="str">
        <f>IFERROR(IF(RQ$3 = 1, Touchpoints!$C$2,IF(VLOOKUP(RQ$3,Touchpoints!$A:$C,3,FALSE)=VLOOKUP(RP$3,Touchpoints!$A:$C,3,FALSE),"",IF(VLOOKUP(RQ$3,Touchpoints!$A:$C,3,FALSE)=0,"",VLOOKUP(RQ$3,Touchpoints!$A:$C,3,FALSE)))),"")</f>
        <v/>
      </c>
      <c r="RR1" s="2" t="str">
        <f>IFERROR(IF(RR$3 = 1, Touchpoints!$C$2,IF(VLOOKUP(RR$3,Touchpoints!$A:$C,3,FALSE)=VLOOKUP(RQ$3,Touchpoints!$A:$C,3,FALSE),"",IF(VLOOKUP(RR$3,Touchpoints!$A:$C,3,FALSE)=0,"",VLOOKUP(RR$3,Touchpoints!$A:$C,3,FALSE)))),"")</f>
        <v/>
      </c>
      <c r="RS1" s="2" t="str">
        <f>IFERROR(IF(RS$3 = 1, Touchpoints!$C$2,IF(VLOOKUP(RS$3,Touchpoints!$A:$C,3,FALSE)=VLOOKUP(RR$3,Touchpoints!$A:$C,3,FALSE),"",IF(VLOOKUP(RS$3,Touchpoints!$A:$C,3,FALSE)=0,"",VLOOKUP(RS$3,Touchpoints!$A:$C,3,FALSE)))),"")</f>
        <v/>
      </c>
      <c r="RT1" s="2" t="str">
        <f>IFERROR(IF(RT$3 = 1, Touchpoints!$C$2,IF(VLOOKUP(RT$3,Touchpoints!$A:$C,3,FALSE)=VLOOKUP(RS$3,Touchpoints!$A:$C,3,FALSE),"",IF(VLOOKUP(RT$3,Touchpoints!$A:$C,3,FALSE)=0,"",VLOOKUP(RT$3,Touchpoints!$A:$C,3,FALSE)))),"")</f>
        <v/>
      </c>
      <c r="RU1" s="2" t="str">
        <f>IFERROR(IF(RU$3 = 1, Touchpoints!$C$2,IF(VLOOKUP(RU$3,Touchpoints!$A:$C,3,FALSE)=VLOOKUP(RT$3,Touchpoints!$A:$C,3,FALSE),"",IF(VLOOKUP(RU$3,Touchpoints!$A:$C,3,FALSE)=0,"",VLOOKUP(RU$3,Touchpoints!$A:$C,3,FALSE)))),"")</f>
        <v/>
      </c>
      <c r="RV1" s="2" t="str">
        <f>IFERROR(IF(RV$3 = 1, Touchpoints!$C$2,IF(VLOOKUP(RV$3,Touchpoints!$A:$C,3,FALSE)=VLOOKUP(RU$3,Touchpoints!$A:$C,3,FALSE),"",IF(VLOOKUP(RV$3,Touchpoints!$A:$C,3,FALSE)=0,"",VLOOKUP(RV$3,Touchpoints!$A:$C,3,FALSE)))),"")</f>
        <v/>
      </c>
      <c r="RW1" s="2" t="str">
        <f>IFERROR(IF(RW$3 = 1, Touchpoints!$C$2,IF(VLOOKUP(RW$3,Touchpoints!$A:$C,3,FALSE)=VLOOKUP(RV$3,Touchpoints!$A:$C,3,FALSE),"",IF(VLOOKUP(RW$3,Touchpoints!$A:$C,3,FALSE)=0,"",VLOOKUP(RW$3,Touchpoints!$A:$C,3,FALSE)))),"")</f>
        <v/>
      </c>
      <c r="RX1" s="2" t="str">
        <f>IFERROR(IF(RX$3 = 1, Touchpoints!$C$2,IF(VLOOKUP(RX$3,Touchpoints!$A:$C,3,FALSE)=VLOOKUP(RW$3,Touchpoints!$A:$C,3,FALSE),"",IF(VLOOKUP(RX$3,Touchpoints!$A:$C,3,FALSE)=0,"",VLOOKUP(RX$3,Touchpoints!$A:$C,3,FALSE)))),"")</f>
        <v/>
      </c>
      <c r="RY1" s="2" t="str">
        <f>IFERROR(IF(RY$3 = 1, Touchpoints!$C$2,IF(VLOOKUP(RY$3,Touchpoints!$A:$C,3,FALSE)=VLOOKUP(RX$3,Touchpoints!$A:$C,3,FALSE),"",IF(VLOOKUP(RY$3,Touchpoints!$A:$C,3,FALSE)=0,"",VLOOKUP(RY$3,Touchpoints!$A:$C,3,FALSE)))),"")</f>
        <v/>
      </c>
      <c r="RZ1" s="2" t="str">
        <f>IFERROR(IF(RZ$3 = 1, Touchpoints!$C$2,IF(VLOOKUP(RZ$3,Touchpoints!$A:$C,3,FALSE)=VLOOKUP(RY$3,Touchpoints!$A:$C,3,FALSE),"",IF(VLOOKUP(RZ$3,Touchpoints!$A:$C,3,FALSE)=0,"",VLOOKUP(RZ$3,Touchpoints!$A:$C,3,FALSE)))),"")</f>
        <v/>
      </c>
      <c r="SA1" s="2" t="str">
        <f>IFERROR(IF(SA$3 = 1, Touchpoints!$C$2,IF(VLOOKUP(SA$3,Touchpoints!$A:$C,3,FALSE)=VLOOKUP(RZ$3,Touchpoints!$A:$C,3,FALSE),"",IF(VLOOKUP(SA$3,Touchpoints!$A:$C,3,FALSE)=0,"",VLOOKUP(SA$3,Touchpoints!$A:$C,3,FALSE)))),"")</f>
        <v/>
      </c>
      <c r="SB1" s="2" t="str">
        <f>IFERROR(IF(SB$3 = 1, Touchpoints!$C$2,IF(VLOOKUP(SB$3,Touchpoints!$A:$C,3,FALSE)=VLOOKUP(SA$3,Touchpoints!$A:$C,3,FALSE),"",IF(VLOOKUP(SB$3,Touchpoints!$A:$C,3,FALSE)=0,"",VLOOKUP(SB$3,Touchpoints!$A:$C,3,FALSE)))),"")</f>
        <v/>
      </c>
      <c r="SC1" s="2" t="str">
        <f>IFERROR(IF(SC$3 = 1, Touchpoints!$C$2,IF(VLOOKUP(SC$3,Touchpoints!$A:$C,3,FALSE)=VLOOKUP(SB$3,Touchpoints!$A:$C,3,FALSE),"",IF(VLOOKUP(SC$3,Touchpoints!$A:$C,3,FALSE)=0,"",VLOOKUP(SC$3,Touchpoints!$A:$C,3,FALSE)))),"")</f>
        <v/>
      </c>
      <c r="SD1" s="2" t="str">
        <f>IFERROR(IF(SD$3 = 1, Touchpoints!$C$2,IF(VLOOKUP(SD$3,Touchpoints!$A:$C,3,FALSE)=VLOOKUP(SC$3,Touchpoints!$A:$C,3,FALSE),"",IF(VLOOKUP(SD$3,Touchpoints!$A:$C,3,FALSE)=0,"",VLOOKUP(SD$3,Touchpoints!$A:$C,3,FALSE)))),"")</f>
        <v/>
      </c>
      <c r="SE1" s="2" t="str">
        <f>IFERROR(IF(SE$3 = 1, Touchpoints!$C$2,IF(VLOOKUP(SE$3,Touchpoints!$A:$C,3,FALSE)=VLOOKUP(SD$3,Touchpoints!$A:$C,3,FALSE),"",IF(VLOOKUP(SE$3,Touchpoints!$A:$C,3,FALSE)=0,"",VLOOKUP(SE$3,Touchpoints!$A:$C,3,FALSE)))),"")</f>
        <v/>
      </c>
      <c r="SF1" s="2" t="str">
        <f>IFERROR(IF(SF$3 = 1, Touchpoints!$C$2,IF(VLOOKUP(SF$3,Touchpoints!$A:$C,3,FALSE)=VLOOKUP(SE$3,Touchpoints!$A:$C,3,FALSE),"",IF(VLOOKUP(SF$3,Touchpoints!$A:$C,3,FALSE)=0,"",VLOOKUP(SF$3,Touchpoints!$A:$C,3,FALSE)))),"")</f>
        <v/>
      </c>
      <c r="SG1" s="2" t="str">
        <f>IFERROR(IF(SG$3 = 1, Touchpoints!$C$2,IF(VLOOKUP(SG$3,Touchpoints!$A:$C,3,FALSE)=VLOOKUP(SF$3,Touchpoints!$A:$C,3,FALSE),"",IF(VLOOKUP(SG$3,Touchpoints!$A:$C,3,FALSE)=0,"",VLOOKUP(SG$3,Touchpoints!$A:$C,3,FALSE)))),"")</f>
        <v/>
      </c>
      <c r="SH1" s="2" t="str">
        <f>IFERROR(IF(SH$3 = 1, Touchpoints!$C$2,IF(VLOOKUP(SH$3,Touchpoints!$A:$C,3,FALSE)=VLOOKUP(SG$3,Touchpoints!$A:$C,3,FALSE),"",IF(VLOOKUP(SH$3,Touchpoints!$A:$C,3,FALSE)=0,"",VLOOKUP(SH$3,Touchpoints!$A:$C,3,FALSE)))),"")</f>
        <v/>
      </c>
      <c r="SI1" s="2" t="str">
        <f>IFERROR(IF(SI$3 = 1, Touchpoints!$C$2,IF(VLOOKUP(SI$3,Touchpoints!$A:$C,3,FALSE)=VLOOKUP(SH$3,Touchpoints!$A:$C,3,FALSE),"",IF(VLOOKUP(SI$3,Touchpoints!$A:$C,3,FALSE)=0,"",VLOOKUP(SI$3,Touchpoints!$A:$C,3,FALSE)))),"")</f>
        <v/>
      </c>
      <c r="SJ1" s="2" t="str">
        <f>IFERROR(IF(SJ$3 = 1, Touchpoints!$C$2,IF(VLOOKUP(SJ$3,Touchpoints!$A:$C,3,FALSE)=VLOOKUP(SI$3,Touchpoints!$A:$C,3,FALSE),"",IF(VLOOKUP(SJ$3,Touchpoints!$A:$C,3,FALSE)=0,"",VLOOKUP(SJ$3,Touchpoints!$A:$C,3,FALSE)))),"")</f>
        <v/>
      </c>
      <c r="SK1" s="2" t="str">
        <f>IFERROR(IF(SK$3 = 1, Touchpoints!$C$2,IF(VLOOKUP(SK$3,Touchpoints!$A:$C,3,FALSE)=VLOOKUP(SJ$3,Touchpoints!$A:$C,3,FALSE),"",IF(VLOOKUP(SK$3,Touchpoints!$A:$C,3,FALSE)=0,"",VLOOKUP(SK$3,Touchpoints!$A:$C,3,FALSE)))),"")</f>
        <v/>
      </c>
      <c r="SL1" s="2" t="str">
        <f>IFERROR(IF(SL$3 = 1, Touchpoints!$C$2,IF(VLOOKUP(SL$3,Touchpoints!$A:$C,3,FALSE)=VLOOKUP(SK$3,Touchpoints!$A:$C,3,FALSE),"",IF(VLOOKUP(SL$3,Touchpoints!$A:$C,3,FALSE)=0,"",VLOOKUP(SL$3,Touchpoints!$A:$C,3,FALSE)))),"")</f>
        <v/>
      </c>
      <c r="SM1" s="2" t="str">
        <f>IFERROR(IF(SM$3 = 1, Touchpoints!$C$2,IF(VLOOKUP(SM$3,Touchpoints!$A:$C,3,FALSE)=VLOOKUP(SL$3,Touchpoints!$A:$C,3,FALSE),"",IF(VLOOKUP(SM$3,Touchpoints!$A:$C,3,FALSE)=0,"",VLOOKUP(SM$3,Touchpoints!$A:$C,3,FALSE)))),"")</f>
        <v/>
      </c>
      <c r="SN1" s="2" t="str">
        <f>IFERROR(IF(SN$3 = 1, Touchpoints!$C$2,IF(VLOOKUP(SN$3,Touchpoints!$A:$C,3,FALSE)=VLOOKUP(SM$3,Touchpoints!$A:$C,3,FALSE),"",IF(VLOOKUP(SN$3,Touchpoints!$A:$C,3,FALSE)=0,"",VLOOKUP(SN$3,Touchpoints!$A:$C,3,FALSE)))),"")</f>
        <v/>
      </c>
      <c r="SO1" s="2" t="str">
        <f>IFERROR(IF(SO$3 = 1, Touchpoints!$C$2,IF(VLOOKUP(SO$3,Touchpoints!$A:$C,3,FALSE)=VLOOKUP(SN$3,Touchpoints!$A:$C,3,FALSE),"",IF(VLOOKUP(SO$3,Touchpoints!$A:$C,3,FALSE)=0,"",VLOOKUP(SO$3,Touchpoints!$A:$C,3,FALSE)))),"")</f>
        <v/>
      </c>
      <c r="SP1" s="2" t="str">
        <f>IFERROR(IF(SP$3 = 1, Touchpoints!$C$2,IF(VLOOKUP(SP$3,Touchpoints!$A:$C,3,FALSE)=VLOOKUP(SO$3,Touchpoints!$A:$C,3,FALSE),"",IF(VLOOKUP(SP$3,Touchpoints!$A:$C,3,FALSE)=0,"",VLOOKUP(SP$3,Touchpoints!$A:$C,3,FALSE)))),"")</f>
        <v/>
      </c>
      <c r="SQ1" s="2" t="str">
        <f>IFERROR(IF(SQ$3 = 1, Touchpoints!$C$2,IF(VLOOKUP(SQ$3,Touchpoints!$A:$C,3,FALSE)=VLOOKUP(SP$3,Touchpoints!$A:$C,3,FALSE),"",IF(VLOOKUP(SQ$3,Touchpoints!$A:$C,3,FALSE)=0,"",VLOOKUP(SQ$3,Touchpoints!$A:$C,3,FALSE)))),"")</f>
        <v/>
      </c>
      <c r="SR1" s="2" t="str">
        <f>IFERROR(IF(SR$3 = 1, Touchpoints!$C$2,IF(VLOOKUP(SR$3,Touchpoints!$A:$C,3,FALSE)=VLOOKUP(SQ$3,Touchpoints!$A:$C,3,FALSE),"",IF(VLOOKUP(SR$3,Touchpoints!$A:$C,3,FALSE)=0,"",VLOOKUP(SR$3,Touchpoints!$A:$C,3,FALSE)))),"")</f>
        <v/>
      </c>
      <c r="SS1" s="2" t="str">
        <f>IFERROR(IF(SS$3 = 1, Touchpoints!$C$2,IF(VLOOKUP(SS$3,Touchpoints!$A:$C,3,FALSE)=VLOOKUP(SR$3,Touchpoints!$A:$C,3,FALSE),"",IF(VLOOKUP(SS$3,Touchpoints!$A:$C,3,FALSE)=0,"",VLOOKUP(SS$3,Touchpoints!$A:$C,3,FALSE)))),"")</f>
        <v/>
      </c>
      <c r="ST1" s="2" t="str">
        <f>IFERROR(IF(ST$3 = 1, Touchpoints!$C$2,IF(VLOOKUP(ST$3,Touchpoints!$A:$C,3,FALSE)=VLOOKUP(SS$3,Touchpoints!$A:$C,3,FALSE),"",IF(VLOOKUP(ST$3,Touchpoints!$A:$C,3,FALSE)=0,"",VLOOKUP(ST$3,Touchpoints!$A:$C,3,FALSE)))),"")</f>
        <v/>
      </c>
      <c r="SU1" s="2" t="str">
        <f>IFERROR(IF(SU$3 = 1, Touchpoints!$C$2,IF(VLOOKUP(SU$3,Touchpoints!$A:$C,3,FALSE)=VLOOKUP(ST$3,Touchpoints!$A:$C,3,FALSE),"",IF(VLOOKUP(SU$3,Touchpoints!$A:$C,3,FALSE)=0,"",VLOOKUP(SU$3,Touchpoints!$A:$C,3,FALSE)))),"")</f>
        <v/>
      </c>
      <c r="SV1" s="2" t="str">
        <f>IFERROR(IF(SV$3 = 1, Touchpoints!$C$2,IF(VLOOKUP(SV$3,Touchpoints!$A:$C,3,FALSE)=VLOOKUP(SU$3,Touchpoints!$A:$C,3,FALSE),"",IF(VLOOKUP(SV$3,Touchpoints!$A:$C,3,FALSE)=0,"",VLOOKUP(SV$3,Touchpoints!$A:$C,3,FALSE)))),"")</f>
        <v/>
      </c>
      <c r="SW1" s="2" t="str">
        <f>IFERROR(IF(SW$3 = 1, Touchpoints!$C$2,IF(VLOOKUP(SW$3,Touchpoints!$A:$C,3,FALSE)=VLOOKUP(SV$3,Touchpoints!$A:$C,3,FALSE),"",IF(VLOOKUP(SW$3,Touchpoints!$A:$C,3,FALSE)=0,"",VLOOKUP(SW$3,Touchpoints!$A:$C,3,FALSE)))),"")</f>
        <v/>
      </c>
      <c r="SX1" s="2" t="str">
        <f>IFERROR(IF(SX$3 = 1, Touchpoints!$C$2,IF(VLOOKUP(SX$3,Touchpoints!$A:$C,3,FALSE)=VLOOKUP(SW$3,Touchpoints!$A:$C,3,FALSE),"",IF(VLOOKUP(SX$3,Touchpoints!$A:$C,3,FALSE)=0,"",VLOOKUP(SX$3,Touchpoints!$A:$C,3,FALSE)))),"")</f>
        <v/>
      </c>
      <c r="SY1" s="2" t="str">
        <f>IFERROR(IF(SY$3 = 1, Touchpoints!$C$2,IF(VLOOKUP(SY$3,Touchpoints!$A:$C,3,FALSE)=VLOOKUP(SX$3,Touchpoints!$A:$C,3,FALSE),"",IF(VLOOKUP(SY$3,Touchpoints!$A:$C,3,FALSE)=0,"",VLOOKUP(SY$3,Touchpoints!$A:$C,3,FALSE)))),"")</f>
        <v/>
      </c>
      <c r="SZ1" s="2" t="str">
        <f>IFERROR(IF(SZ$3 = 1, Touchpoints!$C$2,IF(VLOOKUP(SZ$3,Touchpoints!$A:$C,3,FALSE)=VLOOKUP(SY$3,Touchpoints!$A:$C,3,FALSE),"",IF(VLOOKUP(SZ$3,Touchpoints!$A:$C,3,FALSE)=0,"",VLOOKUP(SZ$3,Touchpoints!$A:$C,3,FALSE)))),"")</f>
        <v/>
      </c>
      <c r="TA1" s="2" t="str">
        <f>IFERROR(IF(TA$3 = 1, Touchpoints!$C$2,IF(VLOOKUP(TA$3,Touchpoints!$A:$C,3,FALSE)=VLOOKUP(SZ$3,Touchpoints!$A:$C,3,FALSE),"",IF(VLOOKUP(TA$3,Touchpoints!$A:$C,3,FALSE)=0,"",VLOOKUP(TA$3,Touchpoints!$A:$C,3,FALSE)))),"")</f>
        <v/>
      </c>
      <c r="TB1" s="2" t="str">
        <f>IFERROR(IF(TB$3 = 1, Touchpoints!$C$2,IF(VLOOKUP(TB$3,Touchpoints!$A:$C,3,FALSE)=VLOOKUP(TA$3,Touchpoints!$A:$C,3,FALSE),"",IF(VLOOKUP(TB$3,Touchpoints!$A:$C,3,FALSE)=0,"",VLOOKUP(TB$3,Touchpoints!$A:$C,3,FALSE)))),"")</f>
        <v/>
      </c>
      <c r="TC1" s="2" t="str">
        <f>IFERROR(IF(TC$3 = 1, Touchpoints!$C$2,IF(VLOOKUP(TC$3,Touchpoints!$A:$C,3,FALSE)=VLOOKUP(TB$3,Touchpoints!$A:$C,3,FALSE),"",IF(VLOOKUP(TC$3,Touchpoints!$A:$C,3,FALSE)=0,"",VLOOKUP(TC$3,Touchpoints!$A:$C,3,FALSE)))),"")</f>
        <v/>
      </c>
      <c r="TD1" s="2" t="str">
        <f>IFERROR(IF(TD$3 = 1, Touchpoints!$C$2,IF(VLOOKUP(TD$3,Touchpoints!$A:$C,3,FALSE)=VLOOKUP(TC$3,Touchpoints!$A:$C,3,FALSE),"",IF(VLOOKUP(TD$3,Touchpoints!$A:$C,3,FALSE)=0,"",VLOOKUP(TD$3,Touchpoints!$A:$C,3,FALSE)))),"")</f>
        <v/>
      </c>
      <c r="TE1" s="2" t="str">
        <f>IFERROR(IF(TE$3 = 1, Touchpoints!$C$2,IF(VLOOKUP(TE$3,Touchpoints!$A:$C,3,FALSE)=VLOOKUP(TD$3,Touchpoints!$A:$C,3,FALSE),"",IF(VLOOKUP(TE$3,Touchpoints!$A:$C,3,FALSE)=0,"",VLOOKUP(TE$3,Touchpoints!$A:$C,3,FALSE)))),"")</f>
        <v/>
      </c>
      <c r="TF1" s="2" t="str">
        <f>IFERROR(IF(TF$3 = 1, Touchpoints!$C$2,IF(VLOOKUP(TF$3,Touchpoints!$A:$C,3,FALSE)=VLOOKUP(TE$3,Touchpoints!$A:$C,3,FALSE),"",IF(VLOOKUP(TF$3,Touchpoints!$A:$C,3,FALSE)=0,"",VLOOKUP(TF$3,Touchpoints!$A:$C,3,FALSE)))),"")</f>
        <v/>
      </c>
      <c r="TG1" s="2" t="str">
        <f>IFERROR(IF(TG$3 = 1, Touchpoints!$C$2,IF(VLOOKUP(TG$3,Touchpoints!$A:$C,3,FALSE)=VLOOKUP(TF$3,Touchpoints!$A:$C,3,FALSE),"",IF(VLOOKUP(TG$3,Touchpoints!$A:$C,3,FALSE)=0,"",VLOOKUP(TG$3,Touchpoints!$A:$C,3,FALSE)))),"")</f>
        <v/>
      </c>
      <c r="TH1" s="2" t="str">
        <f>IFERROR(IF(TH$3 = 1, Touchpoints!$C$2,IF(VLOOKUP(TH$3,Touchpoints!$A:$C,3,FALSE)=VLOOKUP(TG$3,Touchpoints!$A:$C,3,FALSE),"",IF(VLOOKUP(TH$3,Touchpoints!$A:$C,3,FALSE)=0,"",VLOOKUP(TH$3,Touchpoints!$A:$C,3,FALSE)))),"")</f>
        <v/>
      </c>
      <c r="TI1" s="2" t="str">
        <f>IFERROR(IF(TI$3 = 1, Touchpoints!$C$2,IF(VLOOKUP(TI$3,Touchpoints!$A:$C,3,FALSE)=VLOOKUP(TH$3,Touchpoints!$A:$C,3,FALSE),"",IF(VLOOKUP(TI$3,Touchpoints!$A:$C,3,FALSE)=0,"",VLOOKUP(TI$3,Touchpoints!$A:$C,3,FALSE)))),"")</f>
        <v/>
      </c>
      <c r="TJ1" s="2" t="str">
        <f>IFERROR(IF(TJ$3 = 1, Touchpoints!$C$2,IF(VLOOKUP(TJ$3,Touchpoints!$A:$C,3,FALSE)=VLOOKUP(TI$3,Touchpoints!$A:$C,3,FALSE),"",IF(VLOOKUP(TJ$3,Touchpoints!$A:$C,3,FALSE)=0,"",VLOOKUP(TJ$3,Touchpoints!$A:$C,3,FALSE)))),"")</f>
        <v/>
      </c>
      <c r="TK1" s="2" t="str">
        <f>IFERROR(IF(TK$3 = 1, Touchpoints!$C$2,IF(VLOOKUP(TK$3,Touchpoints!$A:$C,3,FALSE)=VLOOKUP(TJ$3,Touchpoints!$A:$C,3,FALSE),"",IF(VLOOKUP(TK$3,Touchpoints!$A:$C,3,FALSE)=0,"",VLOOKUP(TK$3,Touchpoints!$A:$C,3,FALSE)))),"")</f>
        <v/>
      </c>
      <c r="TL1" s="2" t="str">
        <f>IFERROR(IF(TL$3 = 1, Touchpoints!$C$2,IF(VLOOKUP(TL$3,Touchpoints!$A:$C,3,FALSE)=VLOOKUP(TK$3,Touchpoints!$A:$C,3,FALSE),"",IF(VLOOKUP(TL$3,Touchpoints!$A:$C,3,FALSE)=0,"",VLOOKUP(TL$3,Touchpoints!$A:$C,3,FALSE)))),"")</f>
        <v/>
      </c>
      <c r="TM1" s="2" t="str">
        <f>IFERROR(IF(TM$3 = 1, Touchpoints!$C$2,IF(VLOOKUP(TM$3,Touchpoints!$A:$C,3,FALSE)=VLOOKUP(TL$3,Touchpoints!$A:$C,3,FALSE),"",IF(VLOOKUP(TM$3,Touchpoints!$A:$C,3,FALSE)=0,"",VLOOKUP(TM$3,Touchpoints!$A:$C,3,FALSE)))),"")</f>
        <v/>
      </c>
      <c r="TN1" s="2" t="str">
        <f>IFERROR(IF(TN$3 = 1, Touchpoints!$C$2,IF(VLOOKUP(TN$3,Touchpoints!$A:$C,3,FALSE)=VLOOKUP(TM$3,Touchpoints!$A:$C,3,FALSE),"",IF(VLOOKUP(TN$3,Touchpoints!$A:$C,3,FALSE)=0,"",VLOOKUP(TN$3,Touchpoints!$A:$C,3,FALSE)))),"")</f>
        <v/>
      </c>
      <c r="TO1" s="2" t="str">
        <f>IFERROR(IF(TO$3 = 1, Touchpoints!$C$2,IF(VLOOKUP(TO$3,Touchpoints!$A:$C,3,FALSE)=VLOOKUP(TN$3,Touchpoints!$A:$C,3,FALSE),"",IF(VLOOKUP(TO$3,Touchpoints!$A:$C,3,FALSE)=0,"",VLOOKUP(TO$3,Touchpoints!$A:$C,3,FALSE)))),"")</f>
        <v/>
      </c>
      <c r="TP1" s="2" t="str">
        <f>IFERROR(IF(TP$3 = 1, Touchpoints!$C$2,IF(VLOOKUP(TP$3,Touchpoints!$A:$C,3,FALSE)=VLOOKUP(TO$3,Touchpoints!$A:$C,3,FALSE),"",IF(VLOOKUP(TP$3,Touchpoints!$A:$C,3,FALSE)=0,"",VLOOKUP(TP$3,Touchpoints!$A:$C,3,FALSE)))),"")</f>
        <v/>
      </c>
      <c r="TQ1" s="2" t="str">
        <f>IFERROR(IF(TQ$3 = 1, Touchpoints!$C$2,IF(VLOOKUP(TQ$3,Touchpoints!$A:$C,3,FALSE)=VLOOKUP(TP$3,Touchpoints!$A:$C,3,FALSE),"",IF(VLOOKUP(TQ$3,Touchpoints!$A:$C,3,FALSE)=0,"",VLOOKUP(TQ$3,Touchpoints!$A:$C,3,FALSE)))),"")</f>
        <v/>
      </c>
      <c r="TR1" s="2" t="str">
        <f>IFERROR(IF(TR$3 = 1, Touchpoints!$C$2,IF(VLOOKUP(TR$3,Touchpoints!$A:$C,3,FALSE)=VLOOKUP(TQ$3,Touchpoints!$A:$C,3,FALSE),"",IF(VLOOKUP(TR$3,Touchpoints!$A:$C,3,FALSE)=0,"",VLOOKUP(TR$3,Touchpoints!$A:$C,3,FALSE)))),"")</f>
        <v/>
      </c>
      <c r="TS1" s="2" t="str">
        <f>IFERROR(IF(TS$3 = 1, Touchpoints!$C$2,IF(VLOOKUP(TS$3,Touchpoints!$A:$C,3,FALSE)=VLOOKUP(TR$3,Touchpoints!$A:$C,3,FALSE),"",IF(VLOOKUP(TS$3,Touchpoints!$A:$C,3,FALSE)=0,"",VLOOKUP(TS$3,Touchpoints!$A:$C,3,FALSE)))),"")</f>
        <v/>
      </c>
      <c r="TT1" s="2" t="str">
        <f>IFERROR(IF(TT$3 = 1, Touchpoints!$C$2,IF(VLOOKUP(TT$3,Touchpoints!$A:$C,3,FALSE)=VLOOKUP(TS$3,Touchpoints!$A:$C,3,FALSE),"",IF(VLOOKUP(TT$3,Touchpoints!$A:$C,3,FALSE)=0,"",VLOOKUP(TT$3,Touchpoints!$A:$C,3,FALSE)))),"")</f>
        <v/>
      </c>
      <c r="TU1" s="2" t="str">
        <f>IFERROR(IF(TU$3 = 1, Touchpoints!$C$2,IF(VLOOKUP(TU$3,Touchpoints!$A:$C,3,FALSE)=VLOOKUP(TT$3,Touchpoints!$A:$C,3,FALSE),"",IF(VLOOKUP(TU$3,Touchpoints!$A:$C,3,FALSE)=0,"",VLOOKUP(TU$3,Touchpoints!$A:$C,3,FALSE)))),"")</f>
        <v/>
      </c>
      <c r="TV1" s="2" t="str">
        <f>IFERROR(IF(TV$3 = 1, Touchpoints!$C$2,IF(VLOOKUP(TV$3,Touchpoints!$A:$C,3,FALSE)=VLOOKUP(TU$3,Touchpoints!$A:$C,3,FALSE),"",IF(VLOOKUP(TV$3,Touchpoints!$A:$C,3,FALSE)=0,"",VLOOKUP(TV$3,Touchpoints!$A:$C,3,FALSE)))),"")</f>
        <v/>
      </c>
      <c r="TW1" s="2" t="str">
        <f>IFERROR(IF(TW$3 = 1, Touchpoints!$C$2,IF(VLOOKUP(TW$3,Touchpoints!$A:$C,3,FALSE)=VLOOKUP(TV$3,Touchpoints!$A:$C,3,FALSE),"",IF(VLOOKUP(TW$3,Touchpoints!$A:$C,3,FALSE)=0,"",VLOOKUP(TW$3,Touchpoints!$A:$C,3,FALSE)))),"")</f>
        <v/>
      </c>
      <c r="TX1" s="2" t="str">
        <f>IFERROR(IF(TX$3 = 1, Touchpoints!$C$2,IF(VLOOKUP(TX$3,Touchpoints!$A:$C,3,FALSE)=VLOOKUP(TW$3,Touchpoints!$A:$C,3,FALSE),"",IF(VLOOKUP(TX$3,Touchpoints!$A:$C,3,FALSE)=0,"",VLOOKUP(TX$3,Touchpoints!$A:$C,3,FALSE)))),"")</f>
        <v/>
      </c>
      <c r="TY1" s="2" t="str">
        <f>IFERROR(IF(TY$3 = 1, Touchpoints!$C$2,IF(VLOOKUP(TY$3,Touchpoints!$A:$C,3,FALSE)=VLOOKUP(TX$3,Touchpoints!$A:$C,3,FALSE),"",IF(VLOOKUP(TY$3,Touchpoints!$A:$C,3,FALSE)=0,"",VLOOKUP(TY$3,Touchpoints!$A:$C,3,FALSE)))),"")</f>
        <v/>
      </c>
      <c r="TZ1" s="2" t="str">
        <f>IFERROR(IF(TZ$3 = 1, Touchpoints!$C$2,IF(VLOOKUP(TZ$3,Touchpoints!$A:$C,3,FALSE)=VLOOKUP(TY$3,Touchpoints!$A:$C,3,FALSE),"",IF(VLOOKUP(TZ$3,Touchpoints!$A:$C,3,FALSE)=0,"",VLOOKUP(TZ$3,Touchpoints!$A:$C,3,FALSE)))),"")</f>
        <v/>
      </c>
      <c r="UA1" s="2" t="str">
        <f>IFERROR(IF(UA$3 = 1, Touchpoints!$C$2,IF(VLOOKUP(UA$3,Touchpoints!$A:$C,3,FALSE)=VLOOKUP(TZ$3,Touchpoints!$A:$C,3,FALSE),"",IF(VLOOKUP(UA$3,Touchpoints!$A:$C,3,FALSE)=0,"",VLOOKUP(UA$3,Touchpoints!$A:$C,3,FALSE)))),"")</f>
        <v/>
      </c>
      <c r="UB1" s="2" t="str">
        <f>IFERROR(IF(UB$3 = 1, Touchpoints!$C$2,IF(VLOOKUP(UB$3,Touchpoints!$A:$C,3,FALSE)=VLOOKUP(UA$3,Touchpoints!$A:$C,3,FALSE),"",IF(VLOOKUP(UB$3,Touchpoints!$A:$C,3,FALSE)=0,"",VLOOKUP(UB$3,Touchpoints!$A:$C,3,FALSE)))),"")</f>
        <v/>
      </c>
      <c r="UC1" s="2" t="str">
        <f>IFERROR(IF(UC$3 = 1, Touchpoints!$C$2,IF(VLOOKUP(UC$3,Touchpoints!$A:$C,3,FALSE)=VLOOKUP(UB$3,Touchpoints!$A:$C,3,FALSE),"",IF(VLOOKUP(UC$3,Touchpoints!$A:$C,3,FALSE)=0,"",VLOOKUP(UC$3,Touchpoints!$A:$C,3,FALSE)))),"")</f>
        <v/>
      </c>
      <c r="UD1" s="2" t="str">
        <f>IFERROR(IF(UD$3 = 1, Touchpoints!$C$2,IF(VLOOKUP(UD$3,Touchpoints!$A:$C,3,FALSE)=VLOOKUP(UC$3,Touchpoints!$A:$C,3,FALSE),"",IF(VLOOKUP(UD$3,Touchpoints!$A:$C,3,FALSE)=0,"",VLOOKUP(UD$3,Touchpoints!$A:$C,3,FALSE)))),"")</f>
        <v/>
      </c>
      <c r="UE1" s="2" t="str">
        <f>IFERROR(IF(UE$3 = 1, Touchpoints!$C$2,IF(VLOOKUP(UE$3,Touchpoints!$A:$C,3,FALSE)=VLOOKUP(UD$3,Touchpoints!$A:$C,3,FALSE),"",IF(VLOOKUP(UE$3,Touchpoints!$A:$C,3,FALSE)=0,"",VLOOKUP(UE$3,Touchpoints!$A:$C,3,FALSE)))),"")</f>
        <v/>
      </c>
      <c r="UF1" s="2" t="str">
        <f>IFERROR(IF(UF$3 = 1, Touchpoints!$C$2,IF(VLOOKUP(UF$3,Touchpoints!$A:$C,3,FALSE)=VLOOKUP(UE$3,Touchpoints!$A:$C,3,FALSE),"",IF(VLOOKUP(UF$3,Touchpoints!$A:$C,3,FALSE)=0,"",VLOOKUP(UF$3,Touchpoints!$A:$C,3,FALSE)))),"")</f>
        <v/>
      </c>
      <c r="UG1" s="2" t="str">
        <f>IFERROR(IF(UG$3 = 1, Touchpoints!$C$2,IF(VLOOKUP(UG$3,Touchpoints!$A:$C,3,FALSE)=VLOOKUP(UF$3,Touchpoints!$A:$C,3,FALSE),"",IF(VLOOKUP(UG$3,Touchpoints!$A:$C,3,FALSE)=0,"",VLOOKUP(UG$3,Touchpoints!$A:$C,3,FALSE)))),"")</f>
        <v/>
      </c>
      <c r="UH1" s="2" t="str">
        <f>IFERROR(IF(UH$3 = 1, Touchpoints!$C$2,IF(VLOOKUP(UH$3,Touchpoints!$A:$C,3,FALSE)=VLOOKUP(UG$3,Touchpoints!$A:$C,3,FALSE),"",IF(VLOOKUP(UH$3,Touchpoints!$A:$C,3,FALSE)=0,"",VLOOKUP(UH$3,Touchpoints!$A:$C,3,FALSE)))),"")</f>
        <v/>
      </c>
      <c r="UI1" s="2" t="str">
        <f>IFERROR(IF(UI$3 = 1, Touchpoints!$C$2,IF(VLOOKUP(UI$3,Touchpoints!$A:$C,3,FALSE)=VLOOKUP(UH$3,Touchpoints!$A:$C,3,FALSE),"",IF(VLOOKUP(UI$3,Touchpoints!$A:$C,3,FALSE)=0,"",VLOOKUP(UI$3,Touchpoints!$A:$C,3,FALSE)))),"")</f>
        <v/>
      </c>
      <c r="UJ1" s="2" t="str">
        <f>IFERROR(IF(UJ$3 = 1, Touchpoints!$C$2,IF(VLOOKUP(UJ$3,Touchpoints!$A:$C,3,FALSE)=VLOOKUP(UI$3,Touchpoints!$A:$C,3,FALSE),"",IF(VLOOKUP(UJ$3,Touchpoints!$A:$C,3,FALSE)=0,"",VLOOKUP(UJ$3,Touchpoints!$A:$C,3,FALSE)))),"")</f>
        <v/>
      </c>
      <c r="UK1" s="2" t="str">
        <f>IFERROR(IF(UK$3 = 1, Touchpoints!$C$2,IF(VLOOKUP(UK$3,Touchpoints!$A:$C,3,FALSE)=VLOOKUP(UJ$3,Touchpoints!$A:$C,3,FALSE),"",IF(VLOOKUP(UK$3,Touchpoints!$A:$C,3,FALSE)=0,"",VLOOKUP(UK$3,Touchpoints!$A:$C,3,FALSE)))),"")</f>
        <v/>
      </c>
      <c r="UL1" s="2" t="str">
        <f>IFERROR(IF(UL$3 = 1, Touchpoints!$C$2,IF(VLOOKUP(UL$3,Touchpoints!$A:$C,3,FALSE)=VLOOKUP(UK$3,Touchpoints!$A:$C,3,FALSE),"",IF(VLOOKUP(UL$3,Touchpoints!$A:$C,3,FALSE)=0,"",VLOOKUP(UL$3,Touchpoints!$A:$C,3,FALSE)))),"")</f>
        <v/>
      </c>
      <c r="UM1" s="2" t="str">
        <f>IFERROR(IF(UM$3 = 1, Touchpoints!$C$2,IF(VLOOKUP(UM$3,Touchpoints!$A:$C,3,FALSE)=VLOOKUP(UL$3,Touchpoints!$A:$C,3,FALSE),"",IF(VLOOKUP(UM$3,Touchpoints!$A:$C,3,FALSE)=0,"",VLOOKUP(UM$3,Touchpoints!$A:$C,3,FALSE)))),"")</f>
        <v/>
      </c>
      <c r="UN1" s="2" t="str">
        <f>IFERROR(IF(UN$3 = 1, Touchpoints!$C$2,IF(VLOOKUP(UN$3,Touchpoints!$A:$C,3,FALSE)=VLOOKUP(UM$3,Touchpoints!$A:$C,3,FALSE),"",IF(VLOOKUP(UN$3,Touchpoints!$A:$C,3,FALSE)=0,"",VLOOKUP(UN$3,Touchpoints!$A:$C,3,FALSE)))),"")</f>
        <v/>
      </c>
      <c r="UO1" s="2" t="str">
        <f>IFERROR(IF(UO$3 = 1, Touchpoints!$C$2,IF(VLOOKUP(UO$3,Touchpoints!$A:$C,3,FALSE)=VLOOKUP(UN$3,Touchpoints!$A:$C,3,FALSE),"",IF(VLOOKUP(UO$3,Touchpoints!$A:$C,3,FALSE)=0,"",VLOOKUP(UO$3,Touchpoints!$A:$C,3,FALSE)))),"")</f>
        <v/>
      </c>
      <c r="UP1" s="2" t="str">
        <f>IFERROR(IF(UP$3 = 1, Touchpoints!$C$2,IF(VLOOKUP(UP$3,Touchpoints!$A:$C,3,FALSE)=VLOOKUP(UO$3,Touchpoints!$A:$C,3,FALSE),"",IF(VLOOKUP(UP$3,Touchpoints!$A:$C,3,FALSE)=0,"",VLOOKUP(UP$3,Touchpoints!$A:$C,3,FALSE)))),"")</f>
        <v/>
      </c>
      <c r="UQ1" s="2" t="str">
        <f>IFERROR(IF(UQ$3 = 1, Touchpoints!$C$2,IF(VLOOKUP(UQ$3,Touchpoints!$A:$C,3,FALSE)=VLOOKUP(UP$3,Touchpoints!$A:$C,3,FALSE),"",IF(VLOOKUP(UQ$3,Touchpoints!$A:$C,3,FALSE)=0,"",VLOOKUP(UQ$3,Touchpoints!$A:$C,3,FALSE)))),"")</f>
        <v/>
      </c>
      <c r="UR1" s="2" t="str">
        <f>IFERROR(IF(UR$3 = 1, Touchpoints!$C$2,IF(VLOOKUP(UR$3,Touchpoints!$A:$C,3,FALSE)=VLOOKUP(UQ$3,Touchpoints!$A:$C,3,FALSE),"",IF(VLOOKUP(UR$3,Touchpoints!$A:$C,3,FALSE)=0,"",VLOOKUP(UR$3,Touchpoints!$A:$C,3,FALSE)))),"")</f>
        <v/>
      </c>
      <c r="US1" s="2" t="str">
        <f>IFERROR(IF(US$3 = 1, Touchpoints!$C$2,IF(VLOOKUP(US$3,Touchpoints!$A:$C,3,FALSE)=VLOOKUP(UR$3,Touchpoints!$A:$C,3,FALSE),"",IF(VLOOKUP(US$3,Touchpoints!$A:$C,3,FALSE)=0,"",VLOOKUP(US$3,Touchpoints!$A:$C,3,FALSE)))),"")</f>
        <v/>
      </c>
      <c r="UT1" s="2" t="str">
        <f>IFERROR(IF(UT$3 = 1, Touchpoints!$C$2,IF(VLOOKUP(UT$3,Touchpoints!$A:$C,3,FALSE)=VLOOKUP(US$3,Touchpoints!$A:$C,3,FALSE),"",IF(VLOOKUP(UT$3,Touchpoints!$A:$C,3,FALSE)=0,"",VLOOKUP(UT$3,Touchpoints!$A:$C,3,FALSE)))),"")</f>
        <v/>
      </c>
      <c r="UU1" s="2" t="str">
        <f>IFERROR(IF(UU$3 = 1, Touchpoints!$C$2,IF(VLOOKUP(UU$3,Touchpoints!$A:$C,3,FALSE)=VLOOKUP(UT$3,Touchpoints!$A:$C,3,FALSE),"",IF(VLOOKUP(UU$3,Touchpoints!$A:$C,3,FALSE)=0,"",VLOOKUP(UU$3,Touchpoints!$A:$C,3,FALSE)))),"")</f>
        <v/>
      </c>
      <c r="UV1" s="2" t="str">
        <f>IFERROR(IF(UV$3 = 1, Touchpoints!$C$2,IF(VLOOKUP(UV$3,Touchpoints!$A:$C,3,FALSE)=VLOOKUP(UU$3,Touchpoints!$A:$C,3,FALSE),"",IF(VLOOKUP(UV$3,Touchpoints!$A:$C,3,FALSE)=0,"",VLOOKUP(UV$3,Touchpoints!$A:$C,3,FALSE)))),"")</f>
        <v/>
      </c>
      <c r="UW1" s="2" t="str">
        <f>IFERROR(IF(UW$3 = 1, Touchpoints!$C$2,IF(VLOOKUP(UW$3,Touchpoints!$A:$C,3,FALSE)=VLOOKUP(UV$3,Touchpoints!$A:$C,3,FALSE),"",IF(VLOOKUP(UW$3,Touchpoints!$A:$C,3,FALSE)=0,"",VLOOKUP(UW$3,Touchpoints!$A:$C,3,FALSE)))),"")</f>
        <v/>
      </c>
      <c r="UX1" s="2" t="str">
        <f>IFERROR(IF(UX$3 = 1, Touchpoints!$C$2,IF(VLOOKUP(UX$3,Touchpoints!$A:$C,3,FALSE)=VLOOKUP(UW$3,Touchpoints!$A:$C,3,FALSE),"",IF(VLOOKUP(UX$3,Touchpoints!$A:$C,3,FALSE)=0,"",VLOOKUP(UX$3,Touchpoints!$A:$C,3,FALSE)))),"")</f>
        <v/>
      </c>
      <c r="UY1" s="2" t="str">
        <f>IFERROR(IF(UY$3 = 1, Touchpoints!$C$2,IF(VLOOKUP(UY$3,Touchpoints!$A:$C,3,FALSE)=VLOOKUP(UX$3,Touchpoints!$A:$C,3,FALSE),"",IF(VLOOKUP(UY$3,Touchpoints!$A:$C,3,FALSE)=0,"",VLOOKUP(UY$3,Touchpoints!$A:$C,3,FALSE)))),"")</f>
        <v/>
      </c>
      <c r="UZ1" s="2" t="str">
        <f>IFERROR(IF(UZ$3 = 1, Touchpoints!$C$2,IF(VLOOKUP(UZ$3,Touchpoints!$A:$C,3,FALSE)=VLOOKUP(UY$3,Touchpoints!$A:$C,3,FALSE),"",IF(VLOOKUP(UZ$3,Touchpoints!$A:$C,3,FALSE)=0,"",VLOOKUP(UZ$3,Touchpoints!$A:$C,3,FALSE)))),"")</f>
        <v/>
      </c>
      <c r="VA1" s="2" t="str">
        <f>IFERROR(IF(VA$3 = 1, Touchpoints!$C$2,IF(VLOOKUP(VA$3,Touchpoints!$A:$C,3,FALSE)=VLOOKUP(UZ$3,Touchpoints!$A:$C,3,FALSE),"",IF(VLOOKUP(VA$3,Touchpoints!$A:$C,3,FALSE)=0,"",VLOOKUP(VA$3,Touchpoints!$A:$C,3,FALSE)))),"")</f>
        <v/>
      </c>
      <c r="VB1" s="2" t="str">
        <f>IFERROR(IF(VB$3 = 1, Touchpoints!$C$2,IF(VLOOKUP(VB$3,Touchpoints!$A:$C,3,FALSE)=VLOOKUP(VA$3,Touchpoints!$A:$C,3,FALSE),"",IF(VLOOKUP(VB$3,Touchpoints!$A:$C,3,FALSE)=0,"",VLOOKUP(VB$3,Touchpoints!$A:$C,3,FALSE)))),"")</f>
        <v/>
      </c>
      <c r="VC1" s="2" t="str">
        <f>IFERROR(IF(VC$3 = 1, Touchpoints!$C$2,IF(VLOOKUP(VC$3,Touchpoints!$A:$C,3,FALSE)=VLOOKUP(VB$3,Touchpoints!$A:$C,3,FALSE),"",IF(VLOOKUP(VC$3,Touchpoints!$A:$C,3,FALSE)=0,"",VLOOKUP(VC$3,Touchpoints!$A:$C,3,FALSE)))),"")</f>
        <v/>
      </c>
      <c r="VD1" s="2" t="str">
        <f>IFERROR(IF(VD$3 = 1, Touchpoints!$C$2,IF(VLOOKUP(VD$3,Touchpoints!$A:$C,3,FALSE)=VLOOKUP(VC$3,Touchpoints!$A:$C,3,FALSE),"",IF(VLOOKUP(VD$3,Touchpoints!$A:$C,3,FALSE)=0,"",VLOOKUP(VD$3,Touchpoints!$A:$C,3,FALSE)))),"")</f>
        <v/>
      </c>
      <c r="VE1" s="2" t="str">
        <f>IFERROR(IF(VE$3 = 1, Touchpoints!$C$2,IF(VLOOKUP(VE$3,Touchpoints!$A:$C,3,FALSE)=VLOOKUP(VD$3,Touchpoints!$A:$C,3,FALSE),"",IF(VLOOKUP(VE$3,Touchpoints!$A:$C,3,FALSE)=0,"",VLOOKUP(VE$3,Touchpoints!$A:$C,3,FALSE)))),"")</f>
        <v/>
      </c>
      <c r="VF1" s="2" t="str">
        <f>IFERROR(IF(VF$3 = 1, Touchpoints!$C$2,IF(VLOOKUP(VF$3,Touchpoints!$A:$C,3,FALSE)=VLOOKUP(VE$3,Touchpoints!$A:$C,3,FALSE),"",IF(VLOOKUP(VF$3,Touchpoints!$A:$C,3,FALSE)=0,"",VLOOKUP(VF$3,Touchpoints!$A:$C,3,FALSE)))),"")</f>
        <v/>
      </c>
      <c r="VG1" s="2" t="str">
        <f>IFERROR(IF(VG$3 = 1, Touchpoints!$C$2,IF(VLOOKUP(VG$3,Touchpoints!$A:$C,3,FALSE)=VLOOKUP(VF$3,Touchpoints!$A:$C,3,FALSE),"",IF(VLOOKUP(VG$3,Touchpoints!$A:$C,3,FALSE)=0,"",VLOOKUP(VG$3,Touchpoints!$A:$C,3,FALSE)))),"")</f>
        <v/>
      </c>
      <c r="VH1" s="2" t="str">
        <f>IFERROR(IF(VH$3 = 1, Touchpoints!$C$2,IF(VLOOKUP(VH$3,Touchpoints!$A:$C,3,FALSE)=VLOOKUP(VG$3,Touchpoints!$A:$C,3,FALSE),"",IF(VLOOKUP(VH$3,Touchpoints!$A:$C,3,FALSE)=0,"",VLOOKUP(VH$3,Touchpoints!$A:$C,3,FALSE)))),"")</f>
        <v/>
      </c>
      <c r="VI1" s="2" t="str">
        <f>IFERROR(IF(VI$3 = 1, Touchpoints!$C$2,IF(VLOOKUP(VI$3,Touchpoints!$A:$C,3,FALSE)=VLOOKUP(VH$3,Touchpoints!$A:$C,3,FALSE),"",IF(VLOOKUP(VI$3,Touchpoints!$A:$C,3,FALSE)=0,"",VLOOKUP(VI$3,Touchpoints!$A:$C,3,FALSE)))),"")</f>
        <v/>
      </c>
      <c r="VJ1" s="2" t="str">
        <f>IFERROR(IF(VJ$3 = 1, Touchpoints!$C$2,IF(VLOOKUP(VJ$3,Touchpoints!$A:$C,3,FALSE)=VLOOKUP(VI$3,Touchpoints!$A:$C,3,FALSE),"",IF(VLOOKUP(VJ$3,Touchpoints!$A:$C,3,FALSE)=0,"",VLOOKUP(VJ$3,Touchpoints!$A:$C,3,FALSE)))),"")</f>
        <v/>
      </c>
      <c r="VK1" s="2" t="str">
        <f>IFERROR(IF(VK$3 = 1, Touchpoints!$C$2,IF(VLOOKUP(VK$3,Touchpoints!$A:$C,3,FALSE)=VLOOKUP(VJ$3,Touchpoints!$A:$C,3,FALSE),"",IF(VLOOKUP(VK$3,Touchpoints!$A:$C,3,FALSE)=0,"",VLOOKUP(VK$3,Touchpoints!$A:$C,3,FALSE)))),"")</f>
        <v/>
      </c>
      <c r="VL1" s="2" t="str">
        <f>IFERROR(IF(VL$3 = 1, Touchpoints!$C$2,IF(VLOOKUP(VL$3,Touchpoints!$A:$C,3,FALSE)=VLOOKUP(VK$3,Touchpoints!$A:$C,3,FALSE),"",IF(VLOOKUP(VL$3,Touchpoints!$A:$C,3,FALSE)=0,"",VLOOKUP(VL$3,Touchpoints!$A:$C,3,FALSE)))),"")</f>
        <v/>
      </c>
      <c r="VM1" s="2" t="str">
        <f>IFERROR(IF(VM$3 = 1, Touchpoints!$C$2,IF(VLOOKUP(VM$3,Touchpoints!$A:$C,3,FALSE)=VLOOKUP(VL$3,Touchpoints!$A:$C,3,FALSE),"",IF(VLOOKUP(VM$3,Touchpoints!$A:$C,3,FALSE)=0,"",VLOOKUP(VM$3,Touchpoints!$A:$C,3,FALSE)))),"")</f>
        <v/>
      </c>
      <c r="VN1" s="2" t="str">
        <f>IFERROR(IF(VN$3 = 1, Touchpoints!$C$2,IF(VLOOKUP(VN$3,Touchpoints!$A:$C,3,FALSE)=VLOOKUP(VM$3,Touchpoints!$A:$C,3,FALSE),"",IF(VLOOKUP(VN$3,Touchpoints!$A:$C,3,FALSE)=0,"",VLOOKUP(VN$3,Touchpoints!$A:$C,3,FALSE)))),"")</f>
        <v/>
      </c>
      <c r="VO1" s="2" t="str">
        <f>IFERROR(IF(VO$3 = 1, Touchpoints!$C$2,IF(VLOOKUP(VO$3,Touchpoints!$A:$C,3,FALSE)=VLOOKUP(VN$3,Touchpoints!$A:$C,3,FALSE),"",IF(VLOOKUP(VO$3,Touchpoints!$A:$C,3,FALSE)=0,"",VLOOKUP(VO$3,Touchpoints!$A:$C,3,FALSE)))),"")</f>
        <v/>
      </c>
      <c r="VP1" s="2" t="str">
        <f>IFERROR(IF(VP$3 = 1, Touchpoints!$C$2,IF(VLOOKUP(VP$3,Touchpoints!$A:$C,3,FALSE)=VLOOKUP(VO$3,Touchpoints!$A:$C,3,FALSE),"",IF(VLOOKUP(VP$3,Touchpoints!$A:$C,3,FALSE)=0,"",VLOOKUP(VP$3,Touchpoints!$A:$C,3,FALSE)))),"")</f>
        <v/>
      </c>
      <c r="VQ1" s="2" t="str">
        <f>IFERROR(IF(VQ$3 = 1, Touchpoints!$C$2,IF(VLOOKUP(VQ$3,Touchpoints!$A:$C,3,FALSE)=VLOOKUP(VP$3,Touchpoints!$A:$C,3,FALSE),"",IF(VLOOKUP(VQ$3,Touchpoints!$A:$C,3,FALSE)=0,"",VLOOKUP(VQ$3,Touchpoints!$A:$C,3,FALSE)))),"")</f>
        <v/>
      </c>
      <c r="VR1" s="2" t="str">
        <f>IFERROR(IF(VR$3 = 1, Touchpoints!$C$2,IF(VLOOKUP(VR$3,Touchpoints!$A:$C,3,FALSE)=VLOOKUP(VQ$3,Touchpoints!$A:$C,3,FALSE),"",IF(VLOOKUP(VR$3,Touchpoints!$A:$C,3,FALSE)=0,"",VLOOKUP(VR$3,Touchpoints!$A:$C,3,FALSE)))),"")</f>
        <v/>
      </c>
      <c r="VS1" s="2" t="str">
        <f>IFERROR(IF(VS$3 = 1, Touchpoints!$C$2,IF(VLOOKUP(VS$3,Touchpoints!$A:$C,3,FALSE)=VLOOKUP(VR$3,Touchpoints!$A:$C,3,FALSE),"",IF(VLOOKUP(VS$3,Touchpoints!$A:$C,3,FALSE)=0,"",VLOOKUP(VS$3,Touchpoints!$A:$C,3,FALSE)))),"")</f>
        <v/>
      </c>
      <c r="VT1" s="2" t="str">
        <f>IFERROR(IF(VT$3 = 1, Touchpoints!$C$2,IF(VLOOKUP(VT$3,Touchpoints!$A:$C,3,FALSE)=VLOOKUP(VS$3,Touchpoints!$A:$C,3,FALSE),"",IF(VLOOKUP(VT$3,Touchpoints!$A:$C,3,FALSE)=0,"",VLOOKUP(VT$3,Touchpoints!$A:$C,3,FALSE)))),"")</f>
        <v/>
      </c>
      <c r="VU1" s="2" t="str">
        <f>IFERROR(IF(VU$3 = 1, Touchpoints!$C$2,IF(VLOOKUP(VU$3,Touchpoints!$A:$C,3,FALSE)=VLOOKUP(VT$3,Touchpoints!$A:$C,3,FALSE),"",IF(VLOOKUP(VU$3,Touchpoints!$A:$C,3,FALSE)=0,"",VLOOKUP(VU$3,Touchpoints!$A:$C,3,FALSE)))),"")</f>
        <v/>
      </c>
      <c r="VV1" s="2" t="str">
        <f>IFERROR(IF(VV$3 = 1, Touchpoints!$C$2,IF(VLOOKUP(VV$3,Touchpoints!$A:$C,3,FALSE)=VLOOKUP(VU$3,Touchpoints!$A:$C,3,FALSE),"",IF(VLOOKUP(VV$3,Touchpoints!$A:$C,3,FALSE)=0,"",VLOOKUP(VV$3,Touchpoints!$A:$C,3,FALSE)))),"")</f>
        <v/>
      </c>
      <c r="VW1" s="2" t="str">
        <f>IFERROR(IF(VW$3 = 1, Touchpoints!$C$2,IF(VLOOKUP(VW$3,Touchpoints!$A:$C,3,FALSE)=VLOOKUP(VV$3,Touchpoints!$A:$C,3,FALSE),"",IF(VLOOKUP(VW$3,Touchpoints!$A:$C,3,FALSE)=0,"",VLOOKUP(VW$3,Touchpoints!$A:$C,3,FALSE)))),"")</f>
        <v/>
      </c>
      <c r="VX1" s="2" t="str">
        <f>IFERROR(IF(VX$3 = 1, Touchpoints!$C$2,IF(VLOOKUP(VX$3,Touchpoints!$A:$C,3,FALSE)=VLOOKUP(VW$3,Touchpoints!$A:$C,3,FALSE),"",IF(VLOOKUP(VX$3,Touchpoints!$A:$C,3,FALSE)=0,"",VLOOKUP(VX$3,Touchpoints!$A:$C,3,FALSE)))),"")</f>
        <v/>
      </c>
      <c r="VY1" s="2" t="str">
        <f>IFERROR(IF(VY$3 = 1, Touchpoints!$C$2,IF(VLOOKUP(VY$3,Touchpoints!$A:$C,3,FALSE)=VLOOKUP(VX$3,Touchpoints!$A:$C,3,FALSE),"",IF(VLOOKUP(VY$3,Touchpoints!$A:$C,3,FALSE)=0,"",VLOOKUP(VY$3,Touchpoints!$A:$C,3,FALSE)))),"")</f>
        <v/>
      </c>
      <c r="VZ1" s="2" t="str">
        <f>IFERROR(IF(VZ$3 = 1, Touchpoints!$C$2,IF(VLOOKUP(VZ$3,Touchpoints!$A:$C,3,FALSE)=VLOOKUP(VY$3,Touchpoints!$A:$C,3,FALSE),"",IF(VLOOKUP(VZ$3,Touchpoints!$A:$C,3,FALSE)=0,"",VLOOKUP(VZ$3,Touchpoints!$A:$C,3,FALSE)))),"")</f>
        <v/>
      </c>
      <c r="WA1" s="2" t="str">
        <f>IFERROR(IF(WA$3 = 1, Touchpoints!$C$2,IF(VLOOKUP(WA$3,Touchpoints!$A:$C,3,FALSE)=VLOOKUP(VZ$3,Touchpoints!$A:$C,3,FALSE),"",IF(VLOOKUP(WA$3,Touchpoints!$A:$C,3,FALSE)=0,"",VLOOKUP(WA$3,Touchpoints!$A:$C,3,FALSE)))),"")</f>
        <v/>
      </c>
      <c r="WB1" s="2" t="str">
        <f>IFERROR(IF(WB$3 = 1, Touchpoints!$C$2,IF(VLOOKUP(WB$3,Touchpoints!$A:$C,3,FALSE)=VLOOKUP(WA$3,Touchpoints!$A:$C,3,FALSE),"",IF(VLOOKUP(WB$3,Touchpoints!$A:$C,3,FALSE)=0,"",VLOOKUP(WB$3,Touchpoints!$A:$C,3,FALSE)))),"")</f>
        <v/>
      </c>
      <c r="WC1" s="2" t="str">
        <f>IFERROR(IF(WC$3 = 1, Touchpoints!$C$2,IF(VLOOKUP(WC$3,Touchpoints!$A:$C,3,FALSE)=VLOOKUP(WB$3,Touchpoints!$A:$C,3,FALSE),"",IF(VLOOKUP(WC$3,Touchpoints!$A:$C,3,FALSE)=0,"",VLOOKUP(WC$3,Touchpoints!$A:$C,3,FALSE)))),"")</f>
        <v/>
      </c>
      <c r="WD1" s="2" t="str">
        <f>IFERROR(IF(WD$3 = 1, Touchpoints!$C$2,IF(VLOOKUP(WD$3,Touchpoints!$A:$C,3,FALSE)=VLOOKUP(WC$3,Touchpoints!$A:$C,3,FALSE),"",IF(VLOOKUP(WD$3,Touchpoints!$A:$C,3,FALSE)=0,"",VLOOKUP(WD$3,Touchpoints!$A:$C,3,FALSE)))),"")</f>
        <v/>
      </c>
      <c r="WE1" s="2" t="str">
        <f>IFERROR(IF(WE$3 = 1, Touchpoints!$C$2,IF(VLOOKUP(WE$3,Touchpoints!$A:$C,3,FALSE)=VLOOKUP(WD$3,Touchpoints!$A:$C,3,FALSE),"",IF(VLOOKUP(WE$3,Touchpoints!$A:$C,3,FALSE)=0,"",VLOOKUP(WE$3,Touchpoints!$A:$C,3,FALSE)))),"")</f>
        <v/>
      </c>
      <c r="WF1" s="2" t="str">
        <f>IFERROR(IF(WF$3 = 1, Touchpoints!$C$2,IF(VLOOKUP(WF$3,Touchpoints!$A:$C,3,FALSE)=VLOOKUP(WE$3,Touchpoints!$A:$C,3,FALSE),"",IF(VLOOKUP(WF$3,Touchpoints!$A:$C,3,FALSE)=0,"",VLOOKUP(WF$3,Touchpoints!$A:$C,3,FALSE)))),"")</f>
        <v/>
      </c>
      <c r="WG1" s="2" t="str">
        <f>IFERROR(IF(WG$3 = 1, Touchpoints!$C$2,IF(VLOOKUP(WG$3,Touchpoints!$A:$C,3,FALSE)=VLOOKUP(WF$3,Touchpoints!$A:$C,3,FALSE),"",IF(VLOOKUP(WG$3,Touchpoints!$A:$C,3,FALSE)=0,"",VLOOKUP(WG$3,Touchpoints!$A:$C,3,FALSE)))),"")</f>
        <v/>
      </c>
      <c r="WH1" s="2" t="str">
        <f>IFERROR(IF(WH$3 = 1, Touchpoints!$C$2,IF(VLOOKUP(WH$3,Touchpoints!$A:$C,3,FALSE)=VLOOKUP(WG$3,Touchpoints!$A:$C,3,FALSE),"",IF(VLOOKUP(WH$3,Touchpoints!$A:$C,3,FALSE)=0,"",VLOOKUP(WH$3,Touchpoints!$A:$C,3,FALSE)))),"")</f>
        <v/>
      </c>
      <c r="WI1" s="2" t="str">
        <f>IFERROR(IF(WI$3 = 1, Touchpoints!$C$2,IF(VLOOKUP(WI$3,Touchpoints!$A:$C,3,FALSE)=VLOOKUP(WH$3,Touchpoints!$A:$C,3,FALSE),"",IF(VLOOKUP(WI$3,Touchpoints!$A:$C,3,FALSE)=0,"",VLOOKUP(WI$3,Touchpoints!$A:$C,3,FALSE)))),"")</f>
        <v/>
      </c>
      <c r="WJ1" s="2" t="str">
        <f>IFERROR(IF(WJ$3 = 1, Touchpoints!$C$2,IF(VLOOKUP(WJ$3,Touchpoints!$A:$C,3,FALSE)=VLOOKUP(WI$3,Touchpoints!$A:$C,3,FALSE),"",IF(VLOOKUP(WJ$3,Touchpoints!$A:$C,3,FALSE)=0,"",VLOOKUP(WJ$3,Touchpoints!$A:$C,3,FALSE)))),"")</f>
        <v/>
      </c>
      <c r="WK1" s="2" t="str">
        <f>IFERROR(IF(WK$3 = 1, Touchpoints!$C$2,IF(VLOOKUP(WK$3,Touchpoints!$A:$C,3,FALSE)=VLOOKUP(WJ$3,Touchpoints!$A:$C,3,FALSE),"",IF(VLOOKUP(WK$3,Touchpoints!$A:$C,3,FALSE)=0,"",VLOOKUP(WK$3,Touchpoints!$A:$C,3,FALSE)))),"")</f>
        <v/>
      </c>
      <c r="WL1" s="2" t="str">
        <f>IFERROR(IF(WL$3 = 1, Touchpoints!$C$2,IF(VLOOKUP(WL$3,Touchpoints!$A:$C,3,FALSE)=VLOOKUP(WK$3,Touchpoints!$A:$C,3,FALSE),"",IF(VLOOKUP(WL$3,Touchpoints!$A:$C,3,FALSE)=0,"",VLOOKUP(WL$3,Touchpoints!$A:$C,3,FALSE)))),"")</f>
        <v/>
      </c>
      <c r="WM1" s="2" t="str">
        <f>IFERROR(IF(WM$3 = 1, Touchpoints!$C$2,IF(VLOOKUP(WM$3,Touchpoints!$A:$C,3,FALSE)=VLOOKUP(WL$3,Touchpoints!$A:$C,3,FALSE),"",IF(VLOOKUP(WM$3,Touchpoints!$A:$C,3,FALSE)=0,"",VLOOKUP(WM$3,Touchpoints!$A:$C,3,FALSE)))),"")</f>
        <v/>
      </c>
      <c r="WN1" s="2" t="str">
        <f>IFERROR(IF(WN$3 = 1, Touchpoints!$C$2,IF(VLOOKUP(WN$3,Touchpoints!$A:$C,3,FALSE)=VLOOKUP(WM$3,Touchpoints!$A:$C,3,FALSE),"",IF(VLOOKUP(WN$3,Touchpoints!$A:$C,3,FALSE)=0,"",VLOOKUP(WN$3,Touchpoints!$A:$C,3,FALSE)))),"")</f>
        <v/>
      </c>
      <c r="WO1" s="2" t="str">
        <f>IFERROR(IF(WO$3 = 1, Touchpoints!$C$2,IF(VLOOKUP(WO$3,Touchpoints!$A:$C,3,FALSE)=VLOOKUP(WN$3,Touchpoints!$A:$C,3,FALSE),"",IF(VLOOKUP(WO$3,Touchpoints!$A:$C,3,FALSE)=0,"",VLOOKUP(WO$3,Touchpoints!$A:$C,3,FALSE)))),"")</f>
        <v/>
      </c>
      <c r="WP1" s="2" t="str">
        <f>IFERROR(IF(WP$3 = 1, Touchpoints!$C$2,IF(VLOOKUP(WP$3,Touchpoints!$A:$C,3,FALSE)=VLOOKUP(WO$3,Touchpoints!$A:$C,3,FALSE),"",IF(VLOOKUP(WP$3,Touchpoints!$A:$C,3,FALSE)=0,"",VLOOKUP(WP$3,Touchpoints!$A:$C,3,FALSE)))),"")</f>
        <v/>
      </c>
      <c r="WQ1" s="2" t="str">
        <f>IFERROR(IF(WQ$3 = 1, Touchpoints!$C$2,IF(VLOOKUP(WQ$3,Touchpoints!$A:$C,3,FALSE)=VLOOKUP(WP$3,Touchpoints!$A:$C,3,FALSE),"",IF(VLOOKUP(WQ$3,Touchpoints!$A:$C,3,FALSE)=0,"",VLOOKUP(WQ$3,Touchpoints!$A:$C,3,FALSE)))),"")</f>
        <v/>
      </c>
      <c r="WR1" s="2" t="str">
        <f>IFERROR(IF(WR$3 = 1, Touchpoints!$C$2,IF(VLOOKUP(WR$3,Touchpoints!$A:$C,3,FALSE)=VLOOKUP(WQ$3,Touchpoints!$A:$C,3,FALSE),"",IF(VLOOKUP(WR$3,Touchpoints!$A:$C,3,FALSE)=0,"",VLOOKUP(WR$3,Touchpoints!$A:$C,3,FALSE)))),"")</f>
        <v/>
      </c>
      <c r="WS1" s="2" t="str">
        <f>IFERROR(IF(WS$3 = 1, Touchpoints!$C$2,IF(VLOOKUP(WS$3,Touchpoints!$A:$C,3,FALSE)=VLOOKUP(WR$3,Touchpoints!$A:$C,3,FALSE),"",IF(VLOOKUP(WS$3,Touchpoints!$A:$C,3,FALSE)=0,"",VLOOKUP(WS$3,Touchpoints!$A:$C,3,FALSE)))),"")</f>
        <v/>
      </c>
      <c r="WT1" s="2" t="str">
        <f>IFERROR(IF(WT$3 = 1, Touchpoints!$C$2,IF(VLOOKUP(WT$3,Touchpoints!$A:$C,3,FALSE)=VLOOKUP(WS$3,Touchpoints!$A:$C,3,FALSE),"",IF(VLOOKUP(WT$3,Touchpoints!$A:$C,3,FALSE)=0,"",VLOOKUP(WT$3,Touchpoints!$A:$C,3,FALSE)))),"")</f>
        <v/>
      </c>
      <c r="WU1" s="2" t="str">
        <f>IFERROR(IF(WU$3 = 1, Touchpoints!$C$2,IF(VLOOKUP(WU$3,Touchpoints!$A:$C,3,FALSE)=VLOOKUP(WT$3,Touchpoints!$A:$C,3,FALSE),"",IF(VLOOKUP(WU$3,Touchpoints!$A:$C,3,FALSE)=0,"",VLOOKUP(WU$3,Touchpoints!$A:$C,3,FALSE)))),"")</f>
        <v/>
      </c>
      <c r="WV1" s="2" t="str">
        <f>IFERROR(IF(WV$3 = 1, Touchpoints!$C$2,IF(VLOOKUP(WV$3,Touchpoints!$A:$C,3,FALSE)=VLOOKUP(WU$3,Touchpoints!$A:$C,3,FALSE),"",IF(VLOOKUP(WV$3,Touchpoints!$A:$C,3,FALSE)=0,"",VLOOKUP(WV$3,Touchpoints!$A:$C,3,FALSE)))),"")</f>
        <v/>
      </c>
      <c r="WW1" s="2" t="str">
        <f>IFERROR(IF(WW$3 = 1, Touchpoints!$C$2,IF(VLOOKUP(WW$3,Touchpoints!$A:$C,3,FALSE)=VLOOKUP(WV$3,Touchpoints!$A:$C,3,FALSE),"",IF(VLOOKUP(WW$3,Touchpoints!$A:$C,3,FALSE)=0,"",VLOOKUP(WW$3,Touchpoints!$A:$C,3,FALSE)))),"")</f>
        <v/>
      </c>
      <c r="WX1" s="2" t="str">
        <f>IFERROR(IF(WX$3 = 1, Touchpoints!$C$2,IF(VLOOKUP(WX$3,Touchpoints!$A:$C,3,FALSE)=VLOOKUP(WW$3,Touchpoints!$A:$C,3,FALSE),"",IF(VLOOKUP(WX$3,Touchpoints!$A:$C,3,FALSE)=0,"",VLOOKUP(WX$3,Touchpoints!$A:$C,3,FALSE)))),"")</f>
        <v/>
      </c>
      <c r="WY1" s="2" t="str">
        <f>IFERROR(IF(WY$3 = 1, Touchpoints!$C$2,IF(VLOOKUP(WY$3,Touchpoints!$A:$C,3,FALSE)=VLOOKUP(WX$3,Touchpoints!$A:$C,3,FALSE),"",IF(VLOOKUP(WY$3,Touchpoints!$A:$C,3,FALSE)=0,"",VLOOKUP(WY$3,Touchpoints!$A:$C,3,FALSE)))),"")</f>
        <v/>
      </c>
      <c r="WZ1" s="2" t="str">
        <f>IFERROR(IF(WZ$3 = 1, Touchpoints!$C$2,IF(VLOOKUP(WZ$3,Touchpoints!$A:$C,3,FALSE)=VLOOKUP(WY$3,Touchpoints!$A:$C,3,FALSE),"",IF(VLOOKUP(WZ$3,Touchpoints!$A:$C,3,FALSE)=0,"",VLOOKUP(WZ$3,Touchpoints!$A:$C,3,FALSE)))),"")</f>
        <v/>
      </c>
      <c r="XA1" s="2" t="str">
        <f>IFERROR(IF(XA$3 = 1, Touchpoints!$C$2,IF(VLOOKUP(XA$3,Touchpoints!$A:$C,3,FALSE)=VLOOKUP(WZ$3,Touchpoints!$A:$C,3,FALSE),"",IF(VLOOKUP(XA$3,Touchpoints!$A:$C,3,FALSE)=0,"",VLOOKUP(XA$3,Touchpoints!$A:$C,3,FALSE)))),"")</f>
        <v/>
      </c>
      <c r="XB1" s="2" t="str">
        <f>IFERROR(IF(XB$3 = 1, Touchpoints!$C$2,IF(VLOOKUP(XB$3,Touchpoints!$A:$C,3,FALSE)=VLOOKUP(XA$3,Touchpoints!$A:$C,3,FALSE),"",IF(VLOOKUP(XB$3,Touchpoints!$A:$C,3,FALSE)=0,"",VLOOKUP(XB$3,Touchpoints!$A:$C,3,FALSE)))),"")</f>
        <v/>
      </c>
      <c r="XC1" s="2" t="str">
        <f>IFERROR(IF(XC$3 = 1, Touchpoints!$C$2,IF(VLOOKUP(XC$3,Touchpoints!$A:$C,3,FALSE)=VLOOKUP(XB$3,Touchpoints!$A:$C,3,FALSE),"",IF(VLOOKUP(XC$3,Touchpoints!$A:$C,3,FALSE)=0,"",VLOOKUP(XC$3,Touchpoints!$A:$C,3,FALSE)))),"")</f>
        <v/>
      </c>
      <c r="XD1" s="2" t="str">
        <f>IFERROR(IF(XD$3 = 1, Touchpoints!$C$2,IF(VLOOKUP(XD$3,Touchpoints!$A:$C,3,FALSE)=VLOOKUP(XC$3,Touchpoints!$A:$C,3,FALSE),"",IF(VLOOKUP(XD$3,Touchpoints!$A:$C,3,FALSE)=0,"",VLOOKUP(XD$3,Touchpoints!$A:$C,3,FALSE)))),"")</f>
        <v/>
      </c>
      <c r="XE1" s="2" t="str">
        <f>IFERROR(IF(XE$3 = 1, Touchpoints!$C$2,IF(VLOOKUP(XE$3,Touchpoints!$A:$C,3,FALSE)=VLOOKUP(XD$3,Touchpoints!$A:$C,3,FALSE),"",IF(VLOOKUP(XE$3,Touchpoints!$A:$C,3,FALSE)=0,"",VLOOKUP(XE$3,Touchpoints!$A:$C,3,FALSE)))),"")</f>
        <v/>
      </c>
      <c r="XF1" s="2" t="str">
        <f>IFERROR(IF(XF$3 = 1, Touchpoints!$C$2,IF(VLOOKUP(XF$3,Touchpoints!$A:$C,3,FALSE)=VLOOKUP(XE$3,Touchpoints!$A:$C,3,FALSE),"",IF(VLOOKUP(XF$3,Touchpoints!$A:$C,3,FALSE)=0,"",VLOOKUP(XF$3,Touchpoints!$A:$C,3,FALSE)))),"")</f>
        <v/>
      </c>
      <c r="XG1" s="2" t="str">
        <f>IFERROR(IF(XG$3 = 1, Touchpoints!$C$2,IF(VLOOKUP(XG$3,Touchpoints!$A:$C,3,FALSE)=VLOOKUP(XF$3,Touchpoints!$A:$C,3,FALSE),"",IF(VLOOKUP(XG$3,Touchpoints!$A:$C,3,FALSE)=0,"",VLOOKUP(XG$3,Touchpoints!$A:$C,3,FALSE)))),"")</f>
        <v/>
      </c>
      <c r="XH1" s="2" t="str">
        <f>IFERROR(IF(XH$3 = 1, Touchpoints!$C$2,IF(VLOOKUP(XH$3,Touchpoints!$A:$C,3,FALSE)=VLOOKUP(XG$3,Touchpoints!$A:$C,3,FALSE),"",IF(VLOOKUP(XH$3,Touchpoints!$A:$C,3,FALSE)=0,"",VLOOKUP(XH$3,Touchpoints!$A:$C,3,FALSE)))),"")</f>
        <v/>
      </c>
      <c r="XI1" s="2" t="str">
        <f>IFERROR(IF(XI$3 = 1, Touchpoints!$C$2,IF(VLOOKUP(XI$3,Touchpoints!$A:$C,3,FALSE)=VLOOKUP(XH$3,Touchpoints!$A:$C,3,FALSE),"",IF(VLOOKUP(XI$3,Touchpoints!$A:$C,3,FALSE)=0,"",VLOOKUP(XI$3,Touchpoints!$A:$C,3,FALSE)))),"")</f>
        <v/>
      </c>
      <c r="XJ1" s="2" t="str">
        <f>IFERROR(IF(XJ$3 = 1, Touchpoints!$C$2,IF(VLOOKUP(XJ$3,Touchpoints!$A:$C,3,FALSE)=VLOOKUP(XI$3,Touchpoints!$A:$C,3,FALSE),"",IF(VLOOKUP(XJ$3,Touchpoints!$A:$C,3,FALSE)=0,"",VLOOKUP(XJ$3,Touchpoints!$A:$C,3,FALSE)))),"")</f>
        <v/>
      </c>
      <c r="XK1" s="2" t="str">
        <f>IFERROR(IF(XK$3 = 1, Touchpoints!$C$2,IF(VLOOKUP(XK$3,Touchpoints!$A:$C,3,FALSE)=VLOOKUP(XJ$3,Touchpoints!$A:$C,3,FALSE),"",IF(VLOOKUP(XK$3,Touchpoints!$A:$C,3,FALSE)=0,"",VLOOKUP(XK$3,Touchpoints!$A:$C,3,FALSE)))),"")</f>
        <v/>
      </c>
      <c r="XL1" s="2" t="str">
        <f>IFERROR(IF(XL$3 = 1, Touchpoints!$C$2,IF(VLOOKUP(XL$3,Touchpoints!$A:$C,3,FALSE)=VLOOKUP(XK$3,Touchpoints!$A:$C,3,FALSE),"",IF(VLOOKUP(XL$3,Touchpoints!$A:$C,3,FALSE)=0,"",VLOOKUP(XL$3,Touchpoints!$A:$C,3,FALSE)))),"")</f>
        <v/>
      </c>
      <c r="XM1" s="2" t="str">
        <f>IFERROR(IF(XM$3 = 1, Touchpoints!$C$2,IF(VLOOKUP(XM$3,Touchpoints!$A:$C,3,FALSE)=VLOOKUP(XL$3,Touchpoints!$A:$C,3,FALSE),"",IF(VLOOKUP(XM$3,Touchpoints!$A:$C,3,FALSE)=0,"",VLOOKUP(XM$3,Touchpoints!$A:$C,3,FALSE)))),"")</f>
        <v/>
      </c>
      <c r="XN1" s="2" t="str">
        <f>IFERROR(IF(XN$3 = 1, Touchpoints!$C$2,IF(VLOOKUP(XN$3,Touchpoints!$A:$C,3,FALSE)=VLOOKUP(XM$3,Touchpoints!$A:$C,3,FALSE),"",IF(VLOOKUP(XN$3,Touchpoints!$A:$C,3,FALSE)=0,"",VLOOKUP(XN$3,Touchpoints!$A:$C,3,FALSE)))),"")</f>
        <v/>
      </c>
      <c r="XO1" s="2" t="str">
        <f>IFERROR(IF(XO$3 = 1, Touchpoints!$C$2,IF(VLOOKUP(XO$3,Touchpoints!$A:$C,3,FALSE)=VLOOKUP(XN$3,Touchpoints!$A:$C,3,FALSE),"",IF(VLOOKUP(XO$3,Touchpoints!$A:$C,3,FALSE)=0,"",VLOOKUP(XO$3,Touchpoints!$A:$C,3,FALSE)))),"")</f>
        <v/>
      </c>
      <c r="XP1" s="2" t="str">
        <f>IFERROR(IF(XP$3 = 1, Touchpoints!$C$2,IF(VLOOKUP(XP$3,Touchpoints!$A:$C,3,FALSE)=VLOOKUP(XO$3,Touchpoints!$A:$C,3,FALSE),"",IF(VLOOKUP(XP$3,Touchpoints!$A:$C,3,FALSE)=0,"",VLOOKUP(XP$3,Touchpoints!$A:$C,3,FALSE)))),"")</f>
        <v/>
      </c>
      <c r="XQ1" s="2" t="str">
        <f>IFERROR(IF(XQ$3 = 1, Touchpoints!$C$2,IF(VLOOKUP(XQ$3,Touchpoints!$A:$C,3,FALSE)=VLOOKUP(XP$3,Touchpoints!$A:$C,3,FALSE),"",IF(VLOOKUP(XQ$3,Touchpoints!$A:$C,3,FALSE)=0,"",VLOOKUP(XQ$3,Touchpoints!$A:$C,3,FALSE)))),"")</f>
        <v/>
      </c>
      <c r="XR1" s="2" t="str">
        <f>IFERROR(IF(XR$3 = 1, Touchpoints!$C$2,IF(VLOOKUP(XR$3,Touchpoints!$A:$C,3,FALSE)=VLOOKUP(XQ$3,Touchpoints!$A:$C,3,FALSE),"",IF(VLOOKUP(XR$3,Touchpoints!$A:$C,3,FALSE)=0,"",VLOOKUP(XR$3,Touchpoints!$A:$C,3,FALSE)))),"")</f>
        <v/>
      </c>
      <c r="XS1" s="2" t="str">
        <f>IFERROR(IF(XS$3 = 1, Touchpoints!$C$2,IF(VLOOKUP(XS$3,Touchpoints!$A:$C,3,FALSE)=VLOOKUP(XR$3,Touchpoints!$A:$C,3,FALSE),"",IF(VLOOKUP(XS$3,Touchpoints!$A:$C,3,FALSE)=0,"",VLOOKUP(XS$3,Touchpoints!$A:$C,3,FALSE)))),"")</f>
        <v/>
      </c>
      <c r="XT1" s="2" t="str">
        <f>IFERROR(IF(XT$3 = 1, Touchpoints!$C$2,IF(VLOOKUP(XT$3,Touchpoints!$A:$C,3,FALSE)=VLOOKUP(XS$3,Touchpoints!$A:$C,3,FALSE),"",IF(VLOOKUP(XT$3,Touchpoints!$A:$C,3,FALSE)=0,"",VLOOKUP(XT$3,Touchpoints!$A:$C,3,FALSE)))),"")</f>
        <v/>
      </c>
      <c r="XU1" s="2" t="str">
        <f>IFERROR(IF(XU$3 = 1, Touchpoints!$C$2,IF(VLOOKUP(XU$3,Touchpoints!$A:$C,3,FALSE)=VLOOKUP(XT$3,Touchpoints!$A:$C,3,FALSE),"",IF(VLOOKUP(XU$3,Touchpoints!$A:$C,3,FALSE)=0,"",VLOOKUP(XU$3,Touchpoints!$A:$C,3,FALSE)))),"")</f>
        <v/>
      </c>
      <c r="XV1" s="2" t="str">
        <f>IFERROR(IF(XV$3 = 1, Touchpoints!$C$2,IF(VLOOKUP(XV$3,Touchpoints!$A:$C,3,FALSE)=VLOOKUP(XU$3,Touchpoints!$A:$C,3,FALSE),"",IF(VLOOKUP(XV$3,Touchpoints!$A:$C,3,FALSE)=0,"",VLOOKUP(XV$3,Touchpoints!$A:$C,3,FALSE)))),"")</f>
        <v/>
      </c>
      <c r="XW1" s="2" t="str">
        <f>IFERROR(IF(XW$3 = 1, Touchpoints!$C$2,IF(VLOOKUP(XW$3,Touchpoints!$A:$C,3,FALSE)=VLOOKUP(XV$3,Touchpoints!$A:$C,3,FALSE),"",IF(VLOOKUP(XW$3,Touchpoints!$A:$C,3,FALSE)=0,"",VLOOKUP(XW$3,Touchpoints!$A:$C,3,FALSE)))),"")</f>
        <v/>
      </c>
      <c r="XX1" s="2" t="str">
        <f>IFERROR(IF(XX$3 = 1, Touchpoints!$C$2,IF(VLOOKUP(XX$3,Touchpoints!$A:$C,3,FALSE)=VLOOKUP(XW$3,Touchpoints!$A:$C,3,FALSE),"",IF(VLOOKUP(XX$3,Touchpoints!$A:$C,3,FALSE)=0,"",VLOOKUP(XX$3,Touchpoints!$A:$C,3,FALSE)))),"")</f>
        <v/>
      </c>
      <c r="XY1" s="2" t="str">
        <f>IFERROR(IF(XY$3 = 1, Touchpoints!$C$2,IF(VLOOKUP(XY$3,Touchpoints!$A:$C,3,FALSE)=VLOOKUP(XX$3,Touchpoints!$A:$C,3,FALSE),"",IF(VLOOKUP(XY$3,Touchpoints!$A:$C,3,FALSE)=0,"",VLOOKUP(XY$3,Touchpoints!$A:$C,3,FALSE)))),"")</f>
        <v/>
      </c>
      <c r="XZ1" s="2" t="str">
        <f>IFERROR(IF(XZ$3 = 1, Touchpoints!$C$2,IF(VLOOKUP(XZ$3,Touchpoints!$A:$C,3,FALSE)=VLOOKUP(XY$3,Touchpoints!$A:$C,3,FALSE),"",IF(VLOOKUP(XZ$3,Touchpoints!$A:$C,3,FALSE)=0,"",VLOOKUP(XZ$3,Touchpoints!$A:$C,3,FALSE)))),"")</f>
        <v/>
      </c>
      <c r="YA1" s="2" t="str">
        <f>IFERROR(IF(YA$3 = 1, Touchpoints!$C$2,IF(VLOOKUP(YA$3,Touchpoints!$A:$C,3,FALSE)=VLOOKUP(XZ$3,Touchpoints!$A:$C,3,FALSE),"",IF(VLOOKUP(YA$3,Touchpoints!$A:$C,3,FALSE)=0,"",VLOOKUP(YA$3,Touchpoints!$A:$C,3,FALSE)))),"")</f>
        <v/>
      </c>
      <c r="YB1" s="2" t="str">
        <f>IFERROR(IF(YB$3 = 1, Touchpoints!$C$2,IF(VLOOKUP(YB$3,Touchpoints!$A:$C,3,FALSE)=VLOOKUP(YA$3,Touchpoints!$A:$C,3,FALSE),"",IF(VLOOKUP(YB$3,Touchpoints!$A:$C,3,FALSE)=0,"",VLOOKUP(YB$3,Touchpoints!$A:$C,3,FALSE)))),"")</f>
        <v/>
      </c>
      <c r="YC1" s="2" t="str">
        <f>IFERROR(IF(YC$3 = 1, Touchpoints!$C$2,IF(VLOOKUP(YC$3,Touchpoints!$A:$C,3,FALSE)=VLOOKUP(YB$3,Touchpoints!$A:$C,3,FALSE),"",IF(VLOOKUP(YC$3,Touchpoints!$A:$C,3,FALSE)=0,"",VLOOKUP(YC$3,Touchpoints!$A:$C,3,FALSE)))),"")</f>
        <v/>
      </c>
      <c r="YD1" s="2" t="str">
        <f>IFERROR(IF(YD$3 = 1, Touchpoints!$C$2,IF(VLOOKUP(YD$3,Touchpoints!$A:$C,3,FALSE)=VLOOKUP(YC$3,Touchpoints!$A:$C,3,FALSE),"",IF(VLOOKUP(YD$3,Touchpoints!$A:$C,3,FALSE)=0,"",VLOOKUP(YD$3,Touchpoints!$A:$C,3,FALSE)))),"")</f>
        <v/>
      </c>
      <c r="YE1" s="2" t="str">
        <f>IFERROR(IF(YE$3 = 1, Touchpoints!$C$2,IF(VLOOKUP(YE$3,Touchpoints!$A:$C,3,FALSE)=VLOOKUP(YD$3,Touchpoints!$A:$C,3,FALSE),"",IF(VLOOKUP(YE$3,Touchpoints!$A:$C,3,FALSE)=0,"",VLOOKUP(YE$3,Touchpoints!$A:$C,3,FALSE)))),"")</f>
        <v/>
      </c>
      <c r="YF1" s="2" t="str">
        <f>IFERROR(IF(YF$3 = 1, Touchpoints!$C$2,IF(VLOOKUP(YF$3,Touchpoints!$A:$C,3,FALSE)=VLOOKUP(YE$3,Touchpoints!$A:$C,3,FALSE),"",IF(VLOOKUP(YF$3,Touchpoints!$A:$C,3,FALSE)=0,"",VLOOKUP(YF$3,Touchpoints!$A:$C,3,FALSE)))),"")</f>
        <v/>
      </c>
      <c r="YG1" s="2" t="str">
        <f>IFERROR(IF(YG$3 = 1, Touchpoints!$C$2,IF(VLOOKUP(YG$3,Touchpoints!$A:$C,3,FALSE)=VLOOKUP(YF$3,Touchpoints!$A:$C,3,FALSE),"",IF(VLOOKUP(YG$3,Touchpoints!$A:$C,3,FALSE)=0,"",VLOOKUP(YG$3,Touchpoints!$A:$C,3,FALSE)))),"")</f>
        <v/>
      </c>
      <c r="YH1" s="2" t="str">
        <f>IFERROR(IF(YH$3 = 1, Touchpoints!$C$2,IF(VLOOKUP(YH$3,Touchpoints!$A:$C,3,FALSE)=VLOOKUP(YG$3,Touchpoints!$A:$C,3,FALSE),"",IF(VLOOKUP(YH$3,Touchpoints!$A:$C,3,FALSE)=0,"",VLOOKUP(YH$3,Touchpoints!$A:$C,3,FALSE)))),"")</f>
        <v/>
      </c>
      <c r="YI1" s="2" t="str">
        <f>IFERROR(IF(YI$3 = 1, Touchpoints!$C$2,IF(VLOOKUP(YI$3,Touchpoints!$A:$C,3,FALSE)=VLOOKUP(YH$3,Touchpoints!$A:$C,3,FALSE),"",IF(VLOOKUP(YI$3,Touchpoints!$A:$C,3,FALSE)=0,"",VLOOKUP(YI$3,Touchpoints!$A:$C,3,FALSE)))),"")</f>
        <v/>
      </c>
      <c r="YJ1" s="2" t="str">
        <f>IFERROR(IF(YJ$3 = 1, Touchpoints!$C$2,IF(VLOOKUP(YJ$3,Touchpoints!$A:$C,3,FALSE)=VLOOKUP(YI$3,Touchpoints!$A:$C,3,FALSE),"",IF(VLOOKUP(YJ$3,Touchpoints!$A:$C,3,FALSE)=0,"",VLOOKUP(YJ$3,Touchpoints!$A:$C,3,FALSE)))),"")</f>
        <v/>
      </c>
      <c r="YK1" s="2" t="str">
        <f>IFERROR(IF(YK$3 = 1, Touchpoints!$C$2,IF(VLOOKUP(YK$3,Touchpoints!$A:$C,3,FALSE)=VLOOKUP(YJ$3,Touchpoints!$A:$C,3,FALSE),"",IF(VLOOKUP(YK$3,Touchpoints!$A:$C,3,FALSE)=0,"",VLOOKUP(YK$3,Touchpoints!$A:$C,3,FALSE)))),"")</f>
        <v/>
      </c>
      <c r="YL1" s="2" t="str">
        <f>IFERROR(IF(YL$3 = 1, Touchpoints!$C$2,IF(VLOOKUP(YL$3,Touchpoints!$A:$C,3,FALSE)=VLOOKUP(YK$3,Touchpoints!$A:$C,3,FALSE),"",IF(VLOOKUP(YL$3,Touchpoints!$A:$C,3,FALSE)=0,"",VLOOKUP(YL$3,Touchpoints!$A:$C,3,FALSE)))),"")</f>
        <v/>
      </c>
      <c r="YM1" s="2" t="str">
        <f>IFERROR(IF(YM$3 = 1, Touchpoints!$C$2,IF(VLOOKUP(YM$3,Touchpoints!$A:$C,3,FALSE)=VLOOKUP(YL$3,Touchpoints!$A:$C,3,FALSE),"",IF(VLOOKUP(YM$3,Touchpoints!$A:$C,3,FALSE)=0,"",VLOOKUP(YM$3,Touchpoints!$A:$C,3,FALSE)))),"")</f>
        <v/>
      </c>
      <c r="YN1" s="2" t="str">
        <f>IFERROR(IF(YN$3 = 1, Touchpoints!$C$2,IF(VLOOKUP(YN$3,Touchpoints!$A:$C,3,FALSE)=VLOOKUP(YM$3,Touchpoints!$A:$C,3,FALSE),"",IF(VLOOKUP(YN$3,Touchpoints!$A:$C,3,FALSE)=0,"",VLOOKUP(YN$3,Touchpoints!$A:$C,3,FALSE)))),"")</f>
        <v/>
      </c>
      <c r="YO1" s="2" t="str">
        <f>IFERROR(IF(YO$3 = 1, Touchpoints!$C$2,IF(VLOOKUP(YO$3,Touchpoints!$A:$C,3,FALSE)=VLOOKUP(YN$3,Touchpoints!$A:$C,3,FALSE),"",IF(VLOOKUP(YO$3,Touchpoints!$A:$C,3,FALSE)=0,"",VLOOKUP(YO$3,Touchpoints!$A:$C,3,FALSE)))),"")</f>
        <v/>
      </c>
      <c r="YP1" s="2" t="str">
        <f>IFERROR(IF(YP$3 = 1, Touchpoints!$C$2,IF(VLOOKUP(YP$3,Touchpoints!$A:$C,3,FALSE)=VLOOKUP(YO$3,Touchpoints!$A:$C,3,FALSE),"",IF(VLOOKUP(YP$3,Touchpoints!$A:$C,3,FALSE)=0,"",VLOOKUP(YP$3,Touchpoints!$A:$C,3,FALSE)))),"")</f>
        <v/>
      </c>
      <c r="YQ1" s="2" t="str">
        <f>IFERROR(IF(YQ$3 = 1, Touchpoints!$C$2,IF(VLOOKUP(YQ$3,Touchpoints!$A:$C,3,FALSE)=VLOOKUP(YP$3,Touchpoints!$A:$C,3,FALSE),"",IF(VLOOKUP(YQ$3,Touchpoints!$A:$C,3,FALSE)=0,"",VLOOKUP(YQ$3,Touchpoints!$A:$C,3,FALSE)))),"")</f>
        <v/>
      </c>
      <c r="YR1" s="2" t="str">
        <f>IFERROR(IF(YR$3 = 1, Touchpoints!$C$2,IF(VLOOKUP(YR$3,Touchpoints!$A:$C,3,FALSE)=VLOOKUP(YQ$3,Touchpoints!$A:$C,3,FALSE),"",IF(VLOOKUP(YR$3,Touchpoints!$A:$C,3,FALSE)=0,"",VLOOKUP(YR$3,Touchpoints!$A:$C,3,FALSE)))),"")</f>
        <v/>
      </c>
      <c r="YS1" s="2" t="str">
        <f>IFERROR(IF(YS$3 = 1, Touchpoints!$C$2,IF(VLOOKUP(YS$3,Touchpoints!$A:$C,3,FALSE)=VLOOKUP(YR$3,Touchpoints!$A:$C,3,FALSE),"",IF(VLOOKUP(YS$3,Touchpoints!$A:$C,3,FALSE)=0,"",VLOOKUP(YS$3,Touchpoints!$A:$C,3,FALSE)))),"")</f>
        <v/>
      </c>
      <c r="YT1" s="2" t="str">
        <f>IFERROR(IF(YT$3 = 1, Touchpoints!$C$2,IF(VLOOKUP(YT$3,Touchpoints!$A:$C,3,FALSE)=VLOOKUP(YS$3,Touchpoints!$A:$C,3,FALSE),"",IF(VLOOKUP(YT$3,Touchpoints!$A:$C,3,FALSE)=0,"",VLOOKUP(YT$3,Touchpoints!$A:$C,3,FALSE)))),"")</f>
        <v/>
      </c>
      <c r="YU1" s="2" t="str">
        <f>IFERROR(IF(YU$3 = 1, Touchpoints!$C$2,IF(VLOOKUP(YU$3,Touchpoints!$A:$C,3,FALSE)=VLOOKUP(YT$3,Touchpoints!$A:$C,3,FALSE),"",IF(VLOOKUP(YU$3,Touchpoints!$A:$C,3,FALSE)=0,"",VLOOKUP(YU$3,Touchpoints!$A:$C,3,FALSE)))),"")</f>
        <v/>
      </c>
      <c r="YV1" s="2" t="str">
        <f>IFERROR(IF(YV$3 = 1, Touchpoints!$C$2,IF(VLOOKUP(YV$3,Touchpoints!$A:$C,3,FALSE)=VLOOKUP(YU$3,Touchpoints!$A:$C,3,FALSE),"",IF(VLOOKUP(YV$3,Touchpoints!$A:$C,3,FALSE)=0,"",VLOOKUP(YV$3,Touchpoints!$A:$C,3,FALSE)))),"")</f>
        <v/>
      </c>
      <c r="YW1" s="2" t="str">
        <f>IFERROR(IF(YW$3 = 1, Touchpoints!$C$2,IF(VLOOKUP(YW$3,Touchpoints!$A:$C,3,FALSE)=VLOOKUP(YV$3,Touchpoints!$A:$C,3,FALSE),"",IF(VLOOKUP(YW$3,Touchpoints!$A:$C,3,FALSE)=0,"",VLOOKUP(YW$3,Touchpoints!$A:$C,3,FALSE)))),"")</f>
        <v/>
      </c>
      <c r="YX1" s="2" t="str">
        <f>IFERROR(IF(YX$3 = 1, Touchpoints!$C$2,IF(VLOOKUP(YX$3,Touchpoints!$A:$C,3,FALSE)=VLOOKUP(YW$3,Touchpoints!$A:$C,3,FALSE),"",IF(VLOOKUP(YX$3,Touchpoints!$A:$C,3,FALSE)=0,"",VLOOKUP(YX$3,Touchpoints!$A:$C,3,FALSE)))),"")</f>
        <v/>
      </c>
      <c r="YY1" s="2" t="str">
        <f>IFERROR(IF(YY$3 = 1, Touchpoints!$C$2,IF(VLOOKUP(YY$3,Touchpoints!$A:$C,3,FALSE)=VLOOKUP(YX$3,Touchpoints!$A:$C,3,FALSE),"",IF(VLOOKUP(YY$3,Touchpoints!$A:$C,3,FALSE)=0,"",VLOOKUP(YY$3,Touchpoints!$A:$C,3,FALSE)))),"")</f>
        <v/>
      </c>
      <c r="YZ1" s="2" t="str">
        <f>IFERROR(IF(YZ$3 = 1, Touchpoints!$C$2,IF(VLOOKUP(YZ$3,Touchpoints!$A:$C,3,FALSE)=VLOOKUP(YY$3,Touchpoints!$A:$C,3,FALSE),"",IF(VLOOKUP(YZ$3,Touchpoints!$A:$C,3,FALSE)=0,"",VLOOKUP(YZ$3,Touchpoints!$A:$C,3,FALSE)))),"")</f>
        <v/>
      </c>
      <c r="ZA1" s="2" t="str">
        <f>IFERROR(IF(ZA$3 = 1, Touchpoints!$C$2,IF(VLOOKUP(ZA$3,Touchpoints!$A:$C,3,FALSE)=VLOOKUP(YZ$3,Touchpoints!$A:$C,3,FALSE),"",IF(VLOOKUP(ZA$3,Touchpoints!$A:$C,3,FALSE)=0,"",VLOOKUP(ZA$3,Touchpoints!$A:$C,3,FALSE)))),"")</f>
        <v/>
      </c>
      <c r="ZB1" s="2" t="str">
        <f>IFERROR(IF(ZB$3 = 1, Touchpoints!$C$2,IF(VLOOKUP(ZB$3,Touchpoints!$A:$C,3,FALSE)=VLOOKUP(ZA$3,Touchpoints!$A:$C,3,FALSE),"",IF(VLOOKUP(ZB$3,Touchpoints!$A:$C,3,FALSE)=0,"",VLOOKUP(ZB$3,Touchpoints!$A:$C,3,FALSE)))),"")</f>
        <v/>
      </c>
      <c r="ZC1" s="2" t="str">
        <f>IFERROR(IF(ZC$3 = 1, Touchpoints!$C$2,IF(VLOOKUP(ZC$3,Touchpoints!$A:$C,3,FALSE)=VLOOKUP(ZB$3,Touchpoints!$A:$C,3,FALSE),"",IF(VLOOKUP(ZC$3,Touchpoints!$A:$C,3,FALSE)=0,"",VLOOKUP(ZC$3,Touchpoints!$A:$C,3,FALSE)))),"")</f>
        <v/>
      </c>
      <c r="ZD1" s="2" t="str">
        <f>IFERROR(IF(ZD$3 = 1, Touchpoints!$C$2,IF(VLOOKUP(ZD$3,Touchpoints!$A:$C,3,FALSE)=VLOOKUP(ZC$3,Touchpoints!$A:$C,3,FALSE),"",IF(VLOOKUP(ZD$3,Touchpoints!$A:$C,3,FALSE)=0,"",VLOOKUP(ZD$3,Touchpoints!$A:$C,3,FALSE)))),"")</f>
        <v/>
      </c>
      <c r="ZE1" s="2" t="str">
        <f>IFERROR(IF(ZE$3 = 1, Touchpoints!$C$2,IF(VLOOKUP(ZE$3,Touchpoints!$A:$C,3,FALSE)=VLOOKUP(ZD$3,Touchpoints!$A:$C,3,FALSE),"",IF(VLOOKUP(ZE$3,Touchpoints!$A:$C,3,FALSE)=0,"",VLOOKUP(ZE$3,Touchpoints!$A:$C,3,FALSE)))),"")</f>
        <v/>
      </c>
      <c r="ZF1" s="2" t="str">
        <f>IFERROR(IF(ZF$3 = 1, Touchpoints!$C$2,IF(VLOOKUP(ZF$3,Touchpoints!$A:$C,3,FALSE)=VLOOKUP(ZE$3,Touchpoints!$A:$C,3,FALSE),"",IF(VLOOKUP(ZF$3,Touchpoints!$A:$C,3,FALSE)=0,"",VLOOKUP(ZF$3,Touchpoints!$A:$C,3,FALSE)))),"")</f>
        <v/>
      </c>
      <c r="ZG1" s="2" t="str">
        <f>IFERROR(IF(ZG$3 = 1, Touchpoints!$C$2,IF(VLOOKUP(ZG$3,Touchpoints!$A:$C,3,FALSE)=VLOOKUP(ZF$3,Touchpoints!$A:$C,3,FALSE),"",IF(VLOOKUP(ZG$3,Touchpoints!$A:$C,3,FALSE)=0,"",VLOOKUP(ZG$3,Touchpoints!$A:$C,3,FALSE)))),"")</f>
        <v/>
      </c>
      <c r="ZH1" s="2" t="str">
        <f>IFERROR(IF(ZH$3 = 1, Touchpoints!$C$2,IF(VLOOKUP(ZH$3,Touchpoints!$A:$C,3,FALSE)=VLOOKUP(ZG$3,Touchpoints!$A:$C,3,FALSE),"",IF(VLOOKUP(ZH$3,Touchpoints!$A:$C,3,FALSE)=0,"",VLOOKUP(ZH$3,Touchpoints!$A:$C,3,FALSE)))),"")</f>
        <v/>
      </c>
      <c r="ZI1" s="2" t="str">
        <f>IFERROR(IF(ZI$3 = 1, Touchpoints!$C$2,IF(VLOOKUP(ZI$3,Touchpoints!$A:$C,3,FALSE)=VLOOKUP(ZH$3,Touchpoints!$A:$C,3,FALSE),"",IF(VLOOKUP(ZI$3,Touchpoints!$A:$C,3,FALSE)=0,"",VLOOKUP(ZI$3,Touchpoints!$A:$C,3,FALSE)))),"")</f>
        <v/>
      </c>
      <c r="ZJ1" s="2" t="str">
        <f>IFERROR(IF(ZJ$3 = 1, Touchpoints!$C$2,IF(VLOOKUP(ZJ$3,Touchpoints!$A:$C,3,FALSE)=VLOOKUP(ZI$3,Touchpoints!$A:$C,3,FALSE),"",IF(VLOOKUP(ZJ$3,Touchpoints!$A:$C,3,FALSE)=0,"",VLOOKUP(ZJ$3,Touchpoints!$A:$C,3,FALSE)))),"")</f>
        <v/>
      </c>
      <c r="ZK1" s="2" t="str">
        <f>IFERROR(IF(ZK$3 = 1, Touchpoints!$C$2,IF(VLOOKUP(ZK$3,Touchpoints!$A:$C,3,FALSE)=VLOOKUP(ZJ$3,Touchpoints!$A:$C,3,FALSE),"",IF(VLOOKUP(ZK$3,Touchpoints!$A:$C,3,FALSE)=0,"",VLOOKUP(ZK$3,Touchpoints!$A:$C,3,FALSE)))),"")</f>
        <v/>
      </c>
      <c r="ZL1" s="2" t="str">
        <f>IFERROR(IF(ZL$3 = 1, Touchpoints!$C$2,IF(VLOOKUP(ZL$3,Touchpoints!$A:$C,3,FALSE)=VLOOKUP(ZK$3,Touchpoints!$A:$C,3,FALSE),"",IF(VLOOKUP(ZL$3,Touchpoints!$A:$C,3,FALSE)=0,"",VLOOKUP(ZL$3,Touchpoints!$A:$C,3,FALSE)))),"")</f>
        <v/>
      </c>
      <c r="ZM1" s="2" t="str">
        <f>IFERROR(IF(ZM$3 = 1, Touchpoints!$C$2,IF(VLOOKUP(ZM$3,Touchpoints!$A:$C,3,FALSE)=VLOOKUP(ZL$3,Touchpoints!$A:$C,3,FALSE),"",IF(VLOOKUP(ZM$3,Touchpoints!$A:$C,3,FALSE)=0,"",VLOOKUP(ZM$3,Touchpoints!$A:$C,3,FALSE)))),"")</f>
        <v/>
      </c>
      <c r="ZN1" s="2" t="str">
        <f>IFERROR(IF(ZN$3 = 1, Touchpoints!$C$2,IF(VLOOKUP(ZN$3,Touchpoints!$A:$C,3,FALSE)=VLOOKUP(ZM$3,Touchpoints!$A:$C,3,FALSE),"",IF(VLOOKUP(ZN$3,Touchpoints!$A:$C,3,FALSE)=0,"",VLOOKUP(ZN$3,Touchpoints!$A:$C,3,FALSE)))),"")</f>
        <v/>
      </c>
      <c r="ZO1" s="2" t="str">
        <f>IFERROR(IF(ZO$3 = 1, Touchpoints!$C$2,IF(VLOOKUP(ZO$3,Touchpoints!$A:$C,3,FALSE)=VLOOKUP(ZN$3,Touchpoints!$A:$C,3,FALSE),"",IF(VLOOKUP(ZO$3,Touchpoints!$A:$C,3,FALSE)=0,"",VLOOKUP(ZO$3,Touchpoints!$A:$C,3,FALSE)))),"")</f>
        <v/>
      </c>
      <c r="ZP1" s="2" t="str">
        <f>IFERROR(IF(ZP$3 = 1, Touchpoints!$C$2,IF(VLOOKUP(ZP$3,Touchpoints!$A:$C,3,FALSE)=VLOOKUP(ZO$3,Touchpoints!$A:$C,3,FALSE),"",IF(VLOOKUP(ZP$3,Touchpoints!$A:$C,3,FALSE)=0,"",VLOOKUP(ZP$3,Touchpoints!$A:$C,3,FALSE)))),"")</f>
        <v/>
      </c>
      <c r="ZQ1" s="2" t="str">
        <f>IFERROR(IF(ZQ$3 = 1, Touchpoints!$C$2,IF(VLOOKUP(ZQ$3,Touchpoints!$A:$C,3,FALSE)=VLOOKUP(ZP$3,Touchpoints!$A:$C,3,FALSE),"",IF(VLOOKUP(ZQ$3,Touchpoints!$A:$C,3,FALSE)=0,"",VLOOKUP(ZQ$3,Touchpoints!$A:$C,3,FALSE)))),"")</f>
        <v/>
      </c>
      <c r="ZR1" s="2" t="str">
        <f>IFERROR(IF(ZR$3 = 1, Touchpoints!$C$2,IF(VLOOKUP(ZR$3,Touchpoints!$A:$C,3,FALSE)=VLOOKUP(ZQ$3,Touchpoints!$A:$C,3,FALSE),"",IF(VLOOKUP(ZR$3,Touchpoints!$A:$C,3,FALSE)=0,"",VLOOKUP(ZR$3,Touchpoints!$A:$C,3,FALSE)))),"")</f>
        <v/>
      </c>
      <c r="ZS1" s="2" t="str">
        <f>IFERROR(IF(ZS$3 = 1, Touchpoints!$C$2,IF(VLOOKUP(ZS$3,Touchpoints!$A:$C,3,FALSE)=VLOOKUP(ZR$3,Touchpoints!$A:$C,3,FALSE),"",IF(VLOOKUP(ZS$3,Touchpoints!$A:$C,3,FALSE)=0,"",VLOOKUP(ZS$3,Touchpoints!$A:$C,3,FALSE)))),"")</f>
        <v/>
      </c>
      <c r="ZT1" s="2" t="str">
        <f>IFERROR(IF(ZT$3 = 1, Touchpoints!$C$2,IF(VLOOKUP(ZT$3,Touchpoints!$A:$C,3,FALSE)=VLOOKUP(ZS$3,Touchpoints!$A:$C,3,FALSE),"",IF(VLOOKUP(ZT$3,Touchpoints!$A:$C,3,FALSE)=0,"",VLOOKUP(ZT$3,Touchpoints!$A:$C,3,FALSE)))),"")</f>
        <v/>
      </c>
      <c r="ZU1" s="2" t="str">
        <f>IFERROR(IF(ZU$3 = 1, Touchpoints!$C$2,IF(VLOOKUP(ZU$3,Touchpoints!$A:$C,3,FALSE)=VLOOKUP(ZT$3,Touchpoints!$A:$C,3,FALSE),"",IF(VLOOKUP(ZU$3,Touchpoints!$A:$C,3,FALSE)=0,"",VLOOKUP(ZU$3,Touchpoints!$A:$C,3,FALSE)))),"")</f>
        <v/>
      </c>
      <c r="ZV1" s="2" t="str">
        <f>IFERROR(IF(ZV$3 = 1, Touchpoints!$C$2,IF(VLOOKUP(ZV$3,Touchpoints!$A:$C,3,FALSE)=VLOOKUP(ZU$3,Touchpoints!$A:$C,3,FALSE),"",IF(VLOOKUP(ZV$3,Touchpoints!$A:$C,3,FALSE)=0,"",VLOOKUP(ZV$3,Touchpoints!$A:$C,3,FALSE)))),"")</f>
        <v/>
      </c>
      <c r="ZW1" s="2" t="str">
        <f>IFERROR(IF(ZW$3 = 1, Touchpoints!$C$2,IF(VLOOKUP(ZW$3,Touchpoints!$A:$C,3,FALSE)=VLOOKUP(ZV$3,Touchpoints!$A:$C,3,FALSE),"",IF(VLOOKUP(ZW$3,Touchpoints!$A:$C,3,FALSE)=0,"",VLOOKUP(ZW$3,Touchpoints!$A:$C,3,FALSE)))),"")</f>
        <v/>
      </c>
      <c r="ZX1" s="2" t="str">
        <f>IFERROR(IF(ZX$3 = 1, Touchpoints!$C$2,IF(VLOOKUP(ZX$3,Touchpoints!$A:$C,3,FALSE)=VLOOKUP(ZW$3,Touchpoints!$A:$C,3,FALSE),"",IF(VLOOKUP(ZX$3,Touchpoints!$A:$C,3,FALSE)=0,"",VLOOKUP(ZX$3,Touchpoints!$A:$C,3,FALSE)))),"")</f>
        <v/>
      </c>
      <c r="ZY1" s="2" t="str">
        <f>IFERROR(IF(ZY$3 = 1, Touchpoints!$C$2,IF(VLOOKUP(ZY$3,Touchpoints!$A:$C,3,FALSE)=VLOOKUP(ZX$3,Touchpoints!$A:$C,3,FALSE),"",IF(VLOOKUP(ZY$3,Touchpoints!$A:$C,3,FALSE)=0,"",VLOOKUP(ZY$3,Touchpoints!$A:$C,3,FALSE)))),"")</f>
        <v/>
      </c>
      <c r="ZZ1" s="2" t="str">
        <f>IFERROR(IF(ZZ$3 = 1, Touchpoints!$C$2,IF(VLOOKUP(ZZ$3,Touchpoints!$A:$C,3,FALSE)=VLOOKUP(ZY$3,Touchpoints!$A:$C,3,FALSE),"",IF(VLOOKUP(ZZ$3,Touchpoints!$A:$C,3,FALSE)=0,"",VLOOKUP(ZZ$3,Touchpoints!$A:$C,3,FALSE)))),"")</f>
        <v/>
      </c>
      <c r="AAA1" s="2" t="str">
        <f>IFERROR(IF(AAA$3 = 1, Touchpoints!$C$2,IF(VLOOKUP(AAA$3,Touchpoints!$A:$C,3,FALSE)=VLOOKUP(ZZ$3,Touchpoints!$A:$C,3,FALSE),"",IF(VLOOKUP(AAA$3,Touchpoints!$A:$C,3,FALSE)=0,"",VLOOKUP(AAA$3,Touchpoints!$A:$C,3,FALSE)))),"")</f>
        <v/>
      </c>
      <c r="AAB1" s="2" t="str">
        <f>IFERROR(IF(AAB$3 = 1, Touchpoints!$C$2,IF(VLOOKUP(AAB$3,Touchpoints!$A:$C,3,FALSE)=VLOOKUP(AAA$3,Touchpoints!$A:$C,3,FALSE),"",IF(VLOOKUP(AAB$3,Touchpoints!$A:$C,3,FALSE)=0,"",VLOOKUP(AAB$3,Touchpoints!$A:$C,3,FALSE)))),"")</f>
        <v/>
      </c>
      <c r="AAC1" s="2" t="str">
        <f>IFERROR(IF(AAC$3 = 1, Touchpoints!$C$2,IF(VLOOKUP(AAC$3,Touchpoints!$A:$C,3,FALSE)=VLOOKUP(AAB$3,Touchpoints!$A:$C,3,FALSE),"",IF(VLOOKUP(AAC$3,Touchpoints!$A:$C,3,FALSE)=0,"",VLOOKUP(AAC$3,Touchpoints!$A:$C,3,FALSE)))),"")</f>
        <v/>
      </c>
      <c r="AAD1" s="2" t="str">
        <f>IFERROR(IF(AAD$3 = 1, Touchpoints!$C$2,IF(VLOOKUP(AAD$3,Touchpoints!$A:$C,3,FALSE)=VLOOKUP(AAC$3,Touchpoints!$A:$C,3,FALSE),"",IF(VLOOKUP(AAD$3,Touchpoints!$A:$C,3,FALSE)=0,"",VLOOKUP(AAD$3,Touchpoints!$A:$C,3,FALSE)))),"")</f>
        <v/>
      </c>
      <c r="AAE1" s="2" t="str">
        <f>IFERROR(IF(AAE$3 = 1, Touchpoints!$C$2,IF(VLOOKUP(AAE$3,Touchpoints!$A:$C,3,FALSE)=VLOOKUP(AAD$3,Touchpoints!$A:$C,3,FALSE),"",IF(VLOOKUP(AAE$3,Touchpoints!$A:$C,3,FALSE)=0,"",VLOOKUP(AAE$3,Touchpoints!$A:$C,3,FALSE)))),"")</f>
        <v/>
      </c>
      <c r="AAF1" s="2" t="str">
        <f>IFERROR(IF(AAF$3 = 1, Touchpoints!$C$2,IF(VLOOKUP(AAF$3,Touchpoints!$A:$C,3,FALSE)=VLOOKUP(AAE$3,Touchpoints!$A:$C,3,FALSE),"",IF(VLOOKUP(AAF$3,Touchpoints!$A:$C,3,FALSE)=0,"",VLOOKUP(AAF$3,Touchpoints!$A:$C,3,FALSE)))),"")</f>
        <v/>
      </c>
      <c r="AAG1" s="2" t="str">
        <f>IFERROR(IF(AAG$3 = 1, Touchpoints!$C$2,IF(VLOOKUP(AAG$3,Touchpoints!$A:$C,3,FALSE)=VLOOKUP(AAF$3,Touchpoints!$A:$C,3,FALSE),"",IF(VLOOKUP(AAG$3,Touchpoints!$A:$C,3,FALSE)=0,"",VLOOKUP(AAG$3,Touchpoints!$A:$C,3,FALSE)))),"")</f>
        <v/>
      </c>
      <c r="AAH1" s="2" t="str">
        <f>IFERROR(IF(AAH$3 = 1, Touchpoints!$C$2,IF(VLOOKUP(AAH$3,Touchpoints!$A:$C,3,FALSE)=VLOOKUP(AAG$3,Touchpoints!$A:$C,3,FALSE),"",IF(VLOOKUP(AAH$3,Touchpoints!$A:$C,3,FALSE)=0,"",VLOOKUP(AAH$3,Touchpoints!$A:$C,3,FALSE)))),"")</f>
        <v/>
      </c>
      <c r="AAI1" s="2" t="str">
        <f>IFERROR(IF(AAI$3 = 1, Touchpoints!$C$2,IF(VLOOKUP(AAI$3,Touchpoints!$A:$C,3,FALSE)=VLOOKUP(AAH$3,Touchpoints!$A:$C,3,FALSE),"",IF(VLOOKUP(AAI$3,Touchpoints!$A:$C,3,FALSE)=0,"",VLOOKUP(AAI$3,Touchpoints!$A:$C,3,FALSE)))),"")</f>
        <v/>
      </c>
      <c r="AAJ1" s="2" t="str">
        <f>IFERROR(IF(AAJ$3 = 1, Touchpoints!$C$2,IF(VLOOKUP(AAJ$3,Touchpoints!$A:$C,3,FALSE)=VLOOKUP(AAI$3,Touchpoints!$A:$C,3,FALSE),"",IF(VLOOKUP(AAJ$3,Touchpoints!$A:$C,3,FALSE)=0,"",VLOOKUP(AAJ$3,Touchpoints!$A:$C,3,FALSE)))),"")</f>
        <v/>
      </c>
      <c r="AAK1" s="2" t="str">
        <f>IFERROR(IF(AAK$3 = 1, Touchpoints!$C$2,IF(VLOOKUP(AAK$3,Touchpoints!$A:$C,3,FALSE)=VLOOKUP(AAJ$3,Touchpoints!$A:$C,3,FALSE),"",IF(VLOOKUP(AAK$3,Touchpoints!$A:$C,3,FALSE)=0,"",VLOOKUP(AAK$3,Touchpoints!$A:$C,3,FALSE)))),"")</f>
        <v/>
      </c>
      <c r="AAL1" s="2" t="str">
        <f>IFERROR(IF(AAL$3 = 1, Touchpoints!$C$2,IF(VLOOKUP(AAL$3,Touchpoints!$A:$C,3,FALSE)=VLOOKUP(AAK$3,Touchpoints!$A:$C,3,FALSE),"",IF(VLOOKUP(AAL$3,Touchpoints!$A:$C,3,FALSE)=0,"",VLOOKUP(AAL$3,Touchpoints!$A:$C,3,FALSE)))),"")</f>
        <v/>
      </c>
      <c r="AAM1" s="2" t="str">
        <f>IFERROR(IF(AAM$3 = 1, Touchpoints!$C$2,IF(VLOOKUP(AAM$3,Touchpoints!$A:$C,3,FALSE)=VLOOKUP(AAL$3,Touchpoints!$A:$C,3,FALSE),"",IF(VLOOKUP(AAM$3,Touchpoints!$A:$C,3,FALSE)=0,"",VLOOKUP(AAM$3,Touchpoints!$A:$C,3,FALSE)))),"")</f>
        <v/>
      </c>
      <c r="AAN1" s="2" t="str">
        <f>IFERROR(IF(AAN$3 = 1, Touchpoints!$C$2,IF(VLOOKUP(AAN$3,Touchpoints!$A:$C,3,FALSE)=VLOOKUP(AAM$3,Touchpoints!$A:$C,3,FALSE),"",IF(VLOOKUP(AAN$3,Touchpoints!$A:$C,3,FALSE)=0,"",VLOOKUP(AAN$3,Touchpoints!$A:$C,3,FALSE)))),"")</f>
        <v/>
      </c>
      <c r="AAO1" s="2" t="str">
        <f>IFERROR(IF(AAO$3 = 1, Touchpoints!$C$2,IF(VLOOKUP(AAO$3,Touchpoints!$A:$C,3,FALSE)=VLOOKUP(AAN$3,Touchpoints!$A:$C,3,FALSE),"",IF(VLOOKUP(AAO$3,Touchpoints!$A:$C,3,FALSE)=0,"",VLOOKUP(AAO$3,Touchpoints!$A:$C,3,FALSE)))),"")</f>
        <v/>
      </c>
      <c r="AAP1" s="2" t="str">
        <f>IFERROR(IF(AAP$3 = 1, Touchpoints!$C$2,IF(VLOOKUP(AAP$3,Touchpoints!$A:$C,3,FALSE)=VLOOKUP(AAO$3,Touchpoints!$A:$C,3,FALSE),"",IF(VLOOKUP(AAP$3,Touchpoints!$A:$C,3,FALSE)=0,"",VLOOKUP(AAP$3,Touchpoints!$A:$C,3,FALSE)))),"")</f>
        <v/>
      </c>
      <c r="AAQ1" s="2" t="str">
        <f>IFERROR(IF(AAQ$3 = 1, Touchpoints!$C$2,IF(VLOOKUP(AAQ$3,Touchpoints!$A:$C,3,FALSE)=VLOOKUP(AAP$3,Touchpoints!$A:$C,3,FALSE),"",IF(VLOOKUP(AAQ$3,Touchpoints!$A:$C,3,FALSE)=0,"",VLOOKUP(AAQ$3,Touchpoints!$A:$C,3,FALSE)))),"")</f>
        <v/>
      </c>
      <c r="AAR1" s="2" t="str">
        <f>IFERROR(IF(AAR$3 = 1, Touchpoints!$C$2,IF(VLOOKUP(AAR$3,Touchpoints!$A:$C,3,FALSE)=VLOOKUP(AAQ$3,Touchpoints!$A:$C,3,FALSE),"",IF(VLOOKUP(AAR$3,Touchpoints!$A:$C,3,FALSE)=0,"",VLOOKUP(AAR$3,Touchpoints!$A:$C,3,FALSE)))),"")</f>
        <v/>
      </c>
      <c r="AAS1" s="2" t="str">
        <f>IFERROR(IF(AAS$3 = 1, Touchpoints!$C$2,IF(VLOOKUP(AAS$3,Touchpoints!$A:$C,3,FALSE)=VLOOKUP(AAR$3,Touchpoints!$A:$C,3,FALSE),"",IF(VLOOKUP(AAS$3,Touchpoints!$A:$C,3,FALSE)=0,"",VLOOKUP(AAS$3,Touchpoints!$A:$C,3,FALSE)))),"")</f>
        <v/>
      </c>
      <c r="AAT1" s="2" t="str">
        <f>IFERROR(IF(AAT$3 = 1, Touchpoints!$C$2,IF(VLOOKUP(AAT$3,Touchpoints!$A:$C,3,FALSE)=VLOOKUP(AAS$3,Touchpoints!$A:$C,3,FALSE),"",IF(VLOOKUP(AAT$3,Touchpoints!$A:$C,3,FALSE)=0,"",VLOOKUP(AAT$3,Touchpoints!$A:$C,3,FALSE)))),"")</f>
        <v/>
      </c>
      <c r="AAU1" s="2" t="str">
        <f>IFERROR(IF(AAU$3 = 1, Touchpoints!$C$2,IF(VLOOKUP(AAU$3,Touchpoints!$A:$C,3,FALSE)=VLOOKUP(AAT$3,Touchpoints!$A:$C,3,FALSE),"",IF(VLOOKUP(AAU$3,Touchpoints!$A:$C,3,FALSE)=0,"",VLOOKUP(AAU$3,Touchpoints!$A:$C,3,FALSE)))),"")</f>
        <v/>
      </c>
      <c r="AAV1" s="2" t="str">
        <f>IFERROR(IF(AAV$3 = 1, Touchpoints!$C$2,IF(VLOOKUP(AAV$3,Touchpoints!$A:$C,3,FALSE)=VLOOKUP(AAU$3,Touchpoints!$A:$C,3,FALSE),"",IF(VLOOKUP(AAV$3,Touchpoints!$A:$C,3,FALSE)=0,"",VLOOKUP(AAV$3,Touchpoints!$A:$C,3,FALSE)))),"")</f>
        <v/>
      </c>
      <c r="AAW1" s="2" t="str">
        <f>IFERROR(IF(AAW$3 = 1, Touchpoints!$C$2,IF(VLOOKUP(AAW$3,Touchpoints!$A:$C,3,FALSE)=VLOOKUP(AAV$3,Touchpoints!$A:$C,3,FALSE),"",IF(VLOOKUP(AAW$3,Touchpoints!$A:$C,3,FALSE)=0,"",VLOOKUP(AAW$3,Touchpoints!$A:$C,3,FALSE)))),"")</f>
        <v/>
      </c>
      <c r="AAX1" s="2" t="str">
        <f>IFERROR(IF(AAX$3 = 1, Touchpoints!$C$2,IF(VLOOKUP(AAX$3,Touchpoints!$A:$C,3,FALSE)=VLOOKUP(AAW$3,Touchpoints!$A:$C,3,FALSE),"",IF(VLOOKUP(AAX$3,Touchpoints!$A:$C,3,FALSE)=0,"",VLOOKUP(AAX$3,Touchpoints!$A:$C,3,FALSE)))),"")</f>
        <v/>
      </c>
      <c r="AAY1" s="2" t="str">
        <f>IFERROR(IF(AAY$3 = 1, Touchpoints!$C$2,IF(VLOOKUP(AAY$3,Touchpoints!$A:$C,3,FALSE)=VLOOKUP(AAX$3,Touchpoints!$A:$C,3,FALSE),"",IF(VLOOKUP(AAY$3,Touchpoints!$A:$C,3,FALSE)=0,"",VLOOKUP(AAY$3,Touchpoints!$A:$C,3,FALSE)))),"")</f>
        <v/>
      </c>
      <c r="AAZ1" s="2" t="str">
        <f>IFERROR(IF(AAZ$3 = 1, Touchpoints!$C$2,IF(VLOOKUP(AAZ$3,Touchpoints!$A:$C,3,FALSE)=VLOOKUP(AAY$3,Touchpoints!$A:$C,3,FALSE),"",IF(VLOOKUP(AAZ$3,Touchpoints!$A:$C,3,FALSE)=0,"",VLOOKUP(AAZ$3,Touchpoints!$A:$C,3,FALSE)))),"")</f>
        <v/>
      </c>
      <c r="ABA1" s="2" t="str">
        <f>IFERROR(IF(ABA$3 = 1, Touchpoints!$C$2,IF(VLOOKUP(ABA$3,Touchpoints!$A:$C,3,FALSE)=VLOOKUP(AAZ$3,Touchpoints!$A:$C,3,FALSE),"",IF(VLOOKUP(ABA$3,Touchpoints!$A:$C,3,FALSE)=0,"",VLOOKUP(ABA$3,Touchpoints!$A:$C,3,FALSE)))),"")</f>
        <v/>
      </c>
      <c r="ABB1" s="2" t="str">
        <f>IFERROR(IF(ABB$3 = 1, Touchpoints!$C$2,IF(VLOOKUP(ABB$3,Touchpoints!$A:$C,3,FALSE)=VLOOKUP(ABA$3,Touchpoints!$A:$C,3,FALSE),"",IF(VLOOKUP(ABB$3,Touchpoints!$A:$C,3,FALSE)=0,"",VLOOKUP(ABB$3,Touchpoints!$A:$C,3,FALSE)))),"")</f>
        <v/>
      </c>
      <c r="ABC1" s="2" t="str">
        <f>IFERROR(IF(ABC$3 = 1, Touchpoints!$C$2,IF(VLOOKUP(ABC$3,Touchpoints!$A:$C,3,FALSE)=VLOOKUP(ABB$3,Touchpoints!$A:$C,3,FALSE),"",IF(VLOOKUP(ABC$3,Touchpoints!$A:$C,3,FALSE)=0,"",VLOOKUP(ABC$3,Touchpoints!$A:$C,3,FALSE)))),"")</f>
        <v/>
      </c>
      <c r="ABD1" s="2" t="str">
        <f>IFERROR(IF(ABD$3 = 1, Touchpoints!$C$2,IF(VLOOKUP(ABD$3,Touchpoints!$A:$C,3,FALSE)=VLOOKUP(ABC$3,Touchpoints!$A:$C,3,FALSE),"",IF(VLOOKUP(ABD$3,Touchpoints!$A:$C,3,FALSE)=0,"",VLOOKUP(ABD$3,Touchpoints!$A:$C,3,FALSE)))),"")</f>
        <v/>
      </c>
      <c r="ABE1" s="2" t="str">
        <f>IFERROR(IF(ABE$3 = 1, Touchpoints!$C$2,IF(VLOOKUP(ABE$3,Touchpoints!$A:$C,3,FALSE)=VLOOKUP(ABD$3,Touchpoints!$A:$C,3,FALSE),"",IF(VLOOKUP(ABE$3,Touchpoints!$A:$C,3,FALSE)=0,"",VLOOKUP(ABE$3,Touchpoints!$A:$C,3,FALSE)))),"")</f>
        <v/>
      </c>
      <c r="ABF1" s="2" t="str">
        <f>IFERROR(IF(ABF$3 = 1, Touchpoints!$C$2,IF(VLOOKUP(ABF$3,Touchpoints!$A:$C,3,FALSE)=VLOOKUP(ABE$3,Touchpoints!$A:$C,3,FALSE),"",IF(VLOOKUP(ABF$3,Touchpoints!$A:$C,3,FALSE)=0,"",VLOOKUP(ABF$3,Touchpoints!$A:$C,3,FALSE)))),"")</f>
        <v/>
      </c>
      <c r="ABG1" s="2" t="str">
        <f>IFERROR(IF(ABG$3 = 1, Touchpoints!$C$2,IF(VLOOKUP(ABG$3,Touchpoints!$A:$C,3,FALSE)=VLOOKUP(ABF$3,Touchpoints!$A:$C,3,FALSE),"",IF(VLOOKUP(ABG$3,Touchpoints!$A:$C,3,FALSE)=0,"",VLOOKUP(ABG$3,Touchpoints!$A:$C,3,FALSE)))),"")</f>
        <v/>
      </c>
      <c r="ABH1" s="2" t="str">
        <f>IFERROR(IF(ABH$3 = 1, Touchpoints!$C$2,IF(VLOOKUP(ABH$3,Touchpoints!$A:$C,3,FALSE)=VLOOKUP(ABG$3,Touchpoints!$A:$C,3,FALSE),"",IF(VLOOKUP(ABH$3,Touchpoints!$A:$C,3,FALSE)=0,"",VLOOKUP(ABH$3,Touchpoints!$A:$C,3,FALSE)))),"")</f>
        <v/>
      </c>
      <c r="ABI1" s="2" t="str">
        <f>IFERROR(IF(ABI$3 = 1, Touchpoints!$C$2,IF(VLOOKUP(ABI$3,Touchpoints!$A:$C,3,FALSE)=VLOOKUP(ABH$3,Touchpoints!$A:$C,3,FALSE),"",IF(VLOOKUP(ABI$3,Touchpoints!$A:$C,3,FALSE)=0,"",VLOOKUP(ABI$3,Touchpoints!$A:$C,3,FALSE)))),"")</f>
        <v/>
      </c>
      <c r="ABJ1" s="2" t="str">
        <f>IFERROR(IF(ABJ$3 = 1, Touchpoints!$C$2,IF(VLOOKUP(ABJ$3,Touchpoints!$A:$C,3,FALSE)=VLOOKUP(ABI$3,Touchpoints!$A:$C,3,FALSE),"",IF(VLOOKUP(ABJ$3,Touchpoints!$A:$C,3,FALSE)=0,"",VLOOKUP(ABJ$3,Touchpoints!$A:$C,3,FALSE)))),"")</f>
        <v/>
      </c>
      <c r="ABK1" s="2" t="str">
        <f>IFERROR(IF(ABK$3 = 1, Touchpoints!$C$2,IF(VLOOKUP(ABK$3,Touchpoints!$A:$C,3,FALSE)=VLOOKUP(ABJ$3,Touchpoints!$A:$C,3,FALSE),"",IF(VLOOKUP(ABK$3,Touchpoints!$A:$C,3,FALSE)=0,"",VLOOKUP(ABK$3,Touchpoints!$A:$C,3,FALSE)))),"")</f>
        <v/>
      </c>
      <c r="ABL1" s="2" t="str">
        <f>IFERROR(IF(ABL$3 = 1, Touchpoints!$C$2,IF(VLOOKUP(ABL$3,Touchpoints!$A:$C,3,FALSE)=VLOOKUP(ABK$3,Touchpoints!$A:$C,3,FALSE),"",IF(VLOOKUP(ABL$3,Touchpoints!$A:$C,3,FALSE)=0,"",VLOOKUP(ABL$3,Touchpoints!$A:$C,3,FALSE)))),"")</f>
        <v/>
      </c>
      <c r="ABM1" s="2" t="str">
        <f>IFERROR(IF(ABM$3 = 1, Touchpoints!$C$2,IF(VLOOKUP(ABM$3,Touchpoints!$A:$C,3,FALSE)=VLOOKUP(ABL$3,Touchpoints!$A:$C,3,FALSE),"",IF(VLOOKUP(ABM$3,Touchpoints!$A:$C,3,FALSE)=0,"",VLOOKUP(ABM$3,Touchpoints!$A:$C,3,FALSE)))),"")</f>
        <v/>
      </c>
      <c r="ABN1" s="2" t="str">
        <f>IFERROR(IF(ABN$3 = 1, Touchpoints!$C$2,IF(VLOOKUP(ABN$3,Touchpoints!$A:$C,3,FALSE)=VLOOKUP(ABM$3,Touchpoints!$A:$C,3,FALSE),"",IF(VLOOKUP(ABN$3,Touchpoints!$A:$C,3,FALSE)=0,"",VLOOKUP(ABN$3,Touchpoints!$A:$C,3,FALSE)))),"")</f>
        <v/>
      </c>
      <c r="ABO1" s="2" t="str">
        <f>IFERROR(IF(ABO$3 = 1, Touchpoints!$C$2,IF(VLOOKUP(ABO$3,Touchpoints!$A:$C,3,FALSE)=VLOOKUP(ABN$3,Touchpoints!$A:$C,3,FALSE),"",IF(VLOOKUP(ABO$3,Touchpoints!$A:$C,3,FALSE)=0,"",VLOOKUP(ABO$3,Touchpoints!$A:$C,3,FALSE)))),"")</f>
        <v/>
      </c>
      <c r="ABP1" s="2" t="str">
        <f>IFERROR(IF(ABP$3 = 1, Touchpoints!$C$2,IF(VLOOKUP(ABP$3,Touchpoints!$A:$C,3,FALSE)=VLOOKUP(ABO$3,Touchpoints!$A:$C,3,FALSE),"",IF(VLOOKUP(ABP$3,Touchpoints!$A:$C,3,FALSE)=0,"",VLOOKUP(ABP$3,Touchpoints!$A:$C,3,FALSE)))),"")</f>
        <v/>
      </c>
      <c r="ABQ1" s="2" t="str">
        <f>IFERROR(IF(ABQ$3 = 1, Touchpoints!$C$2,IF(VLOOKUP(ABQ$3,Touchpoints!$A:$C,3,FALSE)=VLOOKUP(ABP$3,Touchpoints!$A:$C,3,FALSE),"",IF(VLOOKUP(ABQ$3,Touchpoints!$A:$C,3,FALSE)=0,"",VLOOKUP(ABQ$3,Touchpoints!$A:$C,3,FALSE)))),"")</f>
        <v/>
      </c>
      <c r="ABR1" s="2" t="str">
        <f>IFERROR(IF(ABR$3 = 1, Touchpoints!$C$2,IF(VLOOKUP(ABR$3,Touchpoints!$A:$C,3,FALSE)=VLOOKUP(ABQ$3,Touchpoints!$A:$C,3,FALSE),"",IF(VLOOKUP(ABR$3,Touchpoints!$A:$C,3,FALSE)=0,"",VLOOKUP(ABR$3,Touchpoints!$A:$C,3,FALSE)))),"")</f>
        <v/>
      </c>
      <c r="ABS1" s="2" t="str">
        <f>IFERROR(IF(ABS$3 = 1, Touchpoints!$C$2,IF(VLOOKUP(ABS$3,Touchpoints!$A:$C,3,FALSE)=VLOOKUP(ABR$3,Touchpoints!$A:$C,3,FALSE),"",IF(VLOOKUP(ABS$3,Touchpoints!$A:$C,3,FALSE)=0,"",VLOOKUP(ABS$3,Touchpoints!$A:$C,3,FALSE)))),"")</f>
        <v/>
      </c>
      <c r="ABT1" s="2" t="str">
        <f>IFERROR(IF(ABT$3 = 1, Touchpoints!$C$2,IF(VLOOKUP(ABT$3,Touchpoints!$A:$C,3,FALSE)=VLOOKUP(ABS$3,Touchpoints!$A:$C,3,FALSE),"",IF(VLOOKUP(ABT$3,Touchpoints!$A:$C,3,FALSE)=0,"",VLOOKUP(ABT$3,Touchpoints!$A:$C,3,FALSE)))),"")</f>
        <v/>
      </c>
      <c r="ABU1" s="2" t="str">
        <f>IFERROR(IF(ABU$3 = 1, Touchpoints!$C$2,IF(VLOOKUP(ABU$3,Touchpoints!$A:$C,3,FALSE)=VLOOKUP(ABT$3,Touchpoints!$A:$C,3,FALSE),"",IF(VLOOKUP(ABU$3,Touchpoints!$A:$C,3,FALSE)=0,"",VLOOKUP(ABU$3,Touchpoints!$A:$C,3,FALSE)))),"")</f>
        <v/>
      </c>
      <c r="ABV1" s="2" t="str">
        <f>IFERROR(IF(ABV$3 = 1, Touchpoints!$C$2,IF(VLOOKUP(ABV$3,Touchpoints!$A:$C,3,FALSE)=VLOOKUP(ABU$3,Touchpoints!$A:$C,3,FALSE),"",IF(VLOOKUP(ABV$3,Touchpoints!$A:$C,3,FALSE)=0,"",VLOOKUP(ABV$3,Touchpoints!$A:$C,3,FALSE)))),"")</f>
        <v/>
      </c>
      <c r="ABW1" s="2" t="str">
        <f>IFERROR(IF(ABW$3 = 1, Touchpoints!$C$2,IF(VLOOKUP(ABW$3,Touchpoints!$A:$C,3,FALSE)=VLOOKUP(ABV$3,Touchpoints!$A:$C,3,FALSE),"",IF(VLOOKUP(ABW$3,Touchpoints!$A:$C,3,FALSE)=0,"",VLOOKUP(ABW$3,Touchpoints!$A:$C,3,FALSE)))),"")</f>
        <v/>
      </c>
      <c r="ABX1" s="2" t="str">
        <f>IFERROR(IF(ABX$3 = 1, Touchpoints!$C$2,IF(VLOOKUP(ABX$3,Touchpoints!$A:$C,3,FALSE)=VLOOKUP(ABW$3,Touchpoints!$A:$C,3,FALSE),"",IF(VLOOKUP(ABX$3,Touchpoints!$A:$C,3,FALSE)=0,"",VLOOKUP(ABX$3,Touchpoints!$A:$C,3,FALSE)))),"")</f>
        <v/>
      </c>
      <c r="ABY1" s="2" t="str">
        <f>IFERROR(IF(ABY$3 = 1, Touchpoints!$C$2,IF(VLOOKUP(ABY$3,Touchpoints!$A:$C,3,FALSE)=VLOOKUP(ABX$3,Touchpoints!$A:$C,3,FALSE),"",IF(VLOOKUP(ABY$3,Touchpoints!$A:$C,3,FALSE)=0,"",VLOOKUP(ABY$3,Touchpoints!$A:$C,3,FALSE)))),"")</f>
        <v/>
      </c>
      <c r="ABZ1" s="2" t="str">
        <f>IFERROR(IF(ABZ$3 = 1, Touchpoints!$C$2,IF(VLOOKUP(ABZ$3,Touchpoints!$A:$C,3,FALSE)=VLOOKUP(ABY$3,Touchpoints!$A:$C,3,FALSE),"",IF(VLOOKUP(ABZ$3,Touchpoints!$A:$C,3,FALSE)=0,"",VLOOKUP(ABZ$3,Touchpoints!$A:$C,3,FALSE)))),"")</f>
        <v/>
      </c>
      <c r="ACA1" s="2" t="str">
        <f>IFERROR(IF(ACA$3 = 1, Touchpoints!$C$2,IF(VLOOKUP(ACA$3,Touchpoints!$A:$C,3,FALSE)=VLOOKUP(ABZ$3,Touchpoints!$A:$C,3,FALSE),"",IF(VLOOKUP(ACA$3,Touchpoints!$A:$C,3,FALSE)=0,"",VLOOKUP(ACA$3,Touchpoints!$A:$C,3,FALSE)))),"")</f>
        <v/>
      </c>
      <c r="ACB1" s="2" t="str">
        <f>IFERROR(IF(ACB$3 = 1, Touchpoints!$C$2,IF(VLOOKUP(ACB$3,Touchpoints!$A:$C,3,FALSE)=VLOOKUP(ACA$3,Touchpoints!$A:$C,3,FALSE),"",IF(VLOOKUP(ACB$3,Touchpoints!$A:$C,3,FALSE)=0,"",VLOOKUP(ACB$3,Touchpoints!$A:$C,3,FALSE)))),"")</f>
        <v/>
      </c>
      <c r="ACC1" s="2" t="str">
        <f>IFERROR(IF(ACC$3 = 1, Touchpoints!$C$2,IF(VLOOKUP(ACC$3,Touchpoints!$A:$C,3,FALSE)=VLOOKUP(ACB$3,Touchpoints!$A:$C,3,FALSE),"",IF(VLOOKUP(ACC$3,Touchpoints!$A:$C,3,FALSE)=0,"",VLOOKUP(ACC$3,Touchpoints!$A:$C,3,FALSE)))),"")</f>
        <v/>
      </c>
      <c r="ACD1" s="2" t="str">
        <f>IFERROR(IF(ACD$3 = 1, Touchpoints!$C$2,IF(VLOOKUP(ACD$3,Touchpoints!$A:$C,3,FALSE)=VLOOKUP(ACC$3,Touchpoints!$A:$C,3,FALSE),"",IF(VLOOKUP(ACD$3,Touchpoints!$A:$C,3,FALSE)=0,"",VLOOKUP(ACD$3,Touchpoints!$A:$C,3,FALSE)))),"")</f>
        <v/>
      </c>
      <c r="ACE1" s="2" t="str">
        <f>IFERROR(IF(ACE$3 = 1, Touchpoints!$C$2,IF(VLOOKUP(ACE$3,Touchpoints!$A:$C,3,FALSE)=VLOOKUP(ACD$3,Touchpoints!$A:$C,3,FALSE),"",IF(VLOOKUP(ACE$3,Touchpoints!$A:$C,3,FALSE)=0,"",VLOOKUP(ACE$3,Touchpoints!$A:$C,3,FALSE)))),"")</f>
        <v/>
      </c>
      <c r="ACF1" s="2" t="str">
        <f>IFERROR(IF(ACF$3 = 1, Touchpoints!$C$2,IF(VLOOKUP(ACF$3,Touchpoints!$A:$C,3,FALSE)=VLOOKUP(ACE$3,Touchpoints!$A:$C,3,FALSE),"",IF(VLOOKUP(ACF$3,Touchpoints!$A:$C,3,FALSE)=0,"",VLOOKUP(ACF$3,Touchpoints!$A:$C,3,FALSE)))),"")</f>
        <v/>
      </c>
      <c r="ACG1" s="2" t="str">
        <f>IFERROR(IF(ACG$3 = 1, Touchpoints!$C$2,IF(VLOOKUP(ACG$3,Touchpoints!$A:$C,3,FALSE)=VLOOKUP(ACF$3,Touchpoints!$A:$C,3,FALSE),"",IF(VLOOKUP(ACG$3,Touchpoints!$A:$C,3,FALSE)=0,"",VLOOKUP(ACG$3,Touchpoints!$A:$C,3,FALSE)))),"")</f>
        <v/>
      </c>
      <c r="ACH1" s="2" t="str">
        <f>IFERROR(IF(ACH$3 = 1, Touchpoints!$C$2,IF(VLOOKUP(ACH$3,Touchpoints!$A:$C,3,FALSE)=VLOOKUP(ACG$3,Touchpoints!$A:$C,3,FALSE),"",IF(VLOOKUP(ACH$3,Touchpoints!$A:$C,3,FALSE)=0,"",VLOOKUP(ACH$3,Touchpoints!$A:$C,3,FALSE)))),"")</f>
        <v/>
      </c>
      <c r="ACI1" s="2" t="str">
        <f>IFERROR(IF(ACI$3 = 1, Touchpoints!$C$2,IF(VLOOKUP(ACI$3,Touchpoints!$A:$C,3,FALSE)=VLOOKUP(ACH$3,Touchpoints!$A:$C,3,FALSE),"",IF(VLOOKUP(ACI$3,Touchpoints!$A:$C,3,FALSE)=0,"",VLOOKUP(ACI$3,Touchpoints!$A:$C,3,FALSE)))),"")</f>
        <v/>
      </c>
      <c r="ACJ1" s="2" t="str">
        <f>IFERROR(IF(ACJ$3 = 1, Touchpoints!$C$2,IF(VLOOKUP(ACJ$3,Touchpoints!$A:$C,3,FALSE)=VLOOKUP(ACI$3,Touchpoints!$A:$C,3,FALSE),"",IF(VLOOKUP(ACJ$3,Touchpoints!$A:$C,3,FALSE)=0,"",VLOOKUP(ACJ$3,Touchpoints!$A:$C,3,FALSE)))),"")</f>
        <v/>
      </c>
      <c r="ACK1" s="2" t="str">
        <f>IFERROR(IF(ACK$3 = 1, Touchpoints!$C$2,IF(VLOOKUP(ACK$3,Touchpoints!$A:$C,3,FALSE)=VLOOKUP(ACJ$3,Touchpoints!$A:$C,3,FALSE),"",IF(VLOOKUP(ACK$3,Touchpoints!$A:$C,3,FALSE)=0,"",VLOOKUP(ACK$3,Touchpoints!$A:$C,3,FALSE)))),"")</f>
        <v/>
      </c>
      <c r="ACL1" s="2" t="str">
        <f>IFERROR(IF(ACL$3 = 1, Touchpoints!$C$2,IF(VLOOKUP(ACL$3,Touchpoints!$A:$C,3,FALSE)=VLOOKUP(ACK$3,Touchpoints!$A:$C,3,FALSE),"",IF(VLOOKUP(ACL$3,Touchpoints!$A:$C,3,FALSE)=0,"",VLOOKUP(ACL$3,Touchpoints!$A:$C,3,FALSE)))),"")</f>
        <v/>
      </c>
      <c r="ACM1" s="2" t="str">
        <f>IFERROR(IF(ACM$3 = 1, Touchpoints!$C$2,IF(VLOOKUP(ACM$3,Touchpoints!$A:$C,3,FALSE)=VLOOKUP(ACL$3,Touchpoints!$A:$C,3,FALSE),"",IF(VLOOKUP(ACM$3,Touchpoints!$A:$C,3,FALSE)=0,"",VLOOKUP(ACM$3,Touchpoints!$A:$C,3,FALSE)))),"")</f>
        <v/>
      </c>
      <c r="ACN1" s="2" t="str">
        <f>IFERROR(IF(ACN$3 = 1, Touchpoints!$C$2,IF(VLOOKUP(ACN$3,Touchpoints!$A:$C,3,FALSE)=VLOOKUP(ACM$3,Touchpoints!$A:$C,3,FALSE),"",IF(VLOOKUP(ACN$3,Touchpoints!$A:$C,3,FALSE)=0,"",VLOOKUP(ACN$3,Touchpoints!$A:$C,3,FALSE)))),"")</f>
        <v/>
      </c>
      <c r="ACO1" s="2" t="str">
        <f>IFERROR(IF(ACO$3 = 1, Touchpoints!$C$2,IF(VLOOKUP(ACO$3,Touchpoints!$A:$C,3,FALSE)=VLOOKUP(ACN$3,Touchpoints!$A:$C,3,FALSE),"",IF(VLOOKUP(ACO$3,Touchpoints!$A:$C,3,FALSE)=0,"",VLOOKUP(ACO$3,Touchpoints!$A:$C,3,FALSE)))),"")</f>
        <v/>
      </c>
      <c r="ACP1" s="2" t="str">
        <f>IFERROR(IF(ACP$3 = 1, Touchpoints!$C$2,IF(VLOOKUP(ACP$3,Touchpoints!$A:$C,3,FALSE)=VLOOKUP(ACO$3,Touchpoints!$A:$C,3,FALSE),"",IF(VLOOKUP(ACP$3,Touchpoints!$A:$C,3,FALSE)=0,"",VLOOKUP(ACP$3,Touchpoints!$A:$C,3,FALSE)))),"")</f>
        <v/>
      </c>
      <c r="ACQ1" s="2" t="str">
        <f>IFERROR(IF(ACQ$3 = 1, Touchpoints!$C$2,IF(VLOOKUP(ACQ$3,Touchpoints!$A:$C,3,FALSE)=VLOOKUP(ACP$3,Touchpoints!$A:$C,3,FALSE),"",IF(VLOOKUP(ACQ$3,Touchpoints!$A:$C,3,FALSE)=0,"",VLOOKUP(ACQ$3,Touchpoints!$A:$C,3,FALSE)))),"")</f>
        <v/>
      </c>
      <c r="ACR1" s="2" t="str">
        <f>IFERROR(IF(ACR$3 = 1, Touchpoints!$C$2,IF(VLOOKUP(ACR$3,Touchpoints!$A:$C,3,FALSE)=VLOOKUP(ACQ$3,Touchpoints!$A:$C,3,FALSE),"",IF(VLOOKUP(ACR$3,Touchpoints!$A:$C,3,FALSE)=0,"",VLOOKUP(ACR$3,Touchpoints!$A:$C,3,FALSE)))),"")</f>
        <v/>
      </c>
      <c r="ACS1" s="2" t="str">
        <f>IFERROR(IF(ACS$3 = 1, Touchpoints!$C$2,IF(VLOOKUP(ACS$3,Touchpoints!$A:$C,3,FALSE)=VLOOKUP(ACR$3,Touchpoints!$A:$C,3,FALSE),"",IF(VLOOKUP(ACS$3,Touchpoints!$A:$C,3,FALSE)=0,"",VLOOKUP(ACS$3,Touchpoints!$A:$C,3,FALSE)))),"")</f>
        <v/>
      </c>
      <c r="ACT1" s="2" t="str">
        <f>IFERROR(IF(ACT$3 = 1, Touchpoints!$C$2,IF(VLOOKUP(ACT$3,Touchpoints!$A:$C,3,FALSE)=VLOOKUP(ACS$3,Touchpoints!$A:$C,3,FALSE),"",IF(VLOOKUP(ACT$3,Touchpoints!$A:$C,3,FALSE)=0,"",VLOOKUP(ACT$3,Touchpoints!$A:$C,3,FALSE)))),"")</f>
        <v/>
      </c>
      <c r="ACU1" s="2" t="str">
        <f>IFERROR(IF(ACU$3 = 1, Touchpoints!$C$2,IF(VLOOKUP(ACU$3,Touchpoints!$A:$C,3,FALSE)=VLOOKUP(ACT$3,Touchpoints!$A:$C,3,FALSE),"",IF(VLOOKUP(ACU$3,Touchpoints!$A:$C,3,FALSE)=0,"",VLOOKUP(ACU$3,Touchpoints!$A:$C,3,FALSE)))),"")</f>
        <v/>
      </c>
      <c r="ACV1" s="2" t="str">
        <f>IFERROR(IF(ACV$3 = 1, Touchpoints!$C$2,IF(VLOOKUP(ACV$3,Touchpoints!$A:$C,3,FALSE)=VLOOKUP(ACU$3,Touchpoints!$A:$C,3,FALSE),"",IF(VLOOKUP(ACV$3,Touchpoints!$A:$C,3,FALSE)=0,"",VLOOKUP(ACV$3,Touchpoints!$A:$C,3,FALSE)))),"")</f>
        <v/>
      </c>
      <c r="ACW1" s="2" t="str">
        <f>IFERROR(IF(ACW$3 = 1, Touchpoints!$C$2,IF(VLOOKUP(ACW$3,Touchpoints!$A:$C,3,FALSE)=VLOOKUP(ACV$3,Touchpoints!$A:$C,3,FALSE),"",IF(VLOOKUP(ACW$3,Touchpoints!$A:$C,3,FALSE)=0,"",VLOOKUP(ACW$3,Touchpoints!$A:$C,3,FALSE)))),"")</f>
        <v/>
      </c>
      <c r="ACX1" s="2" t="str">
        <f>IFERROR(IF(ACX$3 = 1, Touchpoints!$C$2,IF(VLOOKUP(ACX$3,Touchpoints!$A:$C,3,FALSE)=VLOOKUP(ACW$3,Touchpoints!$A:$C,3,FALSE),"",IF(VLOOKUP(ACX$3,Touchpoints!$A:$C,3,FALSE)=0,"",VLOOKUP(ACX$3,Touchpoints!$A:$C,3,FALSE)))),"")</f>
        <v/>
      </c>
      <c r="ACY1" s="2" t="str">
        <f>IFERROR(IF(ACY$3 = 1, Touchpoints!$C$2,IF(VLOOKUP(ACY$3,Touchpoints!$A:$C,3,FALSE)=VLOOKUP(ACX$3,Touchpoints!$A:$C,3,FALSE),"",IF(VLOOKUP(ACY$3,Touchpoints!$A:$C,3,FALSE)=0,"",VLOOKUP(ACY$3,Touchpoints!$A:$C,3,FALSE)))),"")</f>
        <v/>
      </c>
      <c r="ACZ1" s="2" t="str">
        <f>IFERROR(IF(ACZ$3 = 1, Touchpoints!$C$2,IF(VLOOKUP(ACZ$3,Touchpoints!$A:$C,3,FALSE)=VLOOKUP(ACY$3,Touchpoints!$A:$C,3,FALSE),"",IF(VLOOKUP(ACZ$3,Touchpoints!$A:$C,3,FALSE)=0,"",VLOOKUP(ACZ$3,Touchpoints!$A:$C,3,FALSE)))),"")</f>
        <v/>
      </c>
      <c r="ADA1" s="2" t="str">
        <f>IFERROR(IF(ADA$3 = 1, Touchpoints!$C$2,IF(VLOOKUP(ADA$3,Touchpoints!$A:$C,3,FALSE)=VLOOKUP(ACZ$3,Touchpoints!$A:$C,3,FALSE),"",IF(VLOOKUP(ADA$3,Touchpoints!$A:$C,3,FALSE)=0,"",VLOOKUP(ADA$3,Touchpoints!$A:$C,3,FALSE)))),"")</f>
        <v/>
      </c>
      <c r="ADB1" s="2" t="str">
        <f>IFERROR(IF(ADB$3 = 1, Touchpoints!$C$2,IF(VLOOKUP(ADB$3,Touchpoints!$A:$C,3,FALSE)=VLOOKUP(ADA$3,Touchpoints!$A:$C,3,FALSE),"",IF(VLOOKUP(ADB$3,Touchpoints!$A:$C,3,FALSE)=0,"",VLOOKUP(ADB$3,Touchpoints!$A:$C,3,FALSE)))),"")</f>
        <v/>
      </c>
      <c r="ADC1" s="2" t="str">
        <f>IFERROR(IF(ADC$3 = 1, Touchpoints!$C$2,IF(VLOOKUP(ADC$3,Touchpoints!$A:$C,3,FALSE)=VLOOKUP(ADB$3,Touchpoints!$A:$C,3,FALSE),"",IF(VLOOKUP(ADC$3,Touchpoints!$A:$C,3,FALSE)=0,"",VLOOKUP(ADC$3,Touchpoints!$A:$C,3,FALSE)))),"")</f>
        <v/>
      </c>
      <c r="ADD1" s="2" t="str">
        <f>IFERROR(IF(ADD$3 = 1, Touchpoints!$C$2,IF(VLOOKUP(ADD$3,Touchpoints!$A:$C,3,FALSE)=VLOOKUP(ADC$3,Touchpoints!$A:$C,3,FALSE),"",IF(VLOOKUP(ADD$3,Touchpoints!$A:$C,3,FALSE)=0,"",VLOOKUP(ADD$3,Touchpoints!$A:$C,3,FALSE)))),"")</f>
        <v/>
      </c>
      <c r="ADE1" s="2" t="str">
        <f>IFERROR(IF(ADE$3 = 1, Touchpoints!$C$2,IF(VLOOKUP(ADE$3,Touchpoints!$A:$C,3,FALSE)=VLOOKUP(ADD$3,Touchpoints!$A:$C,3,FALSE),"",IF(VLOOKUP(ADE$3,Touchpoints!$A:$C,3,FALSE)=0,"",VLOOKUP(ADE$3,Touchpoints!$A:$C,3,FALSE)))),"")</f>
        <v/>
      </c>
      <c r="ADF1" s="2" t="str">
        <f>IFERROR(IF(ADF$3 = 1, Touchpoints!$C$2,IF(VLOOKUP(ADF$3,Touchpoints!$A:$C,3,FALSE)=VLOOKUP(ADE$3,Touchpoints!$A:$C,3,FALSE),"",IF(VLOOKUP(ADF$3,Touchpoints!$A:$C,3,FALSE)=0,"",VLOOKUP(ADF$3,Touchpoints!$A:$C,3,FALSE)))),"")</f>
        <v/>
      </c>
      <c r="ADG1" s="2" t="str">
        <f>IFERROR(IF(ADG$3 = 1, Touchpoints!$C$2,IF(VLOOKUP(ADG$3,Touchpoints!$A:$C,3,FALSE)=VLOOKUP(ADF$3,Touchpoints!$A:$C,3,FALSE),"",IF(VLOOKUP(ADG$3,Touchpoints!$A:$C,3,FALSE)=0,"",VLOOKUP(ADG$3,Touchpoints!$A:$C,3,FALSE)))),"")</f>
        <v/>
      </c>
      <c r="ADH1" s="2" t="str">
        <f>IFERROR(IF(ADH$3 = 1, Touchpoints!$C$2,IF(VLOOKUP(ADH$3,Touchpoints!$A:$C,3,FALSE)=VLOOKUP(ADG$3,Touchpoints!$A:$C,3,FALSE),"",IF(VLOOKUP(ADH$3,Touchpoints!$A:$C,3,FALSE)=0,"",VLOOKUP(ADH$3,Touchpoints!$A:$C,3,FALSE)))),"")</f>
        <v/>
      </c>
      <c r="ADI1" s="2" t="str">
        <f>IFERROR(IF(ADI$3 = 1, Touchpoints!$C$2,IF(VLOOKUP(ADI$3,Touchpoints!$A:$C,3,FALSE)=VLOOKUP(ADH$3,Touchpoints!$A:$C,3,FALSE),"",IF(VLOOKUP(ADI$3,Touchpoints!$A:$C,3,FALSE)=0,"",VLOOKUP(ADI$3,Touchpoints!$A:$C,3,FALSE)))),"")</f>
        <v/>
      </c>
      <c r="ADJ1" s="2" t="str">
        <f>IFERROR(IF(ADJ$3 = 1, Touchpoints!$C$2,IF(VLOOKUP(ADJ$3,Touchpoints!$A:$C,3,FALSE)=VLOOKUP(ADI$3,Touchpoints!$A:$C,3,FALSE),"",IF(VLOOKUP(ADJ$3,Touchpoints!$A:$C,3,FALSE)=0,"",VLOOKUP(ADJ$3,Touchpoints!$A:$C,3,FALSE)))),"")</f>
        <v/>
      </c>
      <c r="ADK1" s="2" t="str">
        <f>IFERROR(IF(ADK$3 = 1, Touchpoints!$C$2,IF(VLOOKUP(ADK$3,Touchpoints!$A:$C,3,FALSE)=VLOOKUP(ADJ$3,Touchpoints!$A:$C,3,FALSE),"",IF(VLOOKUP(ADK$3,Touchpoints!$A:$C,3,FALSE)=0,"",VLOOKUP(ADK$3,Touchpoints!$A:$C,3,FALSE)))),"")</f>
        <v/>
      </c>
      <c r="ADL1" s="2" t="str">
        <f>IFERROR(IF(ADL$3 = 1, Touchpoints!$C$2,IF(VLOOKUP(ADL$3,Touchpoints!$A:$C,3,FALSE)=VLOOKUP(ADK$3,Touchpoints!$A:$C,3,FALSE),"",IF(VLOOKUP(ADL$3,Touchpoints!$A:$C,3,FALSE)=0,"",VLOOKUP(ADL$3,Touchpoints!$A:$C,3,FALSE)))),"")</f>
        <v/>
      </c>
      <c r="ADM1" s="2" t="str">
        <f>IFERROR(IF(ADM$3 = 1, Touchpoints!$C$2,IF(VLOOKUP(ADM$3,Touchpoints!$A:$C,3,FALSE)=VLOOKUP(ADL$3,Touchpoints!$A:$C,3,FALSE),"",IF(VLOOKUP(ADM$3,Touchpoints!$A:$C,3,FALSE)=0,"",VLOOKUP(ADM$3,Touchpoints!$A:$C,3,FALSE)))),"")</f>
        <v/>
      </c>
      <c r="ADN1" s="2" t="str">
        <f>IFERROR(IF(ADN$3 = 1, Touchpoints!$C$2,IF(VLOOKUP(ADN$3,Touchpoints!$A:$C,3,FALSE)=VLOOKUP(ADM$3,Touchpoints!$A:$C,3,FALSE),"",IF(VLOOKUP(ADN$3,Touchpoints!$A:$C,3,FALSE)=0,"",VLOOKUP(ADN$3,Touchpoints!$A:$C,3,FALSE)))),"")</f>
        <v/>
      </c>
      <c r="ADO1" s="2" t="str">
        <f>IFERROR(IF(ADO$3 = 1, Touchpoints!$C$2,IF(VLOOKUP(ADO$3,Touchpoints!$A:$C,3,FALSE)=VLOOKUP(ADN$3,Touchpoints!$A:$C,3,FALSE),"",IF(VLOOKUP(ADO$3,Touchpoints!$A:$C,3,FALSE)=0,"",VLOOKUP(ADO$3,Touchpoints!$A:$C,3,FALSE)))),"")</f>
        <v/>
      </c>
      <c r="ADP1" s="2" t="str">
        <f>IFERROR(IF(ADP$3 = 1, Touchpoints!$C$2,IF(VLOOKUP(ADP$3,Touchpoints!$A:$C,3,FALSE)=VLOOKUP(ADO$3,Touchpoints!$A:$C,3,FALSE),"",IF(VLOOKUP(ADP$3,Touchpoints!$A:$C,3,FALSE)=0,"",VLOOKUP(ADP$3,Touchpoints!$A:$C,3,FALSE)))),"")</f>
        <v/>
      </c>
      <c r="ADQ1" s="2" t="str">
        <f>IFERROR(IF(ADQ$3 = 1, Touchpoints!$C$2,IF(VLOOKUP(ADQ$3,Touchpoints!$A:$C,3,FALSE)=VLOOKUP(ADP$3,Touchpoints!$A:$C,3,FALSE),"",IF(VLOOKUP(ADQ$3,Touchpoints!$A:$C,3,FALSE)=0,"",VLOOKUP(ADQ$3,Touchpoints!$A:$C,3,FALSE)))),"")</f>
        <v/>
      </c>
      <c r="ADR1" s="2" t="str">
        <f>IFERROR(IF(ADR$3 = 1, Touchpoints!$C$2,IF(VLOOKUP(ADR$3,Touchpoints!$A:$C,3,FALSE)=VLOOKUP(ADQ$3,Touchpoints!$A:$C,3,FALSE),"",IF(VLOOKUP(ADR$3,Touchpoints!$A:$C,3,FALSE)=0,"",VLOOKUP(ADR$3,Touchpoints!$A:$C,3,FALSE)))),"")</f>
        <v/>
      </c>
      <c r="ADS1" s="2" t="str">
        <f>IFERROR(IF(ADS$3 = 1, Touchpoints!$C$2,IF(VLOOKUP(ADS$3,Touchpoints!$A:$C,3,FALSE)=VLOOKUP(ADR$3,Touchpoints!$A:$C,3,FALSE),"",IF(VLOOKUP(ADS$3,Touchpoints!$A:$C,3,FALSE)=0,"",VLOOKUP(ADS$3,Touchpoints!$A:$C,3,FALSE)))),"")</f>
        <v/>
      </c>
      <c r="ADT1" s="2" t="str">
        <f>IFERROR(IF(ADT$3 = 1, Touchpoints!$C$2,IF(VLOOKUP(ADT$3,Touchpoints!$A:$C,3,FALSE)=VLOOKUP(ADS$3,Touchpoints!$A:$C,3,FALSE),"",IF(VLOOKUP(ADT$3,Touchpoints!$A:$C,3,FALSE)=0,"",VLOOKUP(ADT$3,Touchpoints!$A:$C,3,FALSE)))),"")</f>
        <v/>
      </c>
      <c r="ADU1" s="2" t="str">
        <f>IFERROR(IF(ADU$3 = 1, Touchpoints!$C$2,IF(VLOOKUP(ADU$3,Touchpoints!$A:$C,3,FALSE)=VLOOKUP(ADT$3,Touchpoints!$A:$C,3,FALSE),"",IF(VLOOKUP(ADU$3,Touchpoints!$A:$C,3,FALSE)=0,"",VLOOKUP(ADU$3,Touchpoints!$A:$C,3,FALSE)))),"")</f>
        <v/>
      </c>
      <c r="ADV1" s="2" t="str">
        <f>IFERROR(IF(ADV$3 = 1, Touchpoints!$C$2,IF(VLOOKUP(ADV$3,Touchpoints!$A:$C,3,FALSE)=VLOOKUP(ADU$3,Touchpoints!$A:$C,3,FALSE),"",IF(VLOOKUP(ADV$3,Touchpoints!$A:$C,3,FALSE)=0,"",VLOOKUP(ADV$3,Touchpoints!$A:$C,3,FALSE)))),"")</f>
        <v/>
      </c>
      <c r="ADW1" s="2" t="str">
        <f>IFERROR(IF(ADW$3 = 1, Touchpoints!$C$2,IF(VLOOKUP(ADW$3,Touchpoints!$A:$C,3,FALSE)=VLOOKUP(ADV$3,Touchpoints!$A:$C,3,FALSE),"",IF(VLOOKUP(ADW$3,Touchpoints!$A:$C,3,FALSE)=0,"",VLOOKUP(ADW$3,Touchpoints!$A:$C,3,FALSE)))),"")</f>
        <v/>
      </c>
      <c r="ADX1" s="2" t="str">
        <f>IFERROR(IF(ADX$3 = 1, Touchpoints!$C$2,IF(VLOOKUP(ADX$3,Touchpoints!$A:$C,3,FALSE)=VLOOKUP(ADW$3,Touchpoints!$A:$C,3,FALSE),"",IF(VLOOKUP(ADX$3,Touchpoints!$A:$C,3,FALSE)=0,"",VLOOKUP(ADX$3,Touchpoints!$A:$C,3,FALSE)))),"")</f>
        <v/>
      </c>
      <c r="ADY1" s="2" t="str">
        <f>IFERROR(IF(ADY$3 = 1, Touchpoints!$C$2,IF(VLOOKUP(ADY$3,Touchpoints!$A:$C,3,FALSE)=VLOOKUP(ADX$3,Touchpoints!$A:$C,3,FALSE),"",IF(VLOOKUP(ADY$3,Touchpoints!$A:$C,3,FALSE)=0,"",VLOOKUP(ADY$3,Touchpoints!$A:$C,3,FALSE)))),"")</f>
        <v/>
      </c>
      <c r="ADZ1" s="2" t="str">
        <f>IFERROR(IF(ADZ$3 = 1, Touchpoints!$C$2,IF(VLOOKUP(ADZ$3,Touchpoints!$A:$C,3,FALSE)=VLOOKUP(ADY$3,Touchpoints!$A:$C,3,FALSE),"",IF(VLOOKUP(ADZ$3,Touchpoints!$A:$C,3,FALSE)=0,"",VLOOKUP(ADZ$3,Touchpoints!$A:$C,3,FALSE)))),"")</f>
        <v/>
      </c>
      <c r="AEA1" s="2" t="str">
        <f>IFERROR(IF(AEA$3 = 1, Touchpoints!$C$2,IF(VLOOKUP(AEA$3,Touchpoints!$A:$C,3,FALSE)=VLOOKUP(ADZ$3,Touchpoints!$A:$C,3,FALSE),"",IF(VLOOKUP(AEA$3,Touchpoints!$A:$C,3,FALSE)=0,"",VLOOKUP(AEA$3,Touchpoints!$A:$C,3,FALSE)))),"")</f>
        <v/>
      </c>
      <c r="AEB1" s="2" t="str">
        <f>IFERROR(IF(AEB$3 = 1, Touchpoints!$C$2,IF(VLOOKUP(AEB$3,Touchpoints!$A:$C,3,FALSE)=VLOOKUP(AEA$3,Touchpoints!$A:$C,3,FALSE),"",IF(VLOOKUP(AEB$3,Touchpoints!$A:$C,3,FALSE)=0,"",VLOOKUP(AEB$3,Touchpoints!$A:$C,3,FALSE)))),"")</f>
        <v/>
      </c>
      <c r="AEC1" s="2" t="str">
        <f>IFERROR(IF(AEC$3 = 1, Touchpoints!$C$2,IF(VLOOKUP(AEC$3,Touchpoints!$A:$C,3,FALSE)=VLOOKUP(AEB$3,Touchpoints!$A:$C,3,FALSE),"",IF(VLOOKUP(AEC$3,Touchpoints!$A:$C,3,FALSE)=0,"",VLOOKUP(AEC$3,Touchpoints!$A:$C,3,FALSE)))),"")</f>
        <v/>
      </c>
      <c r="AED1" s="2" t="str">
        <f>IFERROR(IF(AED$3 = 1, Touchpoints!$C$2,IF(VLOOKUP(AED$3,Touchpoints!$A:$C,3,FALSE)=VLOOKUP(AEC$3,Touchpoints!$A:$C,3,FALSE),"",IF(VLOOKUP(AED$3,Touchpoints!$A:$C,3,FALSE)=0,"",VLOOKUP(AED$3,Touchpoints!$A:$C,3,FALSE)))),"")</f>
        <v/>
      </c>
      <c r="AEE1" s="2" t="str">
        <f>IFERROR(IF(AEE$3 = 1, Touchpoints!$C$2,IF(VLOOKUP(AEE$3,Touchpoints!$A:$C,3,FALSE)=VLOOKUP(AED$3,Touchpoints!$A:$C,3,FALSE),"",IF(VLOOKUP(AEE$3,Touchpoints!$A:$C,3,FALSE)=0,"",VLOOKUP(AEE$3,Touchpoints!$A:$C,3,FALSE)))),"")</f>
        <v/>
      </c>
      <c r="AEF1" s="2" t="str">
        <f>IFERROR(IF(AEF$3 = 1, Touchpoints!$C$2,IF(VLOOKUP(AEF$3,Touchpoints!$A:$C,3,FALSE)=VLOOKUP(AEE$3,Touchpoints!$A:$C,3,FALSE),"",IF(VLOOKUP(AEF$3,Touchpoints!$A:$C,3,FALSE)=0,"",VLOOKUP(AEF$3,Touchpoints!$A:$C,3,FALSE)))),"")</f>
        <v/>
      </c>
      <c r="AEG1" s="2" t="str">
        <f>IFERROR(IF(AEG$3 = 1, Touchpoints!$C$2,IF(VLOOKUP(AEG$3,Touchpoints!$A:$C,3,FALSE)=VLOOKUP(AEF$3,Touchpoints!$A:$C,3,FALSE),"",IF(VLOOKUP(AEG$3,Touchpoints!$A:$C,3,FALSE)=0,"",VLOOKUP(AEG$3,Touchpoints!$A:$C,3,FALSE)))),"")</f>
        <v/>
      </c>
      <c r="AEH1" s="2" t="str">
        <f>IFERROR(IF(AEH$3 = 1, Touchpoints!$C$2,IF(VLOOKUP(AEH$3,Touchpoints!$A:$C,3,FALSE)=VLOOKUP(AEG$3,Touchpoints!$A:$C,3,FALSE),"",IF(VLOOKUP(AEH$3,Touchpoints!$A:$C,3,FALSE)=0,"",VLOOKUP(AEH$3,Touchpoints!$A:$C,3,FALSE)))),"")</f>
        <v/>
      </c>
      <c r="AEI1" s="2" t="str">
        <f>IFERROR(IF(AEI$3 = 1, Touchpoints!$C$2,IF(VLOOKUP(AEI$3,Touchpoints!$A:$C,3,FALSE)=VLOOKUP(AEH$3,Touchpoints!$A:$C,3,FALSE),"",IF(VLOOKUP(AEI$3,Touchpoints!$A:$C,3,FALSE)=0,"",VLOOKUP(AEI$3,Touchpoints!$A:$C,3,FALSE)))),"")</f>
        <v/>
      </c>
      <c r="AEJ1" s="2" t="str">
        <f>IFERROR(IF(AEJ$3 = 1, Touchpoints!$C$2,IF(VLOOKUP(AEJ$3,Touchpoints!$A:$C,3,FALSE)=VLOOKUP(AEI$3,Touchpoints!$A:$C,3,FALSE),"",IF(VLOOKUP(AEJ$3,Touchpoints!$A:$C,3,FALSE)=0,"",VLOOKUP(AEJ$3,Touchpoints!$A:$C,3,FALSE)))),"")</f>
        <v/>
      </c>
      <c r="AEK1" s="2" t="str">
        <f>IFERROR(IF(AEK$3 = 1, Touchpoints!$C$2,IF(VLOOKUP(AEK$3,Touchpoints!$A:$C,3,FALSE)=VLOOKUP(AEJ$3,Touchpoints!$A:$C,3,FALSE),"",IF(VLOOKUP(AEK$3,Touchpoints!$A:$C,3,FALSE)=0,"",VLOOKUP(AEK$3,Touchpoints!$A:$C,3,FALSE)))),"")</f>
        <v/>
      </c>
      <c r="AEL1" s="2" t="str">
        <f>IFERROR(IF(AEL$3 = 1, Touchpoints!$C$2,IF(VLOOKUP(AEL$3,Touchpoints!$A:$C,3,FALSE)=VLOOKUP(AEK$3,Touchpoints!$A:$C,3,FALSE),"",IF(VLOOKUP(AEL$3,Touchpoints!$A:$C,3,FALSE)=0,"",VLOOKUP(AEL$3,Touchpoints!$A:$C,3,FALSE)))),"")</f>
        <v/>
      </c>
      <c r="AEM1" s="2" t="str">
        <f>IFERROR(IF(AEM$3 = 1, Touchpoints!$C$2,IF(VLOOKUP(AEM$3,Touchpoints!$A:$C,3,FALSE)=VLOOKUP(AEL$3,Touchpoints!$A:$C,3,FALSE),"",IF(VLOOKUP(AEM$3,Touchpoints!$A:$C,3,FALSE)=0,"",VLOOKUP(AEM$3,Touchpoints!$A:$C,3,FALSE)))),"")</f>
        <v/>
      </c>
      <c r="AEN1" s="2" t="str">
        <f>IFERROR(IF(AEN$3 = 1, Touchpoints!$C$2,IF(VLOOKUP(AEN$3,Touchpoints!$A:$C,3,FALSE)=VLOOKUP(AEM$3,Touchpoints!$A:$C,3,FALSE),"",IF(VLOOKUP(AEN$3,Touchpoints!$A:$C,3,FALSE)=0,"",VLOOKUP(AEN$3,Touchpoints!$A:$C,3,FALSE)))),"")</f>
        <v/>
      </c>
      <c r="AEO1" s="2" t="str">
        <f>IFERROR(IF(AEO$3 = 1, Touchpoints!$C$2,IF(VLOOKUP(AEO$3,Touchpoints!$A:$C,3,FALSE)=VLOOKUP(AEN$3,Touchpoints!$A:$C,3,FALSE),"",IF(VLOOKUP(AEO$3,Touchpoints!$A:$C,3,FALSE)=0,"",VLOOKUP(AEO$3,Touchpoints!$A:$C,3,FALSE)))),"")</f>
        <v/>
      </c>
      <c r="AEP1" s="2" t="str">
        <f>IFERROR(IF(AEP$3 = 1, Touchpoints!$C$2,IF(VLOOKUP(AEP$3,Touchpoints!$A:$C,3,FALSE)=VLOOKUP(AEO$3,Touchpoints!$A:$C,3,FALSE),"",IF(VLOOKUP(AEP$3,Touchpoints!$A:$C,3,FALSE)=0,"",VLOOKUP(AEP$3,Touchpoints!$A:$C,3,FALSE)))),"")</f>
        <v/>
      </c>
      <c r="AEQ1" s="2" t="str">
        <f>IFERROR(IF(AEQ$3 = 1, Touchpoints!$C$2,IF(VLOOKUP(AEQ$3,Touchpoints!$A:$C,3,FALSE)=VLOOKUP(AEP$3,Touchpoints!$A:$C,3,FALSE),"",IF(VLOOKUP(AEQ$3,Touchpoints!$A:$C,3,FALSE)=0,"",VLOOKUP(AEQ$3,Touchpoints!$A:$C,3,FALSE)))),"")</f>
        <v/>
      </c>
      <c r="AER1" s="2" t="str">
        <f>IFERROR(IF(AER$3 = 1, Touchpoints!$C$2,IF(VLOOKUP(AER$3,Touchpoints!$A:$C,3,FALSE)=VLOOKUP(AEQ$3,Touchpoints!$A:$C,3,FALSE),"",IF(VLOOKUP(AER$3,Touchpoints!$A:$C,3,FALSE)=0,"",VLOOKUP(AER$3,Touchpoints!$A:$C,3,FALSE)))),"")</f>
        <v/>
      </c>
      <c r="AES1" s="2" t="str">
        <f>IFERROR(IF(AES$3 = 1, Touchpoints!$C$2,IF(VLOOKUP(AES$3,Touchpoints!$A:$C,3,FALSE)=VLOOKUP(AER$3,Touchpoints!$A:$C,3,FALSE),"",IF(VLOOKUP(AES$3,Touchpoints!$A:$C,3,FALSE)=0,"",VLOOKUP(AES$3,Touchpoints!$A:$C,3,FALSE)))),"")</f>
        <v/>
      </c>
      <c r="AET1" s="2" t="str">
        <f>IFERROR(IF(AET$3 = 1, Touchpoints!$C$2,IF(VLOOKUP(AET$3,Touchpoints!$A:$C,3,FALSE)=VLOOKUP(AES$3,Touchpoints!$A:$C,3,FALSE),"",IF(VLOOKUP(AET$3,Touchpoints!$A:$C,3,FALSE)=0,"",VLOOKUP(AET$3,Touchpoints!$A:$C,3,FALSE)))),"")</f>
        <v/>
      </c>
      <c r="AEU1" s="2" t="str">
        <f>IFERROR(IF(AEU$3 = 1, Touchpoints!$C$2,IF(VLOOKUP(AEU$3,Touchpoints!$A:$C,3,FALSE)=VLOOKUP(AET$3,Touchpoints!$A:$C,3,FALSE),"",IF(VLOOKUP(AEU$3,Touchpoints!$A:$C,3,FALSE)=0,"",VLOOKUP(AEU$3,Touchpoints!$A:$C,3,FALSE)))),"")</f>
        <v/>
      </c>
      <c r="AEV1" s="2" t="str">
        <f>IFERROR(IF(AEV$3 = 1, Touchpoints!$C$2,IF(VLOOKUP(AEV$3,Touchpoints!$A:$C,3,FALSE)=VLOOKUP(AEU$3,Touchpoints!$A:$C,3,FALSE),"",IF(VLOOKUP(AEV$3,Touchpoints!$A:$C,3,FALSE)=0,"",VLOOKUP(AEV$3,Touchpoints!$A:$C,3,FALSE)))),"")</f>
        <v/>
      </c>
      <c r="AEW1" s="2" t="str">
        <f>IFERROR(IF(AEW$3 = 1, Touchpoints!$C$2,IF(VLOOKUP(AEW$3,Touchpoints!$A:$C,3,FALSE)=VLOOKUP(AEV$3,Touchpoints!$A:$C,3,FALSE),"",IF(VLOOKUP(AEW$3,Touchpoints!$A:$C,3,FALSE)=0,"",VLOOKUP(AEW$3,Touchpoints!$A:$C,3,FALSE)))),"")</f>
        <v/>
      </c>
      <c r="AEX1" s="2" t="str">
        <f>IFERROR(IF(AEX$3 = 1, Touchpoints!$C$2,IF(VLOOKUP(AEX$3,Touchpoints!$A:$C,3,FALSE)=VLOOKUP(AEW$3,Touchpoints!$A:$C,3,FALSE),"",IF(VLOOKUP(AEX$3,Touchpoints!$A:$C,3,FALSE)=0,"",VLOOKUP(AEX$3,Touchpoints!$A:$C,3,FALSE)))),"")</f>
        <v/>
      </c>
      <c r="AEY1" s="2" t="str">
        <f>IFERROR(IF(AEY$3 = 1, Touchpoints!$C$2,IF(VLOOKUP(AEY$3,Touchpoints!$A:$C,3,FALSE)=VLOOKUP(AEX$3,Touchpoints!$A:$C,3,FALSE),"",IF(VLOOKUP(AEY$3,Touchpoints!$A:$C,3,FALSE)=0,"",VLOOKUP(AEY$3,Touchpoints!$A:$C,3,FALSE)))),"")</f>
        <v/>
      </c>
      <c r="AEZ1" s="2" t="str">
        <f>IFERROR(IF(AEZ$3 = 1, Touchpoints!$C$2,IF(VLOOKUP(AEZ$3,Touchpoints!$A:$C,3,FALSE)=VLOOKUP(AEY$3,Touchpoints!$A:$C,3,FALSE),"",IF(VLOOKUP(AEZ$3,Touchpoints!$A:$C,3,FALSE)=0,"",VLOOKUP(AEZ$3,Touchpoints!$A:$C,3,FALSE)))),"")</f>
        <v/>
      </c>
      <c r="AFA1" s="2" t="str">
        <f>IFERROR(IF(AFA$3 = 1, Touchpoints!$C$2,IF(VLOOKUP(AFA$3,Touchpoints!$A:$C,3,FALSE)=VLOOKUP(AEZ$3,Touchpoints!$A:$C,3,FALSE),"",IF(VLOOKUP(AFA$3,Touchpoints!$A:$C,3,FALSE)=0,"",VLOOKUP(AFA$3,Touchpoints!$A:$C,3,FALSE)))),"")</f>
        <v/>
      </c>
      <c r="AFB1" s="2" t="str">
        <f>IFERROR(IF(AFB$3 = 1, Touchpoints!$C$2,IF(VLOOKUP(AFB$3,Touchpoints!$A:$C,3,FALSE)=VLOOKUP(AFA$3,Touchpoints!$A:$C,3,FALSE),"",IF(VLOOKUP(AFB$3,Touchpoints!$A:$C,3,FALSE)=0,"",VLOOKUP(AFB$3,Touchpoints!$A:$C,3,FALSE)))),"")</f>
        <v/>
      </c>
      <c r="AFC1" s="2" t="str">
        <f>IFERROR(IF(AFC$3 = 1, Touchpoints!$C$2,IF(VLOOKUP(AFC$3,Touchpoints!$A:$C,3,FALSE)=VLOOKUP(AFB$3,Touchpoints!$A:$C,3,FALSE),"",IF(VLOOKUP(AFC$3,Touchpoints!$A:$C,3,FALSE)=0,"",VLOOKUP(AFC$3,Touchpoints!$A:$C,3,FALSE)))),"")</f>
        <v/>
      </c>
      <c r="AFD1" s="2" t="str">
        <f>IFERROR(IF(AFD$3 = 1, Touchpoints!$C$2,IF(VLOOKUP(AFD$3,Touchpoints!$A:$C,3,FALSE)=VLOOKUP(AFC$3,Touchpoints!$A:$C,3,FALSE),"",IF(VLOOKUP(AFD$3,Touchpoints!$A:$C,3,FALSE)=0,"",VLOOKUP(AFD$3,Touchpoints!$A:$C,3,FALSE)))),"")</f>
        <v/>
      </c>
      <c r="AFE1" s="2" t="str">
        <f>IFERROR(IF(AFE$3 = 1, Touchpoints!$C$2,IF(VLOOKUP(AFE$3,Touchpoints!$A:$C,3,FALSE)=VLOOKUP(AFD$3,Touchpoints!$A:$C,3,FALSE),"",IF(VLOOKUP(AFE$3,Touchpoints!$A:$C,3,FALSE)=0,"",VLOOKUP(AFE$3,Touchpoints!$A:$C,3,FALSE)))),"")</f>
        <v/>
      </c>
      <c r="AFF1" s="2" t="str">
        <f>IFERROR(IF(AFF$3 = 1, Touchpoints!$C$2,IF(VLOOKUP(AFF$3,Touchpoints!$A:$C,3,FALSE)=VLOOKUP(AFE$3,Touchpoints!$A:$C,3,FALSE),"",IF(VLOOKUP(AFF$3,Touchpoints!$A:$C,3,FALSE)=0,"",VLOOKUP(AFF$3,Touchpoints!$A:$C,3,FALSE)))),"")</f>
        <v/>
      </c>
      <c r="AFG1" s="2" t="str">
        <f>IFERROR(IF(AFG$3 = 1, Touchpoints!$C$2,IF(VLOOKUP(AFG$3,Touchpoints!$A:$C,3,FALSE)=VLOOKUP(AFF$3,Touchpoints!$A:$C,3,FALSE),"",IF(VLOOKUP(AFG$3,Touchpoints!$A:$C,3,FALSE)=0,"",VLOOKUP(AFG$3,Touchpoints!$A:$C,3,FALSE)))),"")</f>
        <v/>
      </c>
      <c r="AFH1" s="2" t="str">
        <f>IFERROR(IF(AFH$3 = 1, Touchpoints!$C$2,IF(VLOOKUP(AFH$3,Touchpoints!$A:$C,3,FALSE)=VLOOKUP(AFG$3,Touchpoints!$A:$C,3,FALSE),"",IF(VLOOKUP(AFH$3,Touchpoints!$A:$C,3,FALSE)=0,"",VLOOKUP(AFH$3,Touchpoints!$A:$C,3,FALSE)))),"")</f>
        <v/>
      </c>
      <c r="AFI1" s="2" t="str">
        <f>IFERROR(IF(AFI$3 = 1, Touchpoints!$C$2,IF(VLOOKUP(AFI$3,Touchpoints!$A:$C,3,FALSE)=VLOOKUP(AFH$3,Touchpoints!$A:$C,3,FALSE),"",IF(VLOOKUP(AFI$3,Touchpoints!$A:$C,3,FALSE)=0,"",VLOOKUP(AFI$3,Touchpoints!$A:$C,3,FALSE)))),"")</f>
        <v/>
      </c>
      <c r="AFJ1" s="2" t="str">
        <f>IFERROR(IF(AFJ$3 = 1, Touchpoints!$C$2,IF(VLOOKUP(AFJ$3,Touchpoints!$A:$C,3,FALSE)=VLOOKUP(AFI$3,Touchpoints!$A:$C,3,FALSE),"",IF(VLOOKUP(AFJ$3,Touchpoints!$A:$C,3,FALSE)=0,"",VLOOKUP(AFJ$3,Touchpoints!$A:$C,3,FALSE)))),"")</f>
        <v/>
      </c>
      <c r="AFK1" s="2" t="str">
        <f>IFERROR(IF(AFK$3 = 1, Touchpoints!$C$2,IF(VLOOKUP(AFK$3,Touchpoints!$A:$C,3,FALSE)=VLOOKUP(AFJ$3,Touchpoints!$A:$C,3,FALSE),"",IF(VLOOKUP(AFK$3,Touchpoints!$A:$C,3,FALSE)=0,"",VLOOKUP(AFK$3,Touchpoints!$A:$C,3,FALSE)))),"")</f>
        <v/>
      </c>
      <c r="AFL1" s="2" t="str">
        <f>IFERROR(IF(AFL$3 = 1, Touchpoints!$C$2,IF(VLOOKUP(AFL$3,Touchpoints!$A:$C,3,FALSE)=VLOOKUP(AFK$3,Touchpoints!$A:$C,3,FALSE),"",IF(VLOOKUP(AFL$3,Touchpoints!$A:$C,3,FALSE)=0,"",VLOOKUP(AFL$3,Touchpoints!$A:$C,3,FALSE)))),"")</f>
        <v/>
      </c>
      <c r="AFM1" s="2" t="str">
        <f>IFERROR(IF(AFM$3 = 1, Touchpoints!$C$2,IF(VLOOKUP(AFM$3,Touchpoints!$A:$C,3,FALSE)=VLOOKUP(AFL$3,Touchpoints!$A:$C,3,FALSE),"",IF(VLOOKUP(AFM$3,Touchpoints!$A:$C,3,FALSE)=0,"",VLOOKUP(AFM$3,Touchpoints!$A:$C,3,FALSE)))),"")</f>
        <v/>
      </c>
      <c r="AFN1" s="2" t="str">
        <f>IFERROR(IF(AFN$3 = 1, Touchpoints!$C$2,IF(VLOOKUP(AFN$3,Touchpoints!$A:$C,3,FALSE)=VLOOKUP(AFM$3,Touchpoints!$A:$C,3,FALSE),"",IF(VLOOKUP(AFN$3,Touchpoints!$A:$C,3,FALSE)=0,"",VLOOKUP(AFN$3,Touchpoints!$A:$C,3,FALSE)))),"")</f>
        <v/>
      </c>
      <c r="AFO1" s="2" t="str">
        <f>IFERROR(IF(AFO$3 = 1, Touchpoints!$C$2,IF(VLOOKUP(AFO$3,Touchpoints!$A:$C,3,FALSE)=VLOOKUP(AFN$3,Touchpoints!$A:$C,3,FALSE),"",IF(VLOOKUP(AFO$3,Touchpoints!$A:$C,3,FALSE)=0,"",VLOOKUP(AFO$3,Touchpoints!$A:$C,3,FALSE)))),"")</f>
        <v/>
      </c>
      <c r="AFP1" s="2" t="str">
        <f>IFERROR(IF(AFP$3 = 1, Touchpoints!$C$2,IF(VLOOKUP(AFP$3,Touchpoints!$A:$C,3,FALSE)=VLOOKUP(AFO$3,Touchpoints!$A:$C,3,FALSE),"",IF(VLOOKUP(AFP$3,Touchpoints!$A:$C,3,FALSE)=0,"",VLOOKUP(AFP$3,Touchpoints!$A:$C,3,FALSE)))),"")</f>
        <v/>
      </c>
      <c r="AFQ1" s="2" t="str">
        <f>IFERROR(IF(AFQ$3 = 1, Touchpoints!$C$2,IF(VLOOKUP(AFQ$3,Touchpoints!$A:$C,3,FALSE)=VLOOKUP(AFP$3,Touchpoints!$A:$C,3,FALSE),"",IF(VLOOKUP(AFQ$3,Touchpoints!$A:$C,3,FALSE)=0,"",VLOOKUP(AFQ$3,Touchpoints!$A:$C,3,FALSE)))),"")</f>
        <v/>
      </c>
      <c r="AFR1" s="2" t="str">
        <f>IFERROR(IF(AFR$3 = 1, Touchpoints!$C$2,IF(VLOOKUP(AFR$3,Touchpoints!$A:$C,3,FALSE)=VLOOKUP(AFQ$3,Touchpoints!$A:$C,3,FALSE),"",IF(VLOOKUP(AFR$3,Touchpoints!$A:$C,3,FALSE)=0,"",VLOOKUP(AFR$3,Touchpoints!$A:$C,3,FALSE)))),"")</f>
        <v/>
      </c>
      <c r="AFS1" s="2" t="str">
        <f>IFERROR(IF(AFS$3 = 1, Touchpoints!$C$2,IF(VLOOKUP(AFS$3,Touchpoints!$A:$C,3,FALSE)=VLOOKUP(AFR$3,Touchpoints!$A:$C,3,FALSE),"",IF(VLOOKUP(AFS$3,Touchpoints!$A:$C,3,FALSE)=0,"",VLOOKUP(AFS$3,Touchpoints!$A:$C,3,FALSE)))),"")</f>
        <v/>
      </c>
      <c r="AFT1" s="2" t="str">
        <f>IFERROR(IF(AFT$3 = 1, Touchpoints!$C$2,IF(VLOOKUP(AFT$3,Touchpoints!$A:$C,3,FALSE)=VLOOKUP(AFS$3,Touchpoints!$A:$C,3,FALSE),"",IF(VLOOKUP(AFT$3,Touchpoints!$A:$C,3,FALSE)=0,"",VLOOKUP(AFT$3,Touchpoints!$A:$C,3,FALSE)))),"")</f>
        <v/>
      </c>
      <c r="AFU1" s="2" t="str">
        <f>IFERROR(IF(AFU$3 = 1, Touchpoints!$C$2,IF(VLOOKUP(AFU$3,Touchpoints!$A:$C,3,FALSE)=VLOOKUP(AFT$3,Touchpoints!$A:$C,3,FALSE),"",IF(VLOOKUP(AFU$3,Touchpoints!$A:$C,3,FALSE)=0,"",VLOOKUP(AFU$3,Touchpoints!$A:$C,3,FALSE)))),"")</f>
        <v/>
      </c>
      <c r="AFV1" s="2" t="str">
        <f>IFERROR(IF(AFV$3 = 1, Touchpoints!$C$2,IF(VLOOKUP(AFV$3,Touchpoints!$A:$C,3,FALSE)=VLOOKUP(AFU$3,Touchpoints!$A:$C,3,FALSE),"",IF(VLOOKUP(AFV$3,Touchpoints!$A:$C,3,FALSE)=0,"",VLOOKUP(AFV$3,Touchpoints!$A:$C,3,FALSE)))),"")</f>
        <v/>
      </c>
      <c r="AFW1" s="2" t="str">
        <f>IFERROR(IF(AFW$3 = 1, Touchpoints!$C$2,IF(VLOOKUP(AFW$3,Touchpoints!$A:$C,3,FALSE)=VLOOKUP(AFV$3,Touchpoints!$A:$C,3,FALSE),"",IF(VLOOKUP(AFW$3,Touchpoints!$A:$C,3,FALSE)=0,"",VLOOKUP(AFW$3,Touchpoints!$A:$C,3,FALSE)))),"")</f>
        <v/>
      </c>
      <c r="AFX1" s="2" t="str">
        <f>IFERROR(IF(AFX$3 = 1, Touchpoints!$C$2,IF(VLOOKUP(AFX$3,Touchpoints!$A:$C,3,FALSE)=VLOOKUP(AFW$3,Touchpoints!$A:$C,3,FALSE),"",IF(VLOOKUP(AFX$3,Touchpoints!$A:$C,3,FALSE)=0,"",VLOOKUP(AFX$3,Touchpoints!$A:$C,3,FALSE)))),"")</f>
        <v/>
      </c>
      <c r="AFY1" s="2" t="str">
        <f>IFERROR(IF(AFY$3 = 1, Touchpoints!$C$2,IF(VLOOKUP(AFY$3,Touchpoints!$A:$C,3,FALSE)=VLOOKUP(AFX$3,Touchpoints!$A:$C,3,FALSE),"",IF(VLOOKUP(AFY$3,Touchpoints!$A:$C,3,FALSE)=0,"",VLOOKUP(AFY$3,Touchpoints!$A:$C,3,FALSE)))),"")</f>
        <v/>
      </c>
      <c r="AFZ1" s="2" t="str">
        <f>IFERROR(IF(AFZ$3 = 1, Touchpoints!$C$2,IF(VLOOKUP(AFZ$3,Touchpoints!$A:$C,3,FALSE)=VLOOKUP(AFY$3,Touchpoints!$A:$C,3,FALSE),"",IF(VLOOKUP(AFZ$3,Touchpoints!$A:$C,3,FALSE)=0,"",VLOOKUP(AFZ$3,Touchpoints!$A:$C,3,FALSE)))),"")</f>
        <v/>
      </c>
      <c r="AGA1" s="2" t="str">
        <f>IFERROR(IF(AGA$3 = 1, Touchpoints!$C$2,IF(VLOOKUP(AGA$3,Touchpoints!$A:$C,3,FALSE)=VLOOKUP(AFZ$3,Touchpoints!$A:$C,3,FALSE),"",IF(VLOOKUP(AGA$3,Touchpoints!$A:$C,3,FALSE)=0,"",VLOOKUP(AGA$3,Touchpoints!$A:$C,3,FALSE)))),"")</f>
        <v/>
      </c>
      <c r="AGB1" s="2" t="str">
        <f>IFERROR(IF(AGB$3 = 1, Touchpoints!$C$2,IF(VLOOKUP(AGB$3,Touchpoints!$A:$C,3,FALSE)=VLOOKUP(AGA$3,Touchpoints!$A:$C,3,FALSE),"",IF(VLOOKUP(AGB$3,Touchpoints!$A:$C,3,FALSE)=0,"",VLOOKUP(AGB$3,Touchpoints!$A:$C,3,FALSE)))),"")</f>
        <v/>
      </c>
      <c r="AGC1" s="2" t="str">
        <f>IFERROR(IF(AGC$3 = 1, Touchpoints!$C$2,IF(VLOOKUP(AGC$3,Touchpoints!$A:$C,3,FALSE)=VLOOKUP(AGB$3,Touchpoints!$A:$C,3,FALSE),"",IF(VLOOKUP(AGC$3,Touchpoints!$A:$C,3,FALSE)=0,"",VLOOKUP(AGC$3,Touchpoints!$A:$C,3,FALSE)))),"")</f>
        <v/>
      </c>
      <c r="AGD1" s="2" t="str">
        <f>IFERROR(IF(AGD$3 = 1, Touchpoints!$C$2,IF(VLOOKUP(AGD$3,Touchpoints!$A:$C,3,FALSE)=VLOOKUP(AGC$3,Touchpoints!$A:$C,3,FALSE),"",IF(VLOOKUP(AGD$3,Touchpoints!$A:$C,3,FALSE)=0,"",VLOOKUP(AGD$3,Touchpoints!$A:$C,3,FALSE)))),"")</f>
        <v/>
      </c>
      <c r="AGE1" s="2" t="str">
        <f>IFERROR(IF(AGE$3 = 1, Touchpoints!$C$2,IF(VLOOKUP(AGE$3,Touchpoints!$A:$C,3,FALSE)=VLOOKUP(AGD$3,Touchpoints!$A:$C,3,FALSE),"",IF(VLOOKUP(AGE$3,Touchpoints!$A:$C,3,FALSE)=0,"",VLOOKUP(AGE$3,Touchpoints!$A:$C,3,FALSE)))),"")</f>
        <v/>
      </c>
      <c r="AGF1" s="2" t="str">
        <f>IFERROR(IF(AGF$3 = 1, Touchpoints!$C$2,IF(VLOOKUP(AGF$3,Touchpoints!$A:$C,3,FALSE)=VLOOKUP(AGE$3,Touchpoints!$A:$C,3,FALSE),"",IF(VLOOKUP(AGF$3,Touchpoints!$A:$C,3,FALSE)=0,"",VLOOKUP(AGF$3,Touchpoints!$A:$C,3,FALSE)))),"")</f>
        <v/>
      </c>
      <c r="AGG1" s="2" t="str">
        <f>IFERROR(IF(AGG$3 = 1, Touchpoints!$C$2,IF(VLOOKUP(AGG$3,Touchpoints!$A:$C,3,FALSE)=VLOOKUP(AGF$3,Touchpoints!$A:$C,3,FALSE),"",IF(VLOOKUP(AGG$3,Touchpoints!$A:$C,3,FALSE)=0,"",VLOOKUP(AGG$3,Touchpoints!$A:$C,3,FALSE)))),"")</f>
        <v/>
      </c>
      <c r="AGH1" s="2" t="str">
        <f>IFERROR(IF(AGH$3 = 1, Touchpoints!$C$2,IF(VLOOKUP(AGH$3,Touchpoints!$A:$C,3,FALSE)=VLOOKUP(AGG$3,Touchpoints!$A:$C,3,FALSE),"",IF(VLOOKUP(AGH$3,Touchpoints!$A:$C,3,FALSE)=0,"",VLOOKUP(AGH$3,Touchpoints!$A:$C,3,FALSE)))),"")</f>
        <v/>
      </c>
      <c r="AGI1" s="2" t="str">
        <f>IFERROR(IF(AGI$3 = 1, Touchpoints!$C$2,IF(VLOOKUP(AGI$3,Touchpoints!$A:$C,3,FALSE)=VLOOKUP(AGH$3,Touchpoints!$A:$C,3,FALSE),"",IF(VLOOKUP(AGI$3,Touchpoints!$A:$C,3,FALSE)=0,"",VLOOKUP(AGI$3,Touchpoints!$A:$C,3,FALSE)))),"")</f>
        <v/>
      </c>
      <c r="AGJ1" s="2" t="str">
        <f>IFERROR(IF(AGJ$3 = 1, Touchpoints!$C$2,IF(VLOOKUP(AGJ$3,Touchpoints!$A:$C,3,FALSE)=VLOOKUP(AGI$3,Touchpoints!$A:$C,3,FALSE),"",IF(VLOOKUP(AGJ$3,Touchpoints!$A:$C,3,FALSE)=0,"",VLOOKUP(AGJ$3,Touchpoints!$A:$C,3,FALSE)))),"")</f>
        <v/>
      </c>
      <c r="AGK1" s="2" t="str">
        <f>IFERROR(IF(AGK$3 = 1, Touchpoints!$C$2,IF(VLOOKUP(AGK$3,Touchpoints!$A:$C,3,FALSE)=VLOOKUP(AGJ$3,Touchpoints!$A:$C,3,FALSE),"",IF(VLOOKUP(AGK$3,Touchpoints!$A:$C,3,FALSE)=0,"",VLOOKUP(AGK$3,Touchpoints!$A:$C,3,FALSE)))),"")</f>
        <v/>
      </c>
      <c r="AGL1" s="2" t="str">
        <f>IFERROR(IF(AGL$3 = 1, Touchpoints!$C$2,IF(VLOOKUP(AGL$3,Touchpoints!$A:$C,3,FALSE)=VLOOKUP(AGK$3,Touchpoints!$A:$C,3,FALSE),"",IF(VLOOKUP(AGL$3,Touchpoints!$A:$C,3,FALSE)=0,"",VLOOKUP(AGL$3,Touchpoints!$A:$C,3,FALSE)))),"")</f>
        <v/>
      </c>
      <c r="AGM1" s="2" t="str">
        <f>IFERROR(IF(AGM$3 = 1, Touchpoints!$C$2,IF(VLOOKUP(AGM$3,Touchpoints!$A:$C,3,FALSE)=VLOOKUP(AGL$3,Touchpoints!$A:$C,3,FALSE),"",IF(VLOOKUP(AGM$3,Touchpoints!$A:$C,3,FALSE)=0,"",VLOOKUP(AGM$3,Touchpoints!$A:$C,3,FALSE)))),"")</f>
        <v/>
      </c>
      <c r="AGN1" s="2" t="str">
        <f>IFERROR(IF(AGN$3 = 1, Touchpoints!$C$2,IF(VLOOKUP(AGN$3,Touchpoints!$A:$C,3,FALSE)=VLOOKUP(AGM$3,Touchpoints!$A:$C,3,FALSE),"",IF(VLOOKUP(AGN$3,Touchpoints!$A:$C,3,FALSE)=0,"",VLOOKUP(AGN$3,Touchpoints!$A:$C,3,FALSE)))),"")</f>
        <v/>
      </c>
      <c r="AGO1" s="2" t="str">
        <f>IFERROR(IF(AGO$3 = 1, Touchpoints!$C$2,IF(VLOOKUP(AGO$3,Touchpoints!$A:$C,3,FALSE)=VLOOKUP(AGN$3,Touchpoints!$A:$C,3,FALSE),"",IF(VLOOKUP(AGO$3,Touchpoints!$A:$C,3,FALSE)=0,"",VLOOKUP(AGO$3,Touchpoints!$A:$C,3,FALSE)))),"")</f>
        <v/>
      </c>
      <c r="AGP1" s="2" t="str">
        <f>IFERROR(IF(AGP$3 = 1, Touchpoints!$C$2,IF(VLOOKUP(AGP$3,Touchpoints!$A:$C,3,FALSE)=VLOOKUP(AGO$3,Touchpoints!$A:$C,3,FALSE),"",IF(VLOOKUP(AGP$3,Touchpoints!$A:$C,3,FALSE)=0,"",VLOOKUP(AGP$3,Touchpoints!$A:$C,3,FALSE)))),"")</f>
        <v/>
      </c>
      <c r="AGQ1" s="2" t="str">
        <f>IFERROR(IF(AGQ$3 = 1, Touchpoints!$C$2,IF(VLOOKUP(AGQ$3,Touchpoints!$A:$C,3,FALSE)=VLOOKUP(AGP$3,Touchpoints!$A:$C,3,FALSE),"",IF(VLOOKUP(AGQ$3,Touchpoints!$A:$C,3,FALSE)=0,"",VLOOKUP(AGQ$3,Touchpoints!$A:$C,3,FALSE)))),"")</f>
        <v/>
      </c>
      <c r="AGR1" s="2" t="str">
        <f>IFERROR(IF(AGR$3 = 1, Touchpoints!$C$2,IF(VLOOKUP(AGR$3,Touchpoints!$A:$C,3,FALSE)=VLOOKUP(AGQ$3,Touchpoints!$A:$C,3,FALSE),"",IF(VLOOKUP(AGR$3,Touchpoints!$A:$C,3,FALSE)=0,"",VLOOKUP(AGR$3,Touchpoints!$A:$C,3,FALSE)))),"")</f>
        <v/>
      </c>
      <c r="AGS1" s="2" t="str">
        <f>IFERROR(IF(AGS$3 = 1, Touchpoints!$C$2,IF(VLOOKUP(AGS$3,Touchpoints!$A:$C,3,FALSE)=VLOOKUP(AGR$3,Touchpoints!$A:$C,3,FALSE),"",IF(VLOOKUP(AGS$3,Touchpoints!$A:$C,3,FALSE)=0,"",VLOOKUP(AGS$3,Touchpoints!$A:$C,3,FALSE)))),"")</f>
        <v/>
      </c>
      <c r="AGT1" s="2" t="str">
        <f>IFERROR(IF(AGT$3 = 1, Touchpoints!$C$2,IF(VLOOKUP(AGT$3,Touchpoints!$A:$C,3,FALSE)=VLOOKUP(AGS$3,Touchpoints!$A:$C,3,FALSE),"",IF(VLOOKUP(AGT$3,Touchpoints!$A:$C,3,FALSE)=0,"",VLOOKUP(AGT$3,Touchpoints!$A:$C,3,FALSE)))),"")</f>
        <v/>
      </c>
      <c r="AGU1" s="2" t="str">
        <f>IFERROR(IF(AGU$3 = 1, Touchpoints!$C$2,IF(VLOOKUP(AGU$3,Touchpoints!$A:$C,3,FALSE)=VLOOKUP(AGT$3,Touchpoints!$A:$C,3,FALSE),"",IF(VLOOKUP(AGU$3,Touchpoints!$A:$C,3,FALSE)=0,"",VLOOKUP(AGU$3,Touchpoints!$A:$C,3,FALSE)))),"")</f>
        <v/>
      </c>
      <c r="AGV1" s="2" t="str">
        <f>IFERROR(IF(AGV$3 = 1, Touchpoints!$C$2,IF(VLOOKUP(AGV$3,Touchpoints!$A:$C,3,FALSE)=VLOOKUP(AGU$3,Touchpoints!$A:$C,3,FALSE),"",IF(VLOOKUP(AGV$3,Touchpoints!$A:$C,3,FALSE)=0,"",VLOOKUP(AGV$3,Touchpoints!$A:$C,3,FALSE)))),"")</f>
        <v/>
      </c>
      <c r="AGW1" s="2" t="str">
        <f>IFERROR(IF(AGW$3 = 1, Touchpoints!$C$2,IF(VLOOKUP(AGW$3,Touchpoints!$A:$C,3,FALSE)=VLOOKUP(AGV$3,Touchpoints!$A:$C,3,FALSE),"",IF(VLOOKUP(AGW$3,Touchpoints!$A:$C,3,FALSE)=0,"",VLOOKUP(AGW$3,Touchpoints!$A:$C,3,FALSE)))),"")</f>
        <v/>
      </c>
      <c r="AGX1" s="2" t="str">
        <f>IFERROR(IF(AGX$3 = 1, Touchpoints!$C$2,IF(VLOOKUP(AGX$3,Touchpoints!$A:$C,3,FALSE)=VLOOKUP(AGW$3,Touchpoints!$A:$C,3,FALSE),"",IF(VLOOKUP(AGX$3,Touchpoints!$A:$C,3,FALSE)=0,"",VLOOKUP(AGX$3,Touchpoints!$A:$C,3,FALSE)))),"")</f>
        <v/>
      </c>
      <c r="AGY1" s="2" t="str">
        <f>IFERROR(IF(AGY$3 = 1, Touchpoints!$C$2,IF(VLOOKUP(AGY$3,Touchpoints!$A:$C,3,FALSE)=VLOOKUP(AGX$3,Touchpoints!$A:$C,3,FALSE),"",IF(VLOOKUP(AGY$3,Touchpoints!$A:$C,3,FALSE)=0,"",VLOOKUP(AGY$3,Touchpoints!$A:$C,3,FALSE)))),"")</f>
        <v/>
      </c>
      <c r="AGZ1" s="2" t="str">
        <f>IFERROR(IF(AGZ$3 = 1, Touchpoints!$C$2,IF(VLOOKUP(AGZ$3,Touchpoints!$A:$C,3,FALSE)=VLOOKUP(AGY$3,Touchpoints!$A:$C,3,FALSE),"",IF(VLOOKUP(AGZ$3,Touchpoints!$A:$C,3,FALSE)=0,"",VLOOKUP(AGZ$3,Touchpoints!$A:$C,3,FALSE)))),"")</f>
        <v/>
      </c>
      <c r="AHA1" s="2" t="str">
        <f>IFERROR(IF(AHA$3 = 1, Touchpoints!$C$2,IF(VLOOKUP(AHA$3,Touchpoints!$A:$C,3,FALSE)=VLOOKUP(AGZ$3,Touchpoints!$A:$C,3,FALSE),"",IF(VLOOKUP(AHA$3,Touchpoints!$A:$C,3,FALSE)=0,"",VLOOKUP(AHA$3,Touchpoints!$A:$C,3,FALSE)))),"")</f>
        <v/>
      </c>
      <c r="AHB1" s="2" t="str">
        <f>IFERROR(IF(AHB$3 = 1, Touchpoints!$C$2,IF(VLOOKUP(AHB$3,Touchpoints!$A:$C,3,FALSE)=VLOOKUP(AHA$3,Touchpoints!$A:$C,3,FALSE),"",IF(VLOOKUP(AHB$3,Touchpoints!$A:$C,3,FALSE)=0,"",VLOOKUP(AHB$3,Touchpoints!$A:$C,3,FALSE)))),"")</f>
        <v/>
      </c>
      <c r="AHC1" s="2" t="str">
        <f>IFERROR(IF(AHC$3 = 1, Touchpoints!$C$2,IF(VLOOKUP(AHC$3,Touchpoints!$A:$C,3,FALSE)=VLOOKUP(AHB$3,Touchpoints!$A:$C,3,FALSE),"",IF(VLOOKUP(AHC$3,Touchpoints!$A:$C,3,FALSE)=0,"",VLOOKUP(AHC$3,Touchpoints!$A:$C,3,FALSE)))),"")</f>
        <v/>
      </c>
      <c r="AHD1" s="2" t="str">
        <f>IFERROR(IF(AHD$3 = 1, Touchpoints!$C$2,IF(VLOOKUP(AHD$3,Touchpoints!$A:$C,3,FALSE)=VLOOKUP(AHC$3,Touchpoints!$A:$C,3,FALSE),"",IF(VLOOKUP(AHD$3,Touchpoints!$A:$C,3,FALSE)=0,"",VLOOKUP(AHD$3,Touchpoints!$A:$C,3,FALSE)))),"")</f>
        <v/>
      </c>
      <c r="AHE1" s="2" t="str">
        <f>IFERROR(IF(AHE$3 = 1, Touchpoints!$C$2,IF(VLOOKUP(AHE$3,Touchpoints!$A:$C,3,FALSE)=VLOOKUP(AHD$3,Touchpoints!$A:$C,3,FALSE),"",IF(VLOOKUP(AHE$3,Touchpoints!$A:$C,3,FALSE)=0,"",VLOOKUP(AHE$3,Touchpoints!$A:$C,3,FALSE)))),"")</f>
        <v/>
      </c>
      <c r="AHF1" s="2" t="str">
        <f>IFERROR(IF(AHF$3 = 1, Touchpoints!$C$2,IF(VLOOKUP(AHF$3,Touchpoints!$A:$C,3,FALSE)=VLOOKUP(AHE$3,Touchpoints!$A:$C,3,FALSE),"",IF(VLOOKUP(AHF$3,Touchpoints!$A:$C,3,FALSE)=0,"",VLOOKUP(AHF$3,Touchpoints!$A:$C,3,FALSE)))),"")</f>
        <v/>
      </c>
      <c r="AHG1" s="2" t="str">
        <f>IFERROR(IF(AHG$3 = 1, Touchpoints!$C$2,IF(VLOOKUP(AHG$3,Touchpoints!$A:$C,3,FALSE)=VLOOKUP(AHF$3,Touchpoints!$A:$C,3,FALSE),"",IF(VLOOKUP(AHG$3,Touchpoints!$A:$C,3,FALSE)=0,"",VLOOKUP(AHG$3,Touchpoints!$A:$C,3,FALSE)))),"")</f>
        <v/>
      </c>
      <c r="AHH1" s="2" t="str">
        <f>IFERROR(IF(AHH$3 = 1, Touchpoints!$C$2,IF(VLOOKUP(AHH$3,Touchpoints!$A:$C,3,FALSE)=VLOOKUP(AHG$3,Touchpoints!$A:$C,3,FALSE),"",IF(VLOOKUP(AHH$3,Touchpoints!$A:$C,3,FALSE)=0,"",VLOOKUP(AHH$3,Touchpoints!$A:$C,3,FALSE)))),"")</f>
        <v/>
      </c>
      <c r="AHI1" s="2" t="str">
        <f>IFERROR(IF(AHI$3 = 1, Touchpoints!$C$2,IF(VLOOKUP(AHI$3,Touchpoints!$A:$C,3,FALSE)=VLOOKUP(AHH$3,Touchpoints!$A:$C,3,FALSE),"",IF(VLOOKUP(AHI$3,Touchpoints!$A:$C,3,FALSE)=0,"",VLOOKUP(AHI$3,Touchpoints!$A:$C,3,FALSE)))),"")</f>
        <v/>
      </c>
      <c r="AHJ1" s="2" t="str">
        <f>IFERROR(IF(AHJ$3 = 1, Touchpoints!$C$2,IF(VLOOKUP(AHJ$3,Touchpoints!$A:$C,3,FALSE)=VLOOKUP(AHI$3,Touchpoints!$A:$C,3,FALSE),"",IF(VLOOKUP(AHJ$3,Touchpoints!$A:$C,3,FALSE)=0,"",VLOOKUP(AHJ$3,Touchpoints!$A:$C,3,FALSE)))),"")</f>
        <v/>
      </c>
      <c r="AHK1" s="2" t="str">
        <f>IFERROR(IF(AHK$3 = 1, Touchpoints!$C$2,IF(VLOOKUP(AHK$3,Touchpoints!$A:$C,3,FALSE)=VLOOKUP(AHJ$3,Touchpoints!$A:$C,3,FALSE),"",IF(VLOOKUP(AHK$3,Touchpoints!$A:$C,3,FALSE)=0,"",VLOOKUP(AHK$3,Touchpoints!$A:$C,3,FALSE)))),"")</f>
        <v/>
      </c>
      <c r="AHL1" s="2" t="str">
        <f>IFERROR(IF(AHL$3 = 1, Touchpoints!$C$2,IF(VLOOKUP(AHL$3,Touchpoints!$A:$C,3,FALSE)=VLOOKUP(AHK$3,Touchpoints!$A:$C,3,FALSE),"",IF(VLOOKUP(AHL$3,Touchpoints!$A:$C,3,FALSE)=0,"",VLOOKUP(AHL$3,Touchpoints!$A:$C,3,FALSE)))),"")</f>
        <v/>
      </c>
      <c r="AHM1" s="2" t="str">
        <f>IFERROR(IF(AHM$3 = 1, Touchpoints!$C$2,IF(VLOOKUP(AHM$3,Touchpoints!$A:$C,3,FALSE)=VLOOKUP(AHL$3,Touchpoints!$A:$C,3,FALSE),"",IF(VLOOKUP(AHM$3,Touchpoints!$A:$C,3,FALSE)=0,"",VLOOKUP(AHM$3,Touchpoints!$A:$C,3,FALSE)))),"")</f>
        <v/>
      </c>
      <c r="AHN1" s="2" t="str">
        <f>IFERROR(IF(AHN$3 = 1, Touchpoints!$C$2,IF(VLOOKUP(AHN$3,Touchpoints!$A:$C,3,FALSE)=VLOOKUP(AHM$3,Touchpoints!$A:$C,3,FALSE),"",IF(VLOOKUP(AHN$3,Touchpoints!$A:$C,3,FALSE)=0,"",VLOOKUP(AHN$3,Touchpoints!$A:$C,3,FALSE)))),"")</f>
        <v/>
      </c>
      <c r="AHO1" s="2" t="str">
        <f>IFERROR(IF(AHO$3 = 1, Touchpoints!$C$2,IF(VLOOKUP(AHO$3,Touchpoints!$A:$C,3,FALSE)=VLOOKUP(AHN$3,Touchpoints!$A:$C,3,FALSE),"",IF(VLOOKUP(AHO$3,Touchpoints!$A:$C,3,FALSE)=0,"",VLOOKUP(AHO$3,Touchpoints!$A:$C,3,FALSE)))),"")</f>
        <v/>
      </c>
      <c r="AHP1" s="2" t="str">
        <f>IFERROR(IF(AHP$3 = 1, Touchpoints!$C$2,IF(VLOOKUP(AHP$3,Touchpoints!$A:$C,3,FALSE)=VLOOKUP(AHO$3,Touchpoints!$A:$C,3,FALSE),"",IF(VLOOKUP(AHP$3,Touchpoints!$A:$C,3,FALSE)=0,"",VLOOKUP(AHP$3,Touchpoints!$A:$C,3,FALSE)))),"")</f>
        <v/>
      </c>
      <c r="AHQ1" s="2" t="str">
        <f>IFERROR(IF(AHQ$3 = 1, Touchpoints!$C$2,IF(VLOOKUP(AHQ$3,Touchpoints!$A:$C,3,FALSE)=VLOOKUP(AHP$3,Touchpoints!$A:$C,3,FALSE),"",IF(VLOOKUP(AHQ$3,Touchpoints!$A:$C,3,FALSE)=0,"",VLOOKUP(AHQ$3,Touchpoints!$A:$C,3,FALSE)))),"")</f>
        <v/>
      </c>
      <c r="AHR1" s="2" t="str">
        <f>IFERROR(IF(AHR$3 = 1, Touchpoints!$C$2,IF(VLOOKUP(AHR$3,Touchpoints!$A:$C,3,FALSE)=VLOOKUP(AHQ$3,Touchpoints!$A:$C,3,FALSE),"",IF(VLOOKUP(AHR$3,Touchpoints!$A:$C,3,FALSE)=0,"",VLOOKUP(AHR$3,Touchpoints!$A:$C,3,FALSE)))),"")</f>
        <v/>
      </c>
      <c r="AHS1" s="2" t="str">
        <f>IFERROR(IF(AHS$3 = 1, Touchpoints!$C$2,IF(VLOOKUP(AHS$3,Touchpoints!$A:$C,3,FALSE)=VLOOKUP(AHR$3,Touchpoints!$A:$C,3,FALSE),"",IF(VLOOKUP(AHS$3,Touchpoints!$A:$C,3,FALSE)=0,"",VLOOKUP(AHS$3,Touchpoints!$A:$C,3,FALSE)))),"")</f>
        <v/>
      </c>
      <c r="AHT1" s="2" t="str">
        <f>IFERROR(IF(AHT$3 = 1, Touchpoints!$C$2,IF(VLOOKUP(AHT$3,Touchpoints!$A:$C,3,FALSE)=VLOOKUP(AHS$3,Touchpoints!$A:$C,3,FALSE),"",IF(VLOOKUP(AHT$3,Touchpoints!$A:$C,3,FALSE)=0,"",VLOOKUP(AHT$3,Touchpoints!$A:$C,3,FALSE)))),"")</f>
        <v/>
      </c>
      <c r="AHU1" s="2" t="str">
        <f>IFERROR(IF(AHU$3 = 1, Touchpoints!$C$2,IF(VLOOKUP(AHU$3,Touchpoints!$A:$C,3,FALSE)=VLOOKUP(AHT$3,Touchpoints!$A:$C,3,FALSE),"",IF(VLOOKUP(AHU$3,Touchpoints!$A:$C,3,FALSE)=0,"",VLOOKUP(AHU$3,Touchpoints!$A:$C,3,FALSE)))),"")</f>
        <v/>
      </c>
      <c r="AHV1" s="2" t="str">
        <f>IFERROR(IF(AHV$3 = 1, Touchpoints!$C$2,IF(VLOOKUP(AHV$3,Touchpoints!$A:$C,3,FALSE)=VLOOKUP(AHU$3,Touchpoints!$A:$C,3,FALSE),"",IF(VLOOKUP(AHV$3,Touchpoints!$A:$C,3,FALSE)=0,"",VLOOKUP(AHV$3,Touchpoints!$A:$C,3,FALSE)))),"")</f>
        <v/>
      </c>
      <c r="AHW1" s="2" t="str">
        <f>IFERROR(IF(AHW$3 = 1, Touchpoints!$C$2,IF(VLOOKUP(AHW$3,Touchpoints!$A:$C,3,FALSE)=VLOOKUP(AHV$3,Touchpoints!$A:$C,3,FALSE),"",IF(VLOOKUP(AHW$3,Touchpoints!$A:$C,3,FALSE)=0,"",VLOOKUP(AHW$3,Touchpoints!$A:$C,3,FALSE)))),"")</f>
        <v/>
      </c>
      <c r="AHX1" s="2" t="str">
        <f>IFERROR(IF(AHX$3 = 1, Touchpoints!$C$2,IF(VLOOKUP(AHX$3,Touchpoints!$A:$C,3,FALSE)=VLOOKUP(AHW$3,Touchpoints!$A:$C,3,FALSE),"",IF(VLOOKUP(AHX$3,Touchpoints!$A:$C,3,FALSE)=0,"",VLOOKUP(AHX$3,Touchpoints!$A:$C,3,FALSE)))),"")</f>
        <v/>
      </c>
      <c r="AHY1" s="2" t="str">
        <f>IFERROR(IF(AHY$3 = 1, Touchpoints!$C$2,IF(VLOOKUP(AHY$3,Touchpoints!$A:$C,3,FALSE)=VLOOKUP(AHX$3,Touchpoints!$A:$C,3,FALSE),"",IF(VLOOKUP(AHY$3,Touchpoints!$A:$C,3,FALSE)=0,"",VLOOKUP(AHY$3,Touchpoints!$A:$C,3,FALSE)))),"")</f>
        <v/>
      </c>
      <c r="AHZ1" s="2" t="str">
        <f>IFERROR(IF(AHZ$3 = 1, Touchpoints!$C$2,IF(VLOOKUP(AHZ$3,Touchpoints!$A:$C,3,FALSE)=VLOOKUP(AHY$3,Touchpoints!$A:$C,3,FALSE),"",IF(VLOOKUP(AHZ$3,Touchpoints!$A:$C,3,FALSE)=0,"",VLOOKUP(AHZ$3,Touchpoints!$A:$C,3,FALSE)))),"")</f>
        <v/>
      </c>
      <c r="AIA1" s="2" t="str">
        <f>IFERROR(IF(AIA$3 = 1, Touchpoints!$C$2,IF(VLOOKUP(AIA$3,Touchpoints!$A:$C,3,FALSE)=VLOOKUP(AHZ$3,Touchpoints!$A:$C,3,FALSE),"",IF(VLOOKUP(AIA$3,Touchpoints!$A:$C,3,FALSE)=0,"",VLOOKUP(AIA$3,Touchpoints!$A:$C,3,FALSE)))),"")</f>
        <v/>
      </c>
      <c r="AIB1" s="2" t="str">
        <f>IFERROR(IF(AIB$3 = 1, Touchpoints!$C$2,IF(VLOOKUP(AIB$3,Touchpoints!$A:$C,3,FALSE)=VLOOKUP(AIA$3,Touchpoints!$A:$C,3,FALSE),"",IF(VLOOKUP(AIB$3,Touchpoints!$A:$C,3,FALSE)=0,"",VLOOKUP(AIB$3,Touchpoints!$A:$C,3,FALSE)))),"")</f>
        <v/>
      </c>
      <c r="AIC1" s="2" t="str">
        <f>IFERROR(IF(AIC$3 = 1, Touchpoints!$C$2,IF(VLOOKUP(AIC$3,Touchpoints!$A:$C,3,FALSE)=VLOOKUP(AIB$3,Touchpoints!$A:$C,3,FALSE),"",IF(VLOOKUP(AIC$3,Touchpoints!$A:$C,3,FALSE)=0,"",VLOOKUP(AIC$3,Touchpoints!$A:$C,3,FALSE)))),"")</f>
        <v/>
      </c>
      <c r="AID1" s="2" t="str">
        <f>IFERROR(IF(AID$3 = 1, Touchpoints!$C$2,IF(VLOOKUP(AID$3,Touchpoints!$A:$C,3,FALSE)=VLOOKUP(AIC$3,Touchpoints!$A:$C,3,FALSE),"",IF(VLOOKUP(AID$3,Touchpoints!$A:$C,3,FALSE)=0,"",VLOOKUP(AID$3,Touchpoints!$A:$C,3,FALSE)))),"")</f>
        <v/>
      </c>
      <c r="AIE1" s="2" t="str">
        <f>IFERROR(IF(AIE$3 = 1, Touchpoints!$C$2,IF(VLOOKUP(AIE$3,Touchpoints!$A:$C,3,FALSE)=VLOOKUP(AID$3,Touchpoints!$A:$C,3,FALSE),"",IF(VLOOKUP(AIE$3,Touchpoints!$A:$C,3,FALSE)=0,"",VLOOKUP(AIE$3,Touchpoints!$A:$C,3,FALSE)))),"")</f>
        <v/>
      </c>
      <c r="AIF1" s="2" t="str">
        <f>IFERROR(IF(AIF$3 = 1, Touchpoints!$C$2,IF(VLOOKUP(AIF$3,Touchpoints!$A:$C,3,FALSE)=VLOOKUP(AIE$3,Touchpoints!$A:$C,3,FALSE),"",IF(VLOOKUP(AIF$3,Touchpoints!$A:$C,3,FALSE)=0,"",VLOOKUP(AIF$3,Touchpoints!$A:$C,3,FALSE)))),"")</f>
        <v/>
      </c>
      <c r="AIG1" s="2" t="str">
        <f>IFERROR(IF(AIG$3 = 1, Touchpoints!$C$2,IF(VLOOKUP(AIG$3,Touchpoints!$A:$C,3,FALSE)=VLOOKUP(AIF$3,Touchpoints!$A:$C,3,FALSE),"",IF(VLOOKUP(AIG$3,Touchpoints!$A:$C,3,FALSE)=0,"",VLOOKUP(AIG$3,Touchpoints!$A:$C,3,FALSE)))),"")</f>
        <v/>
      </c>
      <c r="AIH1" s="2" t="str">
        <f>IFERROR(IF(AIH$3 = 1, Touchpoints!$C$2,IF(VLOOKUP(AIH$3,Touchpoints!$A:$C,3,FALSE)=VLOOKUP(AIG$3,Touchpoints!$A:$C,3,FALSE),"",IF(VLOOKUP(AIH$3,Touchpoints!$A:$C,3,FALSE)=0,"",VLOOKUP(AIH$3,Touchpoints!$A:$C,3,FALSE)))),"")</f>
        <v/>
      </c>
      <c r="AII1" s="2" t="str">
        <f>IFERROR(IF(AII$3 = 1, Touchpoints!$C$2,IF(VLOOKUP(AII$3,Touchpoints!$A:$C,3,FALSE)=VLOOKUP(AIH$3,Touchpoints!$A:$C,3,FALSE),"",IF(VLOOKUP(AII$3,Touchpoints!$A:$C,3,FALSE)=0,"",VLOOKUP(AII$3,Touchpoints!$A:$C,3,FALSE)))),"")</f>
        <v/>
      </c>
      <c r="AIJ1" s="2" t="str">
        <f>IFERROR(IF(AIJ$3 = 1, Touchpoints!$C$2,IF(VLOOKUP(AIJ$3,Touchpoints!$A:$C,3,FALSE)=VLOOKUP(AII$3,Touchpoints!$A:$C,3,FALSE),"",IF(VLOOKUP(AIJ$3,Touchpoints!$A:$C,3,FALSE)=0,"",VLOOKUP(AIJ$3,Touchpoints!$A:$C,3,FALSE)))),"")</f>
        <v/>
      </c>
      <c r="AIK1" s="2" t="str">
        <f>IFERROR(IF(AIK$3 = 1, Touchpoints!$C$2,IF(VLOOKUP(AIK$3,Touchpoints!$A:$C,3,FALSE)=VLOOKUP(AIJ$3,Touchpoints!$A:$C,3,FALSE),"",IF(VLOOKUP(AIK$3,Touchpoints!$A:$C,3,FALSE)=0,"",VLOOKUP(AIK$3,Touchpoints!$A:$C,3,FALSE)))),"")</f>
        <v/>
      </c>
      <c r="AIL1" s="2" t="str">
        <f>IFERROR(IF(AIL$3 = 1, Touchpoints!$C$2,IF(VLOOKUP(AIL$3,Touchpoints!$A:$C,3,FALSE)=VLOOKUP(AIK$3,Touchpoints!$A:$C,3,FALSE),"",IF(VLOOKUP(AIL$3,Touchpoints!$A:$C,3,FALSE)=0,"",VLOOKUP(AIL$3,Touchpoints!$A:$C,3,FALSE)))),"")</f>
        <v/>
      </c>
      <c r="AIM1" s="2" t="str">
        <f>IFERROR(IF(AIM$3 = 1, Touchpoints!$C$2,IF(VLOOKUP(AIM$3,Touchpoints!$A:$C,3,FALSE)=VLOOKUP(AIL$3,Touchpoints!$A:$C,3,FALSE),"",IF(VLOOKUP(AIM$3,Touchpoints!$A:$C,3,FALSE)=0,"",VLOOKUP(AIM$3,Touchpoints!$A:$C,3,FALSE)))),"")</f>
        <v/>
      </c>
      <c r="AIN1" s="2" t="str">
        <f>IFERROR(IF(AIN$3 = 1, Touchpoints!$C$2,IF(VLOOKUP(AIN$3,Touchpoints!$A:$C,3,FALSE)=VLOOKUP(AIM$3,Touchpoints!$A:$C,3,FALSE),"",IF(VLOOKUP(AIN$3,Touchpoints!$A:$C,3,FALSE)=0,"",VLOOKUP(AIN$3,Touchpoints!$A:$C,3,FALSE)))),"")</f>
        <v/>
      </c>
      <c r="AIO1" s="2" t="str">
        <f>IFERROR(IF(AIO$3 = 1, Touchpoints!$C$2,IF(VLOOKUP(AIO$3,Touchpoints!$A:$C,3,FALSE)=VLOOKUP(AIN$3,Touchpoints!$A:$C,3,FALSE),"",IF(VLOOKUP(AIO$3,Touchpoints!$A:$C,3,FALSE)=0,"",VLOOKUP(AIO$3,Touchpoints!$A:$C,3,FALSE)))),"")</f>
        <v/>
      </c>
      <c r="AIP1" s="2" t="str">
        <f>IFERROR(IF(AIP$3 = 1, Touchpoints!$C$2,IF(VLOOKUP(AIP$3,Touchpoints!$A:$C,3,FALSE)=VLOOKUP(AIO$3,Touchpoints!$A:$C,3,FALSE),"",IF(VLOOKUP(AIP$3,Touchpoints!$A:$C,3,FALSE)=0,"",VLOOKUP(AIP$3,Touchpoints!$A:$C,3,FALSE)))),"")</f>
        <v/>
      </c>
      <c r="AIQ1" s="2" t="str">
        <f>IFERROR(IF(AIQ$3 = 1, Touchpoints!$C$2,IF(VLOOKUP(AIQ$3,Touchpoints!$A:$C,3,FALSE)=VLOOKUP(AIP$3,Touchpoints!$A:$C,3,FALSE),"",IF(VLOOKUP(AIQ$3,Touchpoints!$A:$C,3,FALSE)=0,"",VLOOKUP(AIQ$3,Touchpoints!$A:$C,3,FALSE)))),"")</f>
        <v/>
      </c>
      <c r="AIR1" s="2" t="str">
        <f>IFERROR(IF(AIR$3 = 1, Touchpoints!$C$2,IF(VLOOKUP(AIR$3,Touchpoints!$A:$C,3,FALSE)=VLOOKUP(AIQ$3,Touchpoints!$A:$C,3,FALSE),"",IF(VLOOKUP(AIR$3,Touchpoints!$A:$C,3,FALSE)=0,"",VLOOKUP(AIR$3,Touchpoints!$A:$C,3,FALSE)))),"")</f>
        <v/>
      </c>
      <c r="AIS1" s="2" t="str">
        <f>IFERROR(IF(AIS$3 = 1, Touchpoints!$C$2,IF(VLOOKUP(AIS$3,Touchpoints!$A:$C,3,FALSE)=VLOOKUP(AIR$3,Touchpoints!$A:$C,3,FALSE),"",IF(VLOOKUP(AIS$3,Touchpoints!$A:$C,3,FALSE)=0,"",VLOOKUP(AIS$3,Touchpoints!$A:$C,3,FALSE)))),"")</f>
        <v/>
      </c>
      <c r="AIT1" s="2" t="str">
        <f>IFERROR(IF(AIT$3 = 1, Touchpoints!$C$2,IF(VLOOKUP(AIT$3,Touchpoints!$A:$C,3,FALSE)=VLOOKUP(AIS$3,Touchpoints!$A:$C,3,FALSE),"",IF(VLOOKUP(AIT$3,Touchpoints!$A:$C,3,FALSE)=0,"",VLOOKUP(AIT$3,Touchpoints!$A:$C,3,FALSE)))),"")</f>
        <v/>
      </c>
      <c r="AIU1" s="2" t="str">
        <f>IFERROR(IF(AIU$3 = 1, Touchpoints!$C$2,IF(VLOOKUP(AIU$3,Touchpoints!$A:$C,3,FALSE)=VLOOKUP(AIT$3,Touchpoints!$A:$C,3,FALSE),"",IF(VLOOKUP(AIU$3,Touchpoints!$A:$C,3,FALSE)=0,"",VLOOKUP(AIU$3,Touchpoints!$A:$C,3,FALSE)))),"")</f>
        <v/>
      </c>
      <c r="AIV1" s="2" t="str">
        <f>IFERROR(IF(AIV$3 = 1, Touchpoints!$C$2,IF(VLOOKUP(AIV$3,Touchpoints!$A:$C,3,FALSE)=VLOOKUP(AIU$3,Touchpoints!$A:$C,3,FALSE),"",IF(VLOOKUP(AIV$3,Touchpoints!$A:$C,3,FALSE)=0,"",VLOOKUP(AIV$3,Touchpoints!$A:$C,3,FALSE)))),"")</f>
        <v/>
      </c>
      <c r="AIW1" s="2" t="str">
        <f>IFERROR(IF(AIW$3 = 1, Touchpoints!$C$2,IF(VLOOKUP(AIW$3,Touchpoints!$A:$C,3,FALSE)=VLOOKUP(AIV$3,Touchpoints!$A:$C,3,FALSE),"",IF(VLOOKUP(AIW$3,Touchpoints!$A:$C,3,FALSE)=0,"",VLOOKUP(AIW$3,Touchpoints!$A:$C,3,FALSE)))),"")</f>
        <v/>
      </c>
      <c r="AIX1" s="2" t="str">
        <f>IFERROR(IF(AIX$3 = 1, Touchpoints!$C$2,IF(VLOOKUP(AIX$3,Touchpoints!$A:$C,3,FALSE)=VLOOKUP(AIW$3,Touchpoints!$A:$C,3,FALSE),"",IF(VLOOKUP(AIX$3,Touchpoints!$A:$C,3,FALSE)=0,"",VLOOKUP(AIX$3,Touchpoints!$A:$C,3,FALSE)))),"")</f>
        <v/>
      </c>
      <c r="AIY1" s="2" t="str">
        <f>IFERROR(IF(AIY$3 = 1, Touchpoints!$C$2,IF(VLOOKUP(AIY$3,Touchpoints!$A:$C,3,FALSE)=VLOOKUP(AIX$3,Touchpoints!$A:$C,3,FALSE),"",IF(VLOOKUP(AIY$3,Touchpoints!$A:$C,3,FALSE)=0,"",VLOOKUP(AIY$3,Touchpoints!$A:$C,3,FALSE)))),"")</f>
        <v/>
      </c>
      <c r="AIZ1" s="2" t="str">
        <f>IFERROR(IF(AIZ$3 = 1, Touchpoints!$C$2,IF(VLOOKUP(AIZ$3,Touchpoints!$A:$C,3,FALSE)=VLOOKUP(AIY$3,Touchpoints!$A:$C,3,FALSE),"",IF(VLOOKUP(AIZ$3,Touchpoints!$A:$C,3,FALSE)=0,"",VLOOKUP(AIZ$3,Touchpoints!$A:$C,3,FALSE)))),"")</f>
        <v/>
      </c>
      <c r="AJA1" s="2" t="str">
        <f>IFERROR(IF(AJA$3 = 1, Touchpoints!$C$2,IF(VLOOKUP(AJA$3,Touchpoints!$A:$C,3,FALSE)=VLOOKUP(AIZ$3,Touchpoints!$A:$C,3,FALSE),"",IF(VLOOKUP(AJA$3,Touchpoints!$A:$C,3,FALSE)=0,"",VLOOKUP(AJA$3,Touchpoints!$A:$C,3,FALSE)))),"")</f>
        <v/>
      </c>
      <c r="AJB1" s="2" t="str">
        <f>IFERROR(IF(AJB$3 = 1, Touchpoints!$C$2,IF(VLOOKUP(AJB$3,Touchpoints!$A:$C,3,FALSE)=VLOOKUP(AJA$3,Touchpoints!$A:$C,3,FALSE),"",IF(VLOOKUP(AJB$3,Touchpoints!$A:$C,3,FALSE)=0,"",VLOOKUP(AJB$3,Touchpoints!$A:$C,3,FALSE)))),"")</f>
        <v/>
      </c>
      <c r="AJC1" s="2" t="str">
        <f>IFERROR(IF(AJC$3 = 1, Touchpoints!$C$2,IF(VLOOKUP(AJC$3,Touchpoints!$A:$C,3,FALSE)=VLOOKUP(AJB$3,Touchpoints!$A:$C,3,FALSE),"",IF(VLOOKUP(AJC$3,Touchpoints!$A:$C,3,FALSE)=0,"",VLOOKUP(AJC$3,Touchpoints!$A:$C,3,FALSE)))),"")</f>
        <v/>
      </c>
      <c r="AJD1" s="2" t="str">
        <f>IFERROR(IF(AJD$3 = 1, Touchpoints!$C$2,IF(VLOOKUP(AJD$3,Touchpoints!$A:$C,3,FALSE)=VLOOKUP(AJC$3,Touchpoints!$A:$C,3,FALSE),"",IF(VLOOKUP(AJD$3,Touchpoints!$A:$C,3,FALSE)=0,"",VLOOKUP(AJD$3,Touchpoints!$A:$C,3,FALSE)))),"")</f>
        <v/>
      </c>
      <c r="AJE1" s="2" t="str">
        <f>IFERROR(IF(AJE$3 = 1, Touchpoints!$C$2,IF(VLOOKUP(AJE$3,Touchpoints!$A:$C,3,FALSE)=VLOOKUP(AJD$3,Touchpoints!$A:$C,3,FALSE),"",IF(VLOOKUP(AJE$3,Touchpoints!$A:$C,3,FALSE)=0,"",VLOOKUP(AJE$3,Touchpoints!$A:$C,3,FALSE)))),"")</f>
        <v/>
      </c>
      <c r="AJF1" s="2" t="str">
        <f>IFERROR(IF(AJF$3 = 1, Touchpoints!$C$2,IF(VLOOKUP(AJF$3,Touchpoints!$A:$C,3,FALSE)=VLOOKUP(AJE$3,Touchpoints!$A:$C,3,FALSE),"",IF(VLOOKUP(AJF$3,Touchpoints!$A:$C,3,FALSE)=0,"",VLOOKUP(AJF$3,Touchpoints!$A:$C,3,FALSE)))),"")</f>
        <v/>
      </c>
      <c r="AJG1" s="2" t="str">
        <f>IFERROR(IF(AJG$3 = 1, Touchpoints!$C$2,IF(VLOOKUP(AJG$3,Touchpoints!$A:$C,3,FALSE)=VLOOKUP(AJF$3,Touchpoints!$A:$C,3,FALSE),"",IF(VLOOKUP(AJG$3,Touchpoints!$A:$C,3,FALSE)=0,"",VLOOKUP(AJG$3,Touchpoints!$A:$C,3,FALSE)))),"")</f>
        <v/>
      </c>
      <c r="AJH1" s="2" t="str">
        <f>IFERROR(IF(AJH$3 = 1, Touchpoints!$C$2,IF(VLOOKUP(AJH$3,Touchpoints!$A:$C,3,FALSE)=VLOOKUP(AJG$3,Touchpoints!$A:$C,3,FALSE),"",IF(VLOOKUP(AJH$3,Touchpoints!$A:$C,3,FALSE)=0,"",VLOOKUP(AJH$3,Touchpoints!$A:$C,3,FALSE)))),"")</f>
        <v/>
      </c>
      <c r="AJI1" s="2" t="str">
        <f>IFERROR(IF(AJI$3 = 1, Touchpoints!$C$2,IF(VLOOKUP(AJI$3,Touchpoints!$A:$C,3,FALSE)=VLOOKUP(AJH$3,Touchpoints!$A:$C,3,FALSE),"",IF(VLOOKUP(AJI$3,Touchpoints!$A:$C,3,FALSE)=0,"",VLOOKUP(AJI$3,Touchpoints!$A:$C,3,FALSE)))),"")</f>
        <v/>
      </c>
      <c r="AJJ1" s="2" t="str">
        <f>IFERROR(IF(AJJ$3 = 1, Touchpoints!$C$2,IF(VLOOKUP(AJJ$3,Touchpoints!$A:$C,3,FALSE)=VLOOKUP(AJI$3,Touchpoints!$A:$C,3,FALSE),"",IF(VLOOKUP(AJJ$3,Touchpoints!$A:$C,3,FALSE)=0,"",VLOOKUP(AJJ$3,Touchpoints!$A:$C,3,FALSE)))),"")</f>
        <v/>
      </c>
      <c r="AJK1" s="2" t="str">
        <f>IFERROR(IF(AJK$3 = 1, Touchpoints!$C$2,IF(VLOOKUP(AJK$3,Touchpoints!$A:$C,3,FALSE)=VLOOKUP(AJJ$3,Touchpoints!$A:$C,3,FALSE),"",IF(VLOOKUP(AJK$3,Touchpoints!$A:$C,3,FALSE)=0,"",VLOOKUP(AJK$3,Touchpoints!$A:$C,3,FALSE)))),"")</f>
        <v/>
      </c>
      <c r="AJL1" s="2" t="str">
        <f>IFERROR(IF(AJL$3 = 1, Touchpoints!$C$2,IF(VLOOKUP(AJL$3,Touchpoints!$A:$C,3,FALSE)=VLOOKUP(AJK$3,Touchpoints!$A:$C,3,FALSE),"",IF(VLOOKUP(AJL$3,Touchpoints!$A:$C,3,FALSE)=0,"",VLOOKUP(AJL$3,Touchpoints!$A:$C,3,FALSE)))),"")</f>
        <v/>
      </c>
      <c r="AJM1" s="2" t="str">
        <f>IFERROR(IF(AJM$3 = 1, Touchpoints!$C$2,IF(VLOOKUP(AJM$3,Touchpoints!$A:$C,3,FALSE)=VLOOKUP(AJL$3,Touchpoints!$A:$C,3,FALSE),"",IF(VLOOKUP(AJM$3,Touchpoints!$A:$C,3,FALSE)=0,"",VLOOKUP(AJM$3,Touchpoints!$A:$C,3,FALSE)))),"")</f>
        <v/>
      </c>
      <c r="AJN1" s="2" t="str">
        <f>IFERROR(IF(AJN$3 = 1, Touchpoints!$C$2,IF(VLOOKUP(AJN$3,Touchpoints!$A:$C,3,FALSE)=VLOOKUP(AJM$3,Touchpoints!$A:$C,3,FALSE),"",IF(VLOOKUP(AJN$3,Touchpoints!$A:$C,3,FALSE)=0,"",VLOOKUP(AJN$3,Touchpoints!$A:$C,3,FALSE)))),"")</f>
        <v/>
      </c>
      <c r="AJO1" s="2" t="str">
        <f>IFERROR(IF(AJO$3 = 1, Touchpoints!$C$2,IF(VLOOKUP(AJO$3,Touchpoints!$A:$C,3,FALSE)=VLOOKUP(AJN$3,Touchpoints!$A:$C,3,FALSE),"",IF(VLOOKUP(AJO$3,Touchpoints!$A:$C,3,FALSE)=0,"",VLOOKUP(AJO$3,Touchpoints!$A:$C,3,FALSE)))),"")</f>
        <v/>
      </c>
      <c r="AJP1" s="2" t="str">
        <f>IFERROR(IF(AJP$3 = 1, Touchpoints!$C$2,IF(VLOOKUP(AJP$3,Touchpoints!$A:$C,3,FALSE)=VLOOKUP(AJO$3,Touchpoints!$A:$C,3,FALSE),"",IF(VLOOKUP(AJP$3,Touchpoints!$A:$C,3,FALSE)=0,"",VLOOKUP(AJP$3,Touchpoints!$A:$C,3,FALSE)))),"")</f>
        <v/>
      </c>
      <c r="AJQ1" s="2" t="str">
        <f>IFERROR(IF(AJQ$3 = 1, Touchpoints!$C$2,IF(VLOOKUP(AJQ$3,Touchpoints!$A:$C,3,FALSE)=VLOOKUP(AJP$3,Touchpoints!$A:$C,3,FALSE),"",IF(VLOOKUP(AJQ$3,Touchpoints!$A:$C,3,FALSE)=0,"",VLOOKUP(AJQ$3,Touchpoints!$A:$C,3,FALSE)))),"")</f>
        <v/>
      </c>
      <c r="AJR1" s="2" t="str">
        <f>IFERROR(IF(AJR$3 = 1, Touchpoints!$C$2,IF(VLOOKUP(AJR$3,Touchpoints!$A:$C,3,FALSE)=VLOOKUP(AJQ$3,Touchpoints!$A:$C,3,FALSE),"",IF(VLOOKUP(AJR$3,Touchpoints!$A:$C,3,FALSE)=0,"",VLOOKUP(AJR$3,Touchpoints!$A:$C,3,FALSE)))),"")</f>
        <v/>
      </c>
      <c r="AJS1" s="2" t="str">
        <f>IFERROR(IF(AJS$3 = 1, Touchpoints!$C$2,IF(VLOOKUP(AJS$3,Touchpoints!$A:$C,3,FALSE)=VLOOKUP(AJR$3,Touchpoints!$A:$C,3,FALSE),"",IF(VLOOKUP(AJS$3,Touchpoints!$A:$C,3,FALSE)=0,"",VLOOKUP(AJS$3,Touchpoints!$A:$C,3,FALSE)))),"")</f>
        <v/>
      </c>
      <c r="AJT1" s="2" t="str">
        <f>IFERROR(IF(AJT$3 = 1, Touchpoints!$C$2,IF(VLOOKUP(AJT$3,Touchpoints!$A:$C,3,FALSE)=VLOOKUP(AJS$3,Touchpoints!$A:$C,3,FALSE),"",IF(VLOOKUP(AJT$3,Touchpoints!$A:$C,3,FALSE)=0,"",VLOOKUP(AJT$3,Touchpoints!$A:$C,3,FALSE)))),"")</f>
        <v/>
      </c>
      <c r="AJU1" s="2" t="str">
        <f>IFERROR(IF(AJU$3 = 1, Touchpoints!$C$2,IF(VLOOKUP(AJU$3,Touchpoints!$A:$C,3,FALSE)=VLOOKUP(AJT$3,Touchpoints!$A:$C,3,FALSE),"",IF(VLOOKUP(AJU$3,Touchpoints!$A:$C,3,FALSE)=0,"",VLOOKUP(AJU$3,Touchpoints!$A:$C,3,FALSE)))),"")</f>
        <v/>
      </c>
      <c r="AJV1" s="2" t="str">
        <f>IFERROR(IF(AJV$3 = 1, Touchpoints!$C$2,IF(VLOOKUP(AJV$3,Touchpoints!$A:$C,3,FALSE)=VLOOKUP(AJU$3,Touchpoints!$A:$C,3,FALSE),"",IF(VLOOKUP(AJV$3,Touchpoints!$A:$C,3,FALSE)=0,"",VLOOKUP(AJV$3,Touchpoints!$A:$C,3,FALSE)))),"")</f>
        <v/>
      </c>
      <c r="AJW1" s="2" t="str">
        <f>IFERROR(IF(AJW$3 = 1, Touchpoints!$C$2,IF(VLOOKUP(AJW$3,Touchpoints!$A:$C,3,FALSE)=VLOOKUP(AJV$3,Touchpoints!$A:$C,3,FALSE),"",IF(VLOOKUP(AJW$3,Touchpoints!$A:$C,3,FALSE)=0,"",VLOOKUP(AJW$3,Touchpoints!$A:$C,3,FALSE)))),"")</f>
        <v/>
      </c>
      <c r="AJX1" s="2" t="str">
        <f>IFERROR(IF(AJX$3 = 1, Touchpoints!$C$2,IF(VLOOKUP(AJX$3,Touchpoints!$A:$C,3,FALSE)=VLOOKUP(AJW$3,Touchpoints!$A:$C,3,FALSE),"",IF(VLOOKUP(AJX$3,Touchpoints!$A:$C,3,FALSE)=0,"",VLOOKUP(AJX$3,Touchpoints!$A:$C,3,FALSE)))),"")</f>
        <v/>
      </c>
      <c r="AJY1" s="2" t="str">
        <f>IFERROR(IF(AJY$3 = 1, Touchpoints!$C$2,IF(VLOOKUP(AJY$3,Touchpoints!$A:$C,3,FALSE)=VLOOKUP(AJX$3,Touchpoints!$A:$C,3,FALSE),"",IF(VLOOKUP(AJY$3,Touchpoints!$A:$C,3,FALSE)=0,"",VLOOKUP(AJY$3,Touchpoints!$A:$C,3,FALSE)))),"")</f>
        <v/>
      </c>
      <c r="AJZ1" s="2" t="str">
        <f>IFERROR(IF(AJZ$3 = 1, Touchpoints!$C$2,IF(VLOOKUP(AJZ$3,Touchpoints!$A:$C,3,FALSE)=VLOOKUP(AJY$3,Touchpoints!$A:$C,3,FALSE),"",IF(VLOOKUP(AJZ$3,Touchpoints!$A:$C,3,FALSE)=0,"",VLOOKUP(AJZ$3,Touchpoints!$A:$C,3,FALSE)))),"")</f>
        <v/>
      </c>
      <c r="AKA1" s="2" t="str">
        <f>IFERROR(IF(AKA$3 = 1, Touchpoints!$C$2,IF(VLOOKUP(AKA$3,Touchpoints!$A:$C,3,FALSE)=VLOOKUP(AJZ$3,Touchpoints!$A:$C,3,FALSE),"",IF(VLOOKUP(AKA$3,Touchpoints!$A:$C,3,FALSE)=0,"",VLOOKUP(AKA$3,Touchpoints!$A:$C,3,FALSE)))),"")</f>
        <v/>
      </c>
      <c r="AKB1" s="2" t="str">
        <f>IFERROR(IF(AKB$3 = 1, Touchpoints!$C$2,IF(VLOOKUP(AKB$3,Touchpoints!$A:$C,3,FALSE)=VLOOKUP(AKA$3,Touchpoints!$A:$C,3,FALSE),"",IF(VLOOKUP(AKB$3,Touchpoints!$A:$C,3,FALSE)=0,"",VLOOKUP(AKB$3,Touchpoints!$A:$C,3,FALSE)))),"")</f>
        <v/>
      </c>
      <c r="AKC1" s="2" t="str">
        <f>IFERROR(IF(AKC$3 = 1, Touchpoints!$C$2,IF(VLOOKUP(AKC$3,Touchpoints!$A:$C,3,FALSE)=VLOOKUP(AKB$3,Touchpoints!$A:$C,3,FALSE),"",IF(VLOOKUP(AKC$3,Touchpoints!$A:$C,3,FALSE)=0,"",VLOOKUP(AKC$3,Touchpoints!$A:$C,3,FALSE)))),"")</f>
        <v/>
      </c>
      <c r="AKD1" s="2" t="str">
        <f>IFERROR(IF(AKD$3 = 1, Touchpoints!$C$2,IF(VLOOKUP(AKD$3,Touchpoints!$A:$C,3,FALSE)=VLOOKUP(AKC$3,Touchpoints!$A:$C,3,FALSE),"",IF(VLOOKUP(AKD$3,Touchpoints!$A:$C,3,FALSE)=0,"",VLOOKUP(AKD$3,Touchpoints!$A:$C,3,FALSE)))),"")</f>
        <v/>
      </c>
      <c r="AKE1" s="2" t="str">
        <f>IFERROR(IF(AKE$3 = 1, Touchpoints!$C$2,IF(VLOOKUP(AKE$3,Touchpoints!$A:$C,3,FALSE)=VLOOKUP(AKD$3,Touchpoints!$A:$C,3,FALSE),"",IF(VLOOKUP(AKE$3,Touchpoints!$A:$C,3,FALSE)=0,"",VLOOKUP(AKE$3,Touchpoints!$A:$C,3,FALSE)))),"")</f>
        <v/>
      </c>
      <c r="AKF1" s="2" t="str">
        <f>IFERROR(IF(AKF$3 = 1, Touchpoints!$C$2,IF(VLOOKUP(AKF$3,Touchpoints!$A:$C,3,FALSE)=VLOOKUP(AKE$3,Touchpoints!$A:$C,3,FALSE),"",IF(VLOOKUP(AKF$3,Touchpoints!$A:$C,3,FALSE)=0,"",VLOOKUP(AKF$3,Touchpoints!$A:$C,3,FALSE)))),"")</f>
        <v/>
      </c>
      <c r="AKG1" s="2" t="str">
        <f>IFERROR(IF(AKG$3 = 1, Touchpoints!$C$2,IF(VLOOKUP(AKG$3,Touchpoints!$A:$C,3,FALSE)=VLOOKUP(AKF$3,Touchpoints!$A:$C,3,FALSE),"",IF(VLOOKUP(AKG$3,Touchpoints!$A:$C,3,FALSE)=0,"",VLOOKUP(AKG$3,Touchpoints!$A:$C,3,FALSE)))),"")</f>
        <v/>
      </c>
      <c r="AKH1" s="2" t="str">
        <f>IFERROR(IF(AKH$3 = 1, Touchpoints!$C$2,IF(VLOOKUP(AKH$3,Touchpoints!$A:$C,3,FALSE)=VLOOKUP(AKG$3,Touchpoints!$A:$C,3,FALSE),"",IF(VLOOKUP(AKH$3,Touchpoints!$A:$C,3,FALSE)=0,"",VLOOKUP(AKH$3,Touchpoints!$A:$C,3,FALSE)))),"")</f>
        <v/>
      </c>
      <c r="AKI1" s="2" t="str">
        <f>IFERROR(IF(AKI$3 = 1, Touchpoints!$C$2,IF(VLOOKUP(AKI$3,Touchpoints!$A:$C,3,FALSE)=VLOOKUP(AKH$3,Touchpoints!$A:$C,3,FALSE),"",IF(VLOOKUP(AKI$3,Touchpoints!$A:$C,3,FALSE)=0,"",VLOOKUP(AKI$3,Touchpoints!$A:$C,3,FALSE)))),"")</f>
        <v/>
      </c>
      <c r="AKJ1" s="2" t="str">
        <f>IFERROR(IF(AKJ$3 = 1, Touchpoints!$C$2,IF(VLOOKUP(AKJ$3,Touchpoints!$A:$C,3,FALSE)=VLOOKUP(AKI$3,Touchpoints!$A:$C,3,FALSE),"",IF(VLOOKUP(AKJ$3,Touchpoints!$A:$C,3,FALSE)=0,"",VLOOKUP(AKJ$3,Touchpoints!$A:$C,3,FALSE)))),"")</f>
        <v/>
      </c>
      <c r="AKK1" s="2" t="str">
        <f>IFERROR(IF(AKK$3 = 1, Touchpoints!$C$2,IF(VLOOKUP(AKK$3,Touchpoints!$A:$C,3,FALSE)=VLOOKUP(AKJ$3,Touchpoints!$A:$C,3,FALSE),"",IF(VLOOKUP(AKK$3,Touchpoints!$A:$C,3,FALSE)=0,"",VLOOKUP(AKK$3,Touchpoints!$A:$C,3,FALSE)))),"")</f>
        <v/>
      </c>
      <c r="AKL1" s="2" t="str">
        <f>IFERROR(IF(AKL$3 = 1, Touchpoints!$C$2,IF(VLOOKUP(AKL$3,Touchpoints!$A:$C,3,FALSE)=VLOOKUP(AKK$3,Touchpoints!$A:$C,3,FALSE),"",IF(VLOOKUP(AKL$3,Touchpoints!$A:$C,3,FALSE)=0,"",VLOOKUP(AKL$3,Touchpoints!$A:$C,3,FALSE)))),"")</f>
        <v/>
      </c>
      <c r="AKM1" s="2" t="str">
        <f>IFERROR(IF(AKM$3 = 1, Touchpoints!$C$2,IF(VLOOKUP(AKM$3,Touchpoints!$A:$C,3,FALSE)=VLOOKUP(AKL$3,Touchpoints!$A:$C,3,FALSE),"",IF(VLOOKUP(AKM$3,Touchpoints!$A:$C,3,FALSE)=0,"",VLOOKUP(AKM$3,Touchpoints!$A:$C,3,FALSE)))),"")</f>
        <v/>
      </c>
      <c r="AKN1" s="2" t="str">
        <f>IFERROR(IF(AKN$3 = 1, Touchpoints!$C$2,IF(VLOOKUP(AKN$3,Touchpoints!$A:$C,3,FALSE)=VLOOKUP(AKM$3,Touchpoints!$A:$C,3,FALSE),"",IF(VLOOKUP(AKN$3,Touchpoints!$A:$C,3,FALSE)=0,"",VLOOKUP(AKN$3,Touchpoints!$A:$C,3,FALSE)))),"")</f>
        <v/>
      </c>
      <c r="AKO1" s="2" t="str">
        <f>IFERROR(IF(AKO$3 = 1, Touchpoints!$C$2,IF(VLOOKUP(AKO$3,Touchpoints!$A:$C,3,FALSE)=VLOOKUP(AKN$3,Touchpoints!$A:$C,3,FALSE),"",IF(VLOOKUP(AKO$3,Touchpoints!$A:$C,3,FALSE)=0,"",VLOOKUP(AKO$3,Touchpoints!$A:$C,3,FALSE)))),"")</f>
        <v/>
      </c>
      <c r="AKP1" s="2" t="str">
        <f>IFERROR(IF(AKP$3 = 1, Touchpoints!$C$2,IF(VLOOKUP(AKP$3,Touchpoints!$A:$C,3,FALSE)=VLOOKUP(AKO$3,Touchpoints!$A:$C,3,FALSE),"",IF(VLOOKUP(AKP$3,Touchpoints!$A:$C,3,FALSE)=0,"",VLOOKUP(AKP$3,Touchpoints!$A:$C,3,FALSE)))),"")</f>
        <v/>
      </c>
      <c r="AKQ1" s="2" t="str">
        <f>IFERROR(IF(AKQ$3 = 1, Touchpoints!$C$2,IF(VLOOKUP(AKQ$3,Touchpoints!$A:$C,3,FALSE)=VLOOKUP(AKP$3,Touchpoints!$A:$C,3,FALSE),"",IF(VLOOKUP(AKQ$3,Touchpoints!$A:$C,3,FALSE)=0,"",VLOOKUP(AKQ$3,Touchpoints!$A:$C,3,FALSE)))),"")</f>
        <v/>
      </c>
      <c r="AKR1" s="2" t="str">
        <f>IFERROR(IF(AKR$3 = 1, Touchpoints!$C$2,IF(VLOOKUP(AKR$3,Touchpoints!$A:$C,3,FALSE)=VLOOKUP(AKQ$3,Touchpoints!$A:$C,3,FALSE),"",IF(VLOOKUP(AKR$3,Touchpoints!$A:$C,3,FALSE)=0,"",VLOOKUP(AKR$3,Touchpoints!$A:$C,3,FALSE)))),"")</f>
        <v/>
      </c>
      <c r="AKS1" s="2" t="str">
        <f>IFERROR(IF(AKS$3 = 1, Touchpoints!$C$2,IF(VLOOKUP(AKS$3,Touchpoints!$A:$C,3,FALSE)=VLOOKUP(AKR$3,Touchpoints!$A:$C,3,FALSE),"",IF(VLOOKUP(AKS$3,Touchpoints!$A:$C,3,FALSE)=0,"",VLOOKUP(AKS$3,Touchpoints!$A:$C,3,FALSE)))),"")</f>
        <v/>
      </c>
      <c r="AKT1" s="2" t="str">
        <f>IFERROR(IF(AKT$3 = 1, Touchpoints!$C$2,IF(VLOOKUP(AKT$3,Touchpoints!$A:$C,3,FALSE)=VLOOKUP(AKS$3,Touchpoints!$A:$C,3,FALSE),"",IF(VLOOKUP(AKT$3,Touchpoints!$A:$C,3,FALSE)=0,"",VLOOKUP(AKT$3,Touchpoints!$A:$C,3,FALSE)))),"")</f>
        <v/>
      </c>
      <c r="AKU1" s="2" t="str">
        <f>IFERROR(IF(AKU$3 = 1, Touchpoints!$C$2,IF(VLOOKUP(AKU$3,Touchpoints!$A:$C,3,FALSE)=VLOOKUP(AKT$3,Touchpoints!$A:$C,3,FALSE),"",IF(VLOOKUP(AKU$3,Touchpoints!$A:$C,3,FALSE)=0,"",VLOOKUP(AKU$3,Touchpoints!$A:$C,3,FALSE)))),"")</f>
        <v/>
      </c>
      <c r="AKV1" s="2" t="str">
        <f>IFERROR(IF(AKV$3 = 1, Touchpoints!$C$2,IF(VLOOKUP(AKV$3,Touchpoints!$A:$C,3,FALSE)=VLOOKUP(AKU$3,Touchpoints!$A:$C,3,FALSE),"",IF(VLOOKUP(AKV$3,Touchpoints!$A:$C,3,FALSE)=0,"",VLOOKUP(AKV$3,Touchpoints!$A:$C,3,FALSE)))),"")</f>
        <v/>
      </c>
      <c r="AKW1" s="2" t="str">
        <f>IFERROR(IF(AKW$3 = 1, Touchpoints!$C$2,IF(VLOOKUP(AKW$3,Touchpoints!$A:$C,3,FALSE)=VLOOKUP(AKV$3,Touchpoints!$A:$C,3,FALSE),"",IF(VLOOKUP(AKW$3,Touchpoints!$A:$C,3,FALSE)=0,"",VLOOKUP(AKW$3,Touchpoints!$A:$C,3,FALSE)))),"")</f>
        <v/>
      </c>
      <c r="AKX1" s="2" t="str">
        <f>IFERROR(IF(AKX$3 = 1, Touchpoints!$C$2,IF(VLOOKUP(AKX$3,Touchpoints!$A:$C,3,FALSE)=VLOOKUP(AKW$3,Touchpoints!$A:$C,3,FALSE),"",IF(VLOOKUP(AKX$3,Touchpoints!$A:$C,3,FALSE)=0,"",VLOOKUP(AKX$3,Touchpoints!$A:$C,3,FALSE)))),"")</f>
        <v/>
      </c>
      <c r="AKY1" s="2" t="str">
        <f>IFERROR(IF(AKY$3 = 1, Touchpoints!$C$2,IF(VLOOKUP(AKY$3,Touchpoints!$A:$C,3,FALSE)=VLOOKUP(AKX$3,Touchpoints!$A:$C,3,FALSE),"",IF(VLOOKUP(AKY$3,Touchpoints!$A:$C,3,FALSE)=0,"",VLOOKUP(AKY$3,Touchpoints!$A:$C,3,FALSE)))),"")</f>
        <v/>
      </c>
      <c r="AKZ1" s="2" t="str">
        <f>IFERROR(IF(AKZ$3 = 1, Touchpoints!$C$2,IF(VLOOKUP(AKZ$3,Touchpoints!$A:$C,3,FALSE)=VLOOKUP(AKY$3,Touchpoints!$A:$C,3,FALSE),"",IF(VLOOKUP(AKZ$3,Touchpoints!$A:$C,3,FALSE)=0,"",VLOOKUP(AKZ$3,Touchpoints!$A:$C,3,FALSE)))),"")</f>
        <v/>
      </c>
      <c r="ALA1" s="2" t="str">
        <f>IFERROR(IF(ALA$3 = 1, Touchpoints!$C$2,IF(VLOOKUP(ALA$3,Touchpoints!$A:$C,3,FALSE)=VLOOKUP(AKZ$3,Touchpoints!$A:$C,3,FALSE),"",IF(VLOOKUP(ALA$3,Touchpoints!$A:$C,3,FALSE)=0,"",VLOOKUP(ALA$3,Touchpoints!$A:$C,3,FALSE)))),"")</f>
        <v/>
      </c>
      <c r="ALB1" s="2" t="str">
        <f>IFERROR(IF(ALB$3 = 1, Touchpoints!$C$2,IF(VLOOKUP(ALB$3,Touchpoints!$A:$C,3,FALSE)=VLOOKUP(ALA$3,Touchpoints!$A:$C,3,FALSE),"",IF(VLOOKUP(ALB$3,Touchpoints!$A:$C,3,FALSE)=0,"",VLOOKUP(ALB$3,Touchpoints!$A:$C,3,FALSE)))),"")</f>
        <v/>
      </c>
      <c r="ALC1" s="2" t="str">
        <f>IFERROR(IF(ALC$3 = 1, Touchpoints!$C$2,IF(VLOOKUP(ALC$3,Touchpoints!$A:$C,3,FALSE)=VLOOKUP(ALB$3,Touchpoints!$A:$C,3,FALSE),"",IF(VLOOKUP(ALC$3,Touchpoints!$A:$C,3,FALSE)=0,"",VLOOKUP(ALC$3,Touchpoints!$A:$C,3,FALSE)))),"")</f>
        <v/>
      </c>
      <c r="ALD1" s="2" t="str">
        <f>IFERROR(IF(ALD$3 = 1, Touchpoints!$C$2,IF(VLOOKUP(ALD$3,Touchpoints!$A:$C,3,FALSE)=VLOOKUP(ALC$3,Touchpoints!$A:$C,3,FALSE),"",IF(VLOOKUP(ALD$3,Touchpoints!$A:$C,3,FALSE)=0,"",VLOOKUP(ALD$3,Touchpoints!$A:$C,3,FALSE)))),"")</f>
        <v/>
      </c>
      <c r="ALE1" s="2" t="str">
        <f>IFERROR(IF(ALE$3 = 1, Touchpoints!$C$2,IF(VLOOKUP(ALE$3,Touchpoints!$A:$C,3,FALSE)=VLOOKUP(ALD$3,Touchpoints!$A:$C,3,FALSE),"",IF(VLOOKUP(ALE$3,Touchpoints!$A:$C,3,FALSE)=0,"",VLOOKUP(ALE$3,Touchpoints!$A:$C,3,FALSE)))),"")</f>
        <v/>
      </c>
      <c r="ALF1" s="2" t="str">
        <f>IFERROR(IF(ALF$3 = 1, Touchpoints!$C$2,IF(VLOOKUP(ALF$3,Touchpoints!$A:$C,3,FALSE)=VLOOKUP(ALE$3,Touchpoints!$A:$C,3,FALSE),"",IF(VLOOKUP(ALF$3,Touchpoints!$A:$C,3,FALSE)=0,"",VLOOKUP(ALF$3,Touchpoints!$A:$C,3,FALSE)))),"")</f>
        <v/>
      </c>
      <c r="ALG1" s="2" t="str">
        <f>IFERROR(IF(ALG$3 = 1, Touchpoints!$C$2,IF(VLOOKUP(ALG$3,Touchpoints!$A:$C,3,FALSE)=VLOOKUP(ALF$3,Touchpoints!$A:$C,3,FALSE),"",IF(VLOOKUP(ALG$3,Touchpoints!$A:$C,3,FALSE)=0,"",VLOOKUP(ALG$3,Touchpoints!$A:$C,3,FALSE)))),"")</f>
        <v/>
      </c>
      <c r="ALH1" s="2" t="str">
        <f>IFERROR(IF(ALH$3 = 1, Touchpoints!$C$2,IF(VLOOKUP(ALH$3,Touchpoints!$A:$C,3,FALSE)=VLOOKUP(ALG$3,Touchpoints!$A:$C,3,FALSE),"",IF(VLOOKUP(ALH$3,Touchpoints!$A:$C,3,FALSE)=0,"",VLOOKUP(ALH$3,Touchpoints!$A:$C,3,FALSE)))),"")</f>
        <v/>
      </c>
      <c r="ALI1" s="2" t="str">
        <f>IFERROR(IF(ALI$3 = 1, Touchpoints!$C$2,IF(VLOOKUP(ALI$3,Touchpoints!$A:$C,3,FALSE)=VLOOKUP(ALH$3,Touchpoints!$A:$C,3,FALSE),"",IF(VLOOKUP(ALI$3,Touchpoints!$A:$C,3,FALSE)=0,"",VLOOKUP(ALI$3,Touchpoints!$A:$C,3,FALSE)))),"")</f>
        <v/>
      </c>
      <c r="ALJ1" s="2" t="str">
        <f>IFERROR(IF(ALJ$3 = 1, Touchpoints!$C$2,IF(VLOOKUP(ALJ$3,Touchpoints!$A:$C,3,FALSE)=VLOOKUP(ALI$3,Touchpoints!$A:$C,3,FALSE),"",IF(VLOOKUP(ALJ$3,Touchpoints!$A:$C,3,FALSE)=0,"",VLOOKUP(ALJ$3,Touchpoints!$A:$C,3,FALSE)))),"")</f>
        <v/>
      </c>
      <c r="ALK1" s="2" t="str">
        <f>IFERROR(IF(ALK$3 = 1, Touchpoints!$C$2,IF(VLOOKUP(ALK$3,Touchpoints!$A:$C,3,FALSE)=VLOOKUP(ALJ$3,Touchpoints!$A:$C,3,FALSE),"",IF(VLOOKUP(ALK$3,Touchpoints!$A:$C,3,FALSE)=0,"",VLOOKUP(ALK$3,Touchpoints!$A:$C,3,FALSE)))),"")</f>
        <v/>
      </c>
      <c r="ALL1" s="2" t="str">
        <f>IFERROR(IF(ALL$3 = 1, Touchpoints!$C$2,IF(VLOOKUP(ALL$3,Touchpoints!$A:$C,3,FALSE)=VLOOKUP(ALK$3,Touchpoints!$A:$C,3,FALSE),"",IF(VLOOKUP(ALL$3,Touchpoints!$A:$C,3,FALSE)=0,"",VLOOKUP(ALL$3,Touchpoints!$A:$C,3,FALSE)))),"")</f>
        <v/>
      </c>
      <c r="ALM1" s="2" t="str">
        <f>IFERROR(IF(ALM$3 = 1, Touchpoints!$C$2,IF(VLOOKUP(ALM$3,Touchpoints!$A:$C,3,FALSE)=VLOOKUP(ALL$3,Touchpoints!$A:$C,3,FALSE),"",IF(VLOOKUP(ALM$3,Touchpoints!$A:$C,3,FALSE)=0,"",VLOOKUP(ALM$3,Touchpoints!$A:$C,3,FALSE)))),"")</f>
        <v/>
      </c>
      <c r="ALN1" s="2" t="str">
        <f>IFERROR(IF(ALN$3 = 1, Touchpoints!$C$2,IF(VLOOKUP(ALN$3,Touchpoints!$A:$C,3,FALSE)=VLOOKUP(ALM$3,Touchpoints!$A:$C,3,FALSE),"",IF(VLOOKUP(ALN$3,Touchpoints!$A:$C,3,FALSE)=0,"",VLOOKUP(ALN$3,Touchpoints!$A:$C,3,FALSE)))),"")</f>
        <v/>
      </c>
    </row>
    <row r="2" spans="1:1002" s="2" customFormat="1" ht="15" x14ac:dyDescent="0.25">
      <c r="A2" s="2" t="s">
        <v>0</v>
      </c>
      <c r="B2" s="2" t="s">
        <v>1</v>
      </c>
      <c r="C2" s="2" t="str">
        <f>IFERROR(IF(VLOOKUP(C$3,Touchpoints!$A:$B,2,FALSE)=0,"",VLOOKUP(C$3,Touchpoints!$A:$B,2,FALSE)),"")</f>
        <v>Touchpoint description</v>
      </c>
      <c r="D2" s="2" t="str">
        <f>IFERROR(IF(VLOOKUP(D$3,Touchpoints!$A:$B,2,FALSE)=0,"",VLOOKUP(D$3,Touchpoints!$A:$B,2,FALSE)),"")</f>
        <v>Touchpoint description</v>
      </c>
      <c r="E2" s="2" t="str">
        <f>IFERROR(IF(VLOOKUP(E$3,Touchpoints!$A:$B,2,FALSE)=0,"",VLOOKUP(E$3,Touchpoints!$A:$B,2,FALSE)),"")</f>
        <v>Touchpoint description</v>
      </c>
      <c r="F2" s="2" t="str">
        <f>IFERROR(IF(VLOOKUP(F$3,Touchpoints!$A:$B,2,FALSE)=0,"",VLOOKUP(F$3,Touchpoints!$A:$B,2,FALSE)),"")</f>
        <v>Touchpoint description</v>
      </c>
      <c r="G2" s="2" t="str">
        <f>IFERROR(IF(VLOOKUP(G$3,Touchpoints!$A:$B,2,FALSE)=0,"",VLOOKUP(G$3,Touchpoints!$A:$B,2,FALSE)),"")</f>
        <v>Touchpoint description</v>
      </c>
      <c r="H2" s="2" t="str">
        <f>IFERROR(IF(VLOOKUP(H$3,Touchpoints!$A:$B,2,FALSE)=0,"",VLOOKUP(H$3,Touchpoints!$A:$B,2,FALSE)),"")</f>
        <v>Touchpoint description</v>
      </c>
      <c r="I2" s="2" t="str">
        <f>IFERROR(IF(VLOOKUP(I$3,Touchpoints!$A:$B,2,FALSE)=0,"",VLOOKUP(I$3,Touchpoints!$A:$B,2,FALSE)),"")</f>
        <v>Touchpoint description</v>
      </c>
      <c r="J2" s="2" t="str">
        <f>IFERROR(IF(VLOOKUP(J$3,Touchpoints!$A:$B,2,FALSE)=0,"",VLOOKUP(J$3,Touchpoints!$A:$B,2,FALSE)),"")</f>
        <v>Touchpoint description</v>
      </c>
      <c r="K2" s="2" t="str">
        <f>IFERROR(IF(VLOOKUP(K$3,Touchpoints!$A:$B,2,FALSE)=0,"",VLOOKUP(K$3,Touchpoints!$A:$B,2,FALSE)),"")</f>
        <v>Touchpoint description</v>
      </c>
      <c r="L2" s="2" t="str">
        <f>IFERROR(IF(VLOOKUP(L$3,Touchpoints!$A:$B,2,FALSE)=0,"",VLOOKUP(L$3,Touchpoints!$A:$B,2,FALSE)),"")</f>
        <v>Touchpoint description</v>
      </c>
      <c r="M2" s="2" t="str">
        <f>IFERROR(IF(VLOOKUP(M$3,Touchpoints!$A:$B,2,FALSE)=0,"",VLOOKUP(M$3,Touchpoints!$A:$B,2,FALSE)),"")</f>
        <v>Touchpoint description</v>
      </c>
      <c r="N2" s="2" t="str">
        <f>IFERROR(IF(VLOOKUP(N$3,Touchpoints!$A:$B,2,FALSE)=0,"",VLOOKUP(N$3,Touchpoints!$A:$B,2,FALSE)),"")</f>
        <v>Touchpoint description</v>
      </c>
      <c r="O2" s="2" t="str">
        <f>IFERROR(IF(VLOOKUP(O$3,Touchpoints!$A:$B,2,FALSE)=0,"",VLOOKUP(O$3,Touchpoints!$A:$B,2,FALSE)),"")</f>
        <v>Touchpoint description</v>
      </c>
      <c r="P2" s="2" t="str">
        <f>IFERROR(IF(VLOOKUP(P$3,Touchpoints!$A:$B,2,FALSE)=0,"",VLOOKUP(P$3,Touchpoints!$A:$B,2,FALSE)),"")</f>
        <v>Touchpoint description</v>
      </c>
      <c r="Q2" s="2" t="str">
        <f>IFERROR(IF(VLOOKUP(Q$3,Touchpoints!$A:$B,2,FALSE)=0,"",VLOOKUP(Q$3,Touchpoints!$A:$B,2,FALSE)),"")</f>
        <v>Touchpoint description</v>
      </c>
      <c r="R2" s="2" t="str">
        <f>IFERROR(IF(VLOOKUP(R$3,Touchpoints!$A:$B,2,FALSE)=0,"",VLOOKUP(R$3,Touchpoints!$A:$B,2,FALSE)),"")</f>
        <v>Touchpoint description</v>
      </c>
      <c r="S2" s="2" t="str">
        <f>IFERROR(IF(VLOOKUP(S$3,Touchpoints!$A:$B,2,FALSE)=0,"",VLOOKUP(S$3,Touchpoints!$A:$B,2,FALSE)),"")</f>
        <v>Touchpoint description</v>
      </c>
      <c r="T2" s="2" t="str">
        <f>IFERROR(IF(VLOOKUP(T$3,Touchpoints!$A:$B,2,FALSE)=0,"",VLOOKUP(T$3,Touchpoints!$A:$B,2,FALSE)),"")</f>
        <v>Touchpoint description</v>
      </c>
      <c r="U2" s="2" t="str">
        <f>IFERROR(IF(VLOOKUP(U$3,Touchpoints!$A:$B,2,FALSE)=0,"",VLOOKUP(U$3,Touchpoints!$A:$B,2,FALSE)),"")</f>
        <v>Touchpoint description</v>
      </c>
      <c r="V2" s="2" t="str">
        <f>IFERROR(IF(VLOOKUP(V$3,Touchpoints!$A:$B,2,FALSE)=0,"",VLOOKUP(V$3,Touchpoints!$A:$B,2,FALSE)),"")</f>
        <v>Touchpoint description</v>
      </c>
      <c r="W2" s="2" t="str">
        <f>IFERROR(IF(VLOOKUP(W$3,Touchpoints!$A:$B,2,FALSE)=0,"",VLOOKUP(W$3,Touchpoints!$A:$B,2,FALSE)),"")</f>
        <v>Touchpoint description</v>
      </c>
      <c r="X2" s="2" t="str">
        <f>IFERROR(IF(VLOOKUP(X$3,Touchpoints!$A:$B,2,FALSE)=0,"",VLOOKUP(X$3,Touchpoints!$A:$B,2,FALSE)),"")</f>
        <v>Touchpoint description</v>
      </c>
      <c r="Y2" s="2" t="str">
        <f>IFERROR(IF(VLOOKUP(Y$3,Touchpoints!$A:$B,2,FALSE)=0,"",VLOOKUP(Y$3,Touchpoints!$A:$B,2,FALSE)),"")</f>
        <v>Touchpoint description</v>
      </c>
      <c r="Z2" s="2" t="str">
        <f>IFERROR(IF(VLOOKUP(Z$3,Touchpoints!$A:$B,2,FALSE)=0,"",VLOOKUP(Z$3,Touchpoints!$A:$B,2,FALSE)),"")</f>
        <v>Touchpoint description</v>
      </c>
      <c r="AA2" s="2" t="str">
        <f>IFERROR(IF(VLOOKUP(AA$3,Touchpoints!$A:$B,2,FALSE)=0,"",VLOOKUP(AA$3,Touchpoints!$A:$B,2,FALSE)),"")</f>
        <v>Touchpoint description</v>
      </c>
      <c r="AB2" s="2" t="str">
        <f>IFERROR(IF(VLOOKUP(AB$3,Touchpoints!$A:$B,2,FALSE)=0,"",VLOOKUP(AB$3,Touchpoints!$A:$B,2,FALSE)),"")</f>
        <v>Touchpoint description</v>
      </c>
      <c r="AC2" s="2" t="str">
        <f>IFERROR(IF(VLOOKUP(AC$3,Touchpoints!$A:$B,2,FALSE)=0,"",VLOOKUP(AC$3,Touchpoints!$A:$B,2,FALSE)),"")</f>
        <v>Touchpoint description</v>
      </c>
      <c r="AD2" s="2" t="str">
        <f>IFERROR(IF(VLOOKUP(AD$3,Touchpoints!$A:$B,2,FALSE)=0,"",VLOOKUP(AD$3,Touchpoints!$A:$B,2,FALSE)),"")</f>
        <v>Touchpoint description</v>
      </c>
      <c r="AE2" s="2" t="str">
        <f>IFERROR(IF(VLOOKUP(AE$3,Touchpoints!$A:$B,2,FALSE)=0,"",VLOOKUP(AE$3,Touchpoints!$A:$B,2,FALSE)),"")</f>
        <v>Touchpoint description</v>
      </c>
      <c r="AF2" s="2" t="str">
        <f>IFERROR(IF(VLOOKUP(AF$3,Touchpoints!$A:$B,2,FALSE)=0,"",VLOOKUP(AF$3,Touchpoints!$A:$B,2,FALSE)),"")</f>
        <v>Touchpoint description</v>
      </c>
      <c r="AG2" s="2" t="str">
        <f>IFERROR(IF(VLOOKUP(AG$3,Touchpoints!$A:$B,2,FALSE)=0,"",VLOOKUP(AG$3,Touchpoints!$A:$B,2,FALSE)),"")</f>
        <v>Touchpoint description</v>
      </c>
      <c r="AH2" s="2" t="str">
        <f>IFERROR(IF(VLOOKUP(AH$3,Touchpoints!$A:$B,2,FALSE)=0,"",VLOOKUP(AH$3,Touchpoints!$A:$B,2,FALSE)),"")</f>
        <v>Touchpoint description</v>
      </c>
      <c r="AI2" s="2" t="str">
        <f>IFERROR(IF(VLOOKUP(AI$3,Touchpoints!$A:$B,2,FALSE)=0,"",VLOOKUP(AI$3,Touchpoints!$A:$B,2,FALSE)),"")</f>
        <v>Touchpoint description</v>
      </c>
      <c r="AJ2" s="2" t="str">
        <f>IFERROR(IF(VLOOKUP(AJ$3,Touchpoints!$A:$B,2,FALSE)=0,"",VLOOKUP(AJ$3,Touchpoints!$A:$B,2,FALSE)),"")</f>
        <v>Touchpoint description</v>
      </c>
      <c r="AK2" s="2" t="str">
        <f>IFERROR(IF(VLOOKUP(AK$3,Touchpoints!$A:$B,2,FALSE)=0,"",VLOOKUP(AK$3,Touchpoints!$A:$B,2,FALSE)),"")</f>
        <v>Touchpoint description</v>
      </c>
      <c r="AL2" s="2" t="str">
        <f>IFERROR(IF(VLOOKUP(AL$3,Touchpoints!$A:$B,2,FALSE)=0,"",VLOOKUP(AL$3,Touchpoints!$A:$B,2,FALSE)),"")</f>
        <v>Touchpoint description</v>
      </c>
      <c r="AM2" s="2" t="str">
        <f>IFERROR(IF(VLOOKUP(AM$3,Touchpoints!$A:$B,2,FALSE)=0,"",VLOOKUP(AM$3,Touchpoints!$A:$B,2,FALSE)),"")</f>
        <v>Touchpoint description</v>
      </c>
      <c r="AN2" s="2" t="str">
        <f>IFERROR(IF(VLOOKUP(AN$3,Touchpoints!$A:$B,2,FALSE)=0,"",VLOOKUP(AN$3,Touchpoints!$A:$B,2,FALSE)),"")</f>
        <v>Touchpoint description</v>
      </c>
      <c r="AO2" s="2" t="str">
        <f>IFERROR(IF(VLOOKUP(AO$3,Touchpoints!$A:$B,2,FALSE)=0,"",VLOOKUP(AO$3,Touchpoints!$A:$B,2,FALSE)),"")</f>
        <v>Touchpoint description</v>
      </c>
      <c r="AP2" s="2" t="str">
        <f>IFERROR(IF(VLOOKUP(AP$3,Touchpoints!$A:$B,2,FALSE)=0,"",VLOOKUP(AP$3,Touchpoints!$A:$B,2,FALSE)),"")</f>
        <v>Touchpoint description</v>
      </c>
      <c r="AQ2" s="2" t="str">
        <f>IFERROR(IF(VLOOKUP(AQ$3,Touchpoints!$A:$B,2,FALSE)=0,"",VLOOKUP(AQ$3,Touchpoints!$A:$B,2,FALSE)),"")</f>
        <v>Touchpoint description</v>
      </c>
      <c r="AR2" s="2" t="str">
        <f>IFERROR(IF(VLOOKUP(AR$3,Touchpoints!$A:$B,2,FALSE)=0,"",VLOOKUP(AR$3,Touchpoints!$A:$B,2,FALSE)),"")</f>
        <v>Touchpoint description</v>
      </c>
      <c r="AS2" s="2" t="str">
        <f>IFERROR(IF(VLOOKUP(AS$3,Touchpoints!$A:$B,2,FALSE)=0,"",VLOOKUP(AS$3,Touchpoints!$A:$B,2,FALSE)),"")</f>
        <v>Touchpoint description</v>
      </c>
      <c r="AT2" s="2" t="str">
        <f>IFERROR(IF(VLOOKUP(AT$3,Touchpoints!$A:$B,2,FALSE)=0,"",VLOOKUP(AT$3,Touchpoints!$A:$B,2,FALSE)),"")</f>
        <v>Touchpoint description</v>
      </c>
      <c r="AU2" s="2" t="str">
        <f>IFERROR(IF(VLOOKUP(AU$3,Touchpoints!$A:$B,2,FALSE)=0,"",VLOOKUP(AU$3,Touchpoints!$A:$B,2,FALSE)),"")</f>
        <v>Touchpoint description</v>
      </c>
      <c r="AV2" s="2" t="str">
        <f>IFERROR(IF(VLOOKUP(AV$3,Touchpoints!$A:$B,2,FALSE)=0,"",VLOOKUP(AV$3,Touchpoints!$A:$B,2,FALSE)),"")</f>
        <v>Touchpoint description</v>
      </c>
      <c r="AW2" s="2" t="str">
        <f>IFERROR(IF(VLOOKUP(AW$3,Touchpoints!$A:$B,2,FALSE)=0,"",VLOOKUP(AW$3,Touchpoints!$A:$B,2,FALSE)),"")</f>
        <v>Touchpoint description</v>
      </c>
      <c r="AX2" s="2" t="str">
        <f>IFERROR(IF(VLOOKUP(AX$3,Touchpoints!$A:$B,2,FALSE)=0,"",VLOOKUP(AX$3,Touchpoints!$A:$B,2,FALSE)),"")</f>
        <v>Touchpoint description</v>
      </c>
      <c r="AY2" s="2" t="str">
        <f>IFERROR(IF(VLOOKUP(AY$3,Touchpoints!$A:$B,2,FALSE)=0,"",VLOOKUP(AY$3,Touchpoints!$A:$B,2,FALSE)),"")</f>
        <v>Touchpoint description</v>
      </c>
      <c r="AZ2" s="2" t="str">
        <f>IFERROR(IF(VLOOKUP(AZ$3,Touchpoints!$A:$B,2,FALSE)=0,"",VLOOKUP(AZ$3,Touchpoints!$A:$B,2,FALSE)),"")</f>
        <v>Touchpoint description</v>
      </c>
      <c r="BA2" s="2" t="str">
        <f>IFERROR(IF(VLOOKUP(BA$3,Touchpoints!$A:$B,2,FALSE)=0,"",VLOOKUP(BA$3,Touchpoints!$A:$B,2,FALSE)),"")</f>
        <v>Touchpoint description</v>
      </c>
      <c r="BB2" s="2" t="str">
        <f>IFERROR(IF(VLOOKUP(BB$3,Touchpoints!$A:$B,2,FALSE)=0,"",VLOOKUP(BB$3,Touchpoints!$A:$B,2,FALSE)),"")</f>
        <v>Touchpoint description</v>
      </c>
      <c r="BC2" s="2" t="str">
        <f>IFERROR(IF(VLOOKUP(BC$3,Touchpoints!$A:$B,2,FALSE)=0,"",VLOOKUP(BC$3,Touchpoints!$A:$B,2,FALSE)),"")</f>
        <v>Touchpoint description</v>
      </c>
      <c r="BD2" s="2" t="str">
        <f>IFERROR(IF(VLOOKUP(BD$3,Touchpoints!$A:$B,2,FALSE)=0,"",VLOOKUP(BD$3,Touchpoints!$A:$B,2,FALSE)),"")</f>
        <v>Touchpoint description</v>
      </c>
      <c r="BE2" s="2" t="str">
        <f>IFERROR(IF(VLOOKUP(BE$3,Touchpoints!$A:$B,2,FALSE)=0,"",VLOOKUP(BE$3,Touchpoints!$A:$B,2,FALSE)),"")</f>
        <v>Touchpoint description</v>
      </c>
      <c r="BF2" s="2" t="str">
        <f>IFERROR(IF(VLOOKUP(BF$3,Touchpoints!$A:$B,2,FALSE)=0,"",VLOOKUP(BF$3,Touchpoints!$A:$B,2,FALSE)),"")</f>
        <v>Touchpoint description</v>
      </c>
      <c r="BG2" s="2" t="str">
        <f>IFERROR(IF(VLOOKUP(BG$3,Touchpoints!$A:$B,2,FALSE)=0,"",VLOOKUP(BG$3,Touchpoints!$A:$B,2,FALSE)),"")</f>
        <v>Touchpoint description</v>
      </c>
      <c r="BH2" s="2" t="str">
        <f>IFERROR(IF(VLOOKUP(BH$3,Touchpoints!$A:$B,2,FALSE)=0,"",VLOOKUP(BH$3,Touchpoints!$A:$B,2,FALSE)),"")</f>
        <v>Touchpoint description</v>
      </c>
      <c r="BI2" s="2" t="str">
        <f>IFERROR(IF(VLOOKUP(BI$3,Touchpoints!$A:$B,2,FALSE)=0,"",VLOOKUP(BI$3,Touchpoints!$A:$B,2,FALSE)),"")</f>
        <v>Touchpoint description</v>
      </c>
      <c r="BJ2" s="2" t="str">
        <f>IFERROR(IF(VLOOKUP(BJ$3,Touchpoints!$A:$B,2,FALSE)=0,"",VLOOKUP(BJ$3,Touchpoints!$A:$B,2,FALSE)),"")</f>
        <v>Touchpoint description</v>
      </c>
      <c r="BK2" s="2" t="str">
        <f>IFERROR(IF(VLOOKUP(BK$3,Touchpoints!$A:$B,2,FALSE)=0,"",VLOOKUP(BK$3,Touchpoints!$A:$B,2,FALSE)),"")</f>
        <v>Touchpoint description</v>
      </c>
      <c r="BL2" s="2" t="str">
        <f>IFERROR(IF(VLOOKUP(BL$3,Touchpoints!$A:$B,2,FALSE)=0,"",VLOOKUP(BL$3,Touchpoints!$A:$B,2,FALSE)),"")</f>
        <v>Touchpoint description</v>
      </c>
      <c r="BM2" s="2" t="str">
        <f>IFERROR(IF(VLOOKUP(BM$3,Touchpoints!$A:$B,2,FALSE)=0,"",VLOOKUP(BM$3,Touchpoints!$A:$B,2,FALSE)),"")</f>
        <v>Touchpoint description</v>
      </c>
      <c r="BN2" s="2" t="str">
        <f>IFERROR(IF(VLOOKUP(BN$3,Touchpoints!$A:$B,2,FALSE)=0,"",VLOOKUP(BN$3,Touchpoints!$A:$B,2,FALSE)),"")</f>
        <v>Touchpoint description</v>
      </c>
      <c r="BO2" s="2" t="str">
        <f>IFERROR(IF(VLOOKUP(BO$3,Touchpoints!$A:$B,2,FALSE)=0,"",VLOOKUP(BO$3,Touchpoints!$A:$B,2,FALSE)),"")</f>
        <v>Touchpoint description</v>
      </c>
      <c r="BP2" s="2" t="str">
        <f>IFERROR(IF(VLOOKUP(BP$3,Touchpoints!$A:$B,2,FALSE)=0,"",VLOOKUP(BP$3,Touchpoints!$A:$B,2,FALSE)),"")</f>
        <v>Touchpoint description</v>
      </c>
      <c r="BQ2" s="2" t="str">
        <f>IFERROR(IF(VLOOKUP(BQ$3,Touchpoints!$A:$B,2,FALSE)=0,"",VLOOKUP(BQ$3,Touchpoints!$A:$B,2,FALSE)),"")</f>
        <v>Touchpoint description</v>
      </c>
      <c r="BR2" s="2" t="str">
        <f>IFERROR(IF(VLOOKUP(BR$3,Touchpoints!$A:$B,2,FALSE)=0,"",VLOOKUP(BR$3,Touchpoints!$A:$B,2,FALSE)),"")</f>
        <v>Touchpoint description</v>
      </c>
      <c r="BS2" s="2" t="str">
        <f>IFERROR(IF(VLOOKUP(BS$3,Touchpoints!$A:$B,2,FALSE)=0,"",VLOOKUP(BS$3,Touchpoints!$A:$B,2,FALSE)),"")</f>
        <v>Touchpoint description</v>
      </c>
      <c r="BT2" s="2" t="str">
        <f>IFERROR(IF(VLOOKUP(BT$3,Touchpoints!$A:$B,2,FALSE)=0,"",VLOOKUP(BT$3,Touchpoints!$A:$B,2,FALSE)),"")</f>
        <v>Touchpoint description</v>
      </c>
      <c r="BU2" s="2" t="str">
        <f>IFERROR(IF(VLOOKUP(BU$3,Touchpoints!$A:$B,2,FALSE)=0,"",VLOOKUP(BU$3,Touchpoints!$A:$B,2,FALSE)),"")</f>
        <v>Touchpoint description</v>
      </c>
      <c r="BV2" s="2" t="str">
        <f>IFERROR(IF(VLOOKUP(BV$3,Touchpoints!$A:$B,2,FALSE)=0,"",VLOOKUP(BV$3,Touchpoints!$A:$B,2,FALSE)),"")</f>
        <v>Touchpoint description</v>
      </c>
      <c r="BW2" s="2" t="str">
        <f>IFERROR(IF(VLOOKUP(BW$3,Touchpoints!$A:$B,2,FALSE)=0,"",VLOOKUP(BW$3,Touchpoints!$A:$B,2,FALSE)),"")</f>
        <v>Touchpoint description</v>
      </c>
      <c r="BX2" s="2" t="str">
        <f>IFERROR(IF(VLOOKUP(BX$3,Touchpoints!$A:$B,2,FALSE)=0,"",VLOOKUP(BX$3,Touchpoints!$A:$B,2,FALSE)),"")</f>
        <v>Touchpoint description</v>
      </c>
      <c r="BY2" s="2" t="str">
        <f>IFERROR(IF(VLOOKUP(BY$3,Touchpoints!$A:$B,2,FALSE)=0,"",VLOOKUP(BY$3,Touchpoints!$A:$B,2,FALSE)),"")</f>
        <v>Touchpoint description</v>
      </c>
      <c r="BZ2" s="2" t="str">
        <f>IFERROR(IF(VLOOKUP(BZ$3,Touchpoints!$A:$B,2,FALSE)=0,"",VLOOKUP(BZ$3,Touchpoints!$A:$B,2,FALSE)),"")</f>
        <v>Touchpoint description</v>
      </c>
      <c r="CA2" s="2" t="str">
        <f>IFERROR(IF(VLOOKUP(CA$3,Touchpoints!$A:$B,2,FALSE)=0,"",VLOOKUP(CA$3,Touchpoints!$A:$B,2,FALSE)),"")</f>
        <v>Touchpoint description</v>
      </c>
      <c r="CB2" s="2" t="str">
        <f>IFERROR(IF(VLOOKUP(CB$3,Touchpoints!$A:$B,2,FALSE)=0,"",VLOOKUP(CB$3,Touchpoints!$A:$B,2,FALSE)),"")</f>
        <v>Touchpoint description</v>
      </c>
      <c r="CC2" s="2" t="str">
        <f>IFERROR(IF(VLOOKUP(CC$3,Touchpoints!$A:$B,2,FALSE)=0,"",VLOOKUP(CC$3,Touchpoints!$A:$B,2,FALSE)),"")</f>
        <v>Touchpoint description</v>
      </c>
      <c r="CD2" s="2" t="str">
        <f>IFERROR(IF(VLOOKUP(CD$3,Touchpoints!$A:$B,2,FALSE)=0,"",VLOOKUP(CD$3,Touchpoints!$A:$B,2,FALSE)),"")</f>
        <v>Touchpoint description</v>
      </c>
      <c r="CE2" s="2" t="str">
        <f>IFERROR(IF(VLOOKUP(CE$3,Touchpoints!$A:$B,2,FALSE)=0,"",VLOOKUP(CE$3,Touchpoints!$A:$B,2,FALSE)),"")</f>
        <v>Touchpoint description</v>
      </c>
      <c r="CF2" s="2" t="str">
        <f>IFERROR(IF(VLOOKUP(CF$3,Touchpoints!$A:$B,2,FALSE)=0,"",VLOOKUP(CF$3,Touchpoints!$A:$B,2,FALSE)),"")</f>
        <v>Touchpoint description</v>
      </c>
      <c r="CG2" s="2" t="str">
        <f>IFERROR(IF(VLOOKUP(CG$3,Touchpoints!$A:$B,2,FALSE)=0,"",VLOOKUP(CG$3,Touchpoints!$A:$B,2,FALSE)),"")</f>
        <v>Touchpoint description</v>
      </c>
      <c r="CH2" s="2" t="str">
        <f>IFERROR(IF(VLOOKUP(CH$3,Touchpoints!$A:$B,2,FALSE)=0,"",VLOOKUP(CH$3,Touchpoints!$A:$B,2,FALSE)),"")</f>
        <v>Touchpoint description</v>
      </c>
      <c r="CI2" s="2" t="str">
        <f>IFERROR(IF(VLOOKUP(CI$3,Touchpoints!$A:$B,2,FALSE)=0,"",VLOOKUP(CI$3,Touchpoints!$A:$B,2,FALSE)),"")</f>
        <v>Touchpoint description</v>
      </c>
      <c r="CJ2" s="2" t="str">
        <f>IFERROR(IF(VLOOKUP(CJ$3,Touchpoints!$A:$B,2,FALSE)=0,"",VLOOKUP(CJ$3,Touchpoints!$A:$B,2,FALSE)),"")</f>
        <v>Touchpoint description</v>
      </c>
      <c r="CK2" s="2" t="str">
        <f>IFERROR(IF(VLOOKUP(CK$3,Touchpoints!$A:$B,2,FALSE)=0,"",VLOOKUP(CK$3,Touchpoints!$A:$B,2,FALSE)),"")</f>
        <v>Touchpoint description</v>
      </c>
      <c r="CL2" s="2" t="str">
        <f>IFERROR(IF(VLOOKUP(CL$3,Touchpoints!$A:$B,2,FALSE)=0,"",VLOOKUP(CL$3,Touchpoints!$A:$B,2,FALSE)),"")</f>
        <v>Touchpoint description</v>
      </c>
      <c r="CM2" s="2" t="str">
        <f>IFERROR(IF(VLOOKUP(CM$3,Touchpoints!$A:$B,2,FALSE)=0,"",VLOOKUP(CM$3,Touchpoints!$A:$B,2,FALSE)),"")</f>
        <v>Touchpoint description</v>
      </c>
      <c r="CN2" s="2" t="str">
        <f>IFERROR(IF(VLOOKUP(CN$3,Touchpoints!$A:$B,2,FALSE)=0,"",VLOOKUP(CN$3,Touchpoints!$A:$B,2,FALSE)),"")</f>
        <v>Touchpoint description</v>
      </c>
      <c r="CO2" s="2" t="str">
        <f>IFERROR(IF(VLOOKUP(CO$3,Touchpoints!$A:$B,2,FALSE)=0,"",VLOOKUP(CO$3,Touchpoints!$A:$B,2,FALSE)),"")</f>
        <v>Touchpoint description</v>
      </c>
      <c r="CP2" s="2" t="str">
        <f>IFERROR(IF(VLOOKUP(CP$3,Touchpoints!$A:$B,2,FALSE)=0,"",VLOOKUP(CP$3,Touchpoints!$A:$B,2,FALSE)),"")</f>
        <v>Touchpoint description</v>
      </c>
      <c r="CQ2" s="2" t="str">
        <f>IFERROR(IF(VLOOKUP(CQ$3,Touchpoints!$A:$B,2,FALSE)=0,"",VLOOKUP(CQ$3,Touchpoints!$A:$B,2,FALSE)),"")</f>
        <v>Touchpoint description</v>
      </c>
      <c r="CR2" s="2" t="str">
        <f>IFERROR(IF(VLOOKUP(CR$3,Touchpoints!$A:$B,2,FALSE)=0,"",VLOOKUP(CR$3,Touchpoints!$A:$B,2,FALSE)),"")</f>
        <v>Touchpoint description</v>
      </c>
      <c r="CS2" s="2" t="str">
        <f>IFERROR(IF(VLOOKUP(CS$3,Touchpoints!$A:$B,2,FALSE)=0,"",VLOOKUP(CS$3,Touchpoints!$A:$B,2,FALSE)),"")</f>
        <v>Touchpoint description</v>
      </c>
      <c r="CT2" s="2" t="str">
        <f>IFERROR(IF(VLOOKUP(CT$3,Touchpoints!$A:$B,2,FALSE)=0,"",VLOOKUP(CT$3,Touchpoints!$A:$B,2,FALSE)),"")</f>
        <v>Touchpoint description</v>
      </c>
      <c r="CU2" s="2" t="str">
        <f>IFERROR(IF(VLOOKUP(CU$3,Touchpoints!$A:$B,2,FALSE)=0,"",VLOOKUP(CU$3,Touchpoints!$A:$B,2,FALSE)),"")</f>
        <v>Touchpoint description</v>
      </c>
      <c r="CV2" s="2" t="str">
        <f>IFERROR(IF(VLOOKUP(CV$3,Touchpoints!$A:$B,2,FALSE)=0,"",VLOOKUP(CV$3,Touchpoints!$A:$B,2,FALSE)),"")</f>
        <v>Touchpoint description</v>
      </c>
      <c r="CW2" s="2" t="str">
        <f>IFERROR(IF(VLOOKUP(CW$3,Touchpoints!$A:$B,2,FALSE)=0,"",VLOOKUP(CW$3,Touchpoints!$A:$B,2,FALSE)),"")</f>
        <v>Touchpoint description</v>
      </c>
      <c r="CX2" s="2" t="str">
        <f>IFERROR(IF(VLOOKUP(CX$3,Touchpoints!$A:$B,2,FALSE)=0,"",VLOOKUP(CX$3,Touchpoints!$A:$B,2,FALSE)),"")</f>
        <v>Touchpoint description</v>
      </c>
      <c r="CY2" s="2" t="str">
        <f>IFERROR(IF(VLOOKUP(CY$3,Touchpoints!$A:$B,2,FALSE)=0,"",VLOOKUP(CY$3,Touchpoints!$A:$B,2,FALSE)),"")</f>
        <v>Touchpoint description</v>
      </c>
      <c r="CZ2" s="2" t="str">
        <f>IFERROR(IF(VLOOKUP(CZ$3,Touchpoints!$A:$B,2,FALSE)=0,"",VLOOKUP(CZ$3,Touchpoints!$A:$B,2,FALSE)),"")</f>
        <v>Touchpoint description</v>
      </c>
      <c r="DA2" s="2" t="str">
        <f>IFERROR(IF(VLOOKUP(DA$3,Touchpoints!$A:$B,2,FALSE)=0,"",VLOOKUP(DA$3,Touchpoints!$A:$B,2,FALSE)),"")</f>
        <v>Touchpoint description</v>
      </c>
      <c r="DB2" s="2" t="str">
        <f>IFERROR(IF(VLOOKUP(DB$3,Touchpoints!$A:$B,2,FALSE)=0,"",VLOOKUP(DB$3,Touchpoints!$A:$B,2,FALSE)),"")</f>
        <v>Touchpoint description</v>
      </c>
      <c r="DC2" s="2" t="str">
        <f>IFERROR(IF(VLOOKUP(DC$3,Touchpoints!$A:$B,2,FALSE)=0,"",VLOOKUP(DC$3,Touchpoints!$A:$B,2,FALSE)),"")</f>
        <v/>
      </c>
      <c r="DD2" s="2" t="str">
        <f>IFERROR(IF(VLOOKUP(DD$3,Touchpoints!$A:$B,2,FALSE)=0,"",VLOOKUP(DD$3,Touchpoints!$A:$B,2,FALSE)),"")</f>
        <v/>
      </c>
      <c r="DE2" s="2" t="str">
        <f>IFERROR(IF(VLOOKUP(DE$3,Touchpoints!$A:$B,2,FALSE)=0,"",VLOOKUP(DE$3,Touchpoints!$A:$B,2,FALSE)),"")</f>
        <v/>
      </c>
      <c r="DF2" s="2" t="str">
        <f>IFERROR(IF(VLOOKUP(DF$3,Touchpoints!$A:$B,2,FALSE)=0,"",VLOOKUP(DF$3,Touchpoints!$A:$B,2,FALSE)),"")</f>
        <v/>
      </c>
      <c r="DG2" s="2" t="str">
        <f>IFERROR(IF(VLOOKUP(DG$3,Touchpoints!$A:$B,2,FALSE)=0,"",VLOOKUP(DG$3,Touchpoints!$A:$B,2,FALSE)),"")</f>
        <v/>
      </c>
      <c r="DH2" s="2" t="str">
        <f>IFERROR(IF(VLOOKUP(DH$3,Touchpoints!$A:$B,2,FALSE)=0,"",VLOOKUP(DH$3,Touchpoints!$A:$B,2,FALSE)),"")</f>
        <v/>
      </c>
      <c r="DI2" s="2" t="str">
        <f>IFERROR(IF(VLOOKUP(DI$3,Touchpoints!$A:$B,2,FALSE)=0,"",VLOOKUP(DI$3,Touchpoints!$A:$B,2,FALSE)),"")</f>
        <v/>
      </c>
      <c r="DJ2" s="2" t="str">
        <f>IFERROR(IF(VLOOKUP(DJ$3,Touchpoints!$A:$B,2,FALSE)=0,"",VLOOKUP(DJ$3,Touchpoints!$A:$B,2,FALSE)),"")</f>
        <v/>
      </c>
      <c r="DK2" s="2" t="str">
        <f>IFERROR(IF(VLOOKUP(DK$3,Touchpoints!$A:$B,2,FALSE)=0,"",VLOOKUP(DK$3,Touchpoints!$A:$B,2,FALSE)),"")</f>
        <v/>
      </c>
      <c r="DL2" s="2" t="str">
        <f>IFERROR(IF(VLOOKUP(DL$3,Touchpoints!$A:$B,2,FALSE)=0,"",VLOOKUP(DL$3,Touchpoints!$A:$B,2,FALSE)),"")</f>
        <v/>
      </c>
      <c r="DM2" s="2" t="str">
        <f>IFERROR(IF(VLOOKUP(DM$3,Touchpoints!$A:$B,2,FALSE)=0,"",VLOOKUP(DM$3,Touchpoints!$A:$B,2,FALSE)),"")</f>
        <v/>
      </c>
      <c r="DN2" s="2" t="str">
        <f>IFERROR(IF(VLOOKUP(DN$3,Touchpoints!$A:$B,2,FALSE)=0,"",VLOOKUP(DN$3,Touchpoints!$A:$B,2,FALSE)),"")</f>
        <v/>
      </c>
      <c r="DO2" s="2" t="str">
        <f>IFERROR(IF(VLOOKUP(DO$3,Touchpoints!$A:$B,2,FALSE)=0,"",VLOOKUP(DO$3,Touchpoints!$A:$B,2,FALSE)),"")</f>
        <v/>
      </c>
      <c r="DP2" s="2" t="str">
        <f>IFERROR(IF(VLOOKUP(DP$3,Touchpoints!$A:$B,2,FALSE)=0,"",VLOOKUP(DP$3,Touchpoints!$A:$B,2,FALSE)),"")</f>
        <v/>
      </c>
      <c r="DQ2" s="2" t="str">
        <f>IFERROR(IF(VLOOKUP(DQ$3,Touchpoints!$A:$B,2,FALSE)=0,"",VLOOKUP(DQ$3,Touchpoints!$A:$B,2,FALSE)),"")</f>
        <v/>
      </c>
      <c r="DR2" s="2" t="str">
        <f>IFERROR(IF(VLOOKUP(DR$3,Touchpoints!$A:$B,2,FALSE)=0,"",VLOOKUP(DR$3,Touchpoints!$A:$B,2,FALSE)),"")</f>
        <v/>
      </c>
      <c r="DS2" s="2" t="str">
        <f>IFERROR(IF(VLOOKUP(DS$3,Touchpoints!$A:$B,2,FALSE)=0,"",VLOOKUP(DS$3,Touchpoints!$A:$B,2,FALSE)),"")</f>
        <v/>
      </c>
      <c r="DT2" s="2" t="str">
        <f>IFERROR(IF(VLOOKUP(DT$3,Touchpoints!$A:$B,2,FALSE)=0,"",VLOOKUP(DT$3,Touchpoints!$A:$B,2,FALSE)),"")</f>
        <v/>
      </c>
      <c r="DU2" s="2" t="str">
        <f>IFERROR(IF(VLOOKUP(DU$3,Touchpoints!$A:$B,2,FALSE)=0,"",VLOOKUP(DU$3,Touchpoints!$A:$B,2,FALSE)),"")</f>
        <v/>
      </c>
      <c r="DV2" s="2" t="str">
        <f>IFERROR(IF(VLOOKUP(DV$3,Touchpoints!$A:$B,2,FALSE)=0,"",VLOOKUP(DV$3,Touchpoints!$A:$B,2,FALSE)),"")</f>
        <v/>
      </c>
      <c r="DW2" s="2" t="str">
        <f>IFERROR(IF(VLOOKUP(DW$3,Touchpoints!$A:$B,2,FALSE)=0,"",VLOOKUP(DW$3,Touchpoints!$A:$B,2,FALSE)),"")</f>
        <v/>
      </c>
      <c r="DX2" s="2" t="str">
        <f>IFERROR(IF(VLOOKUP(DX$3,Touchpoints!$A:$B,2,FALSE)=0,"",VLOOKUP(DX$3,Touchpoints!$A:$B,2,FALSE)),"")</f>
        <v/>
      </c>
      <c r="DY2" s="2" t="str">
        <f>IFERROR(IF(VLOOKUP(DY$3,Touchpoints!$A:$B,2,FALSE)=0,"",VLOOKUP(DY$3,Touchpoints!$A:$B,2,FALSE)),"")</f>
        <v/>
      </c>
      <c r="DZ2" s="2" t="str">
        <f>IFERROR(IF(VLOOKUP(DZ$3,Touchpoints!$A:$B,2,FALSE)=0,"",VLOOKUP(DZ$3,Touchpoints!$A:$B,2,FALSE)),"")</f>
        <v/>
      </c>
      <c r="EA2" s="2" t="str">
        <f>IFERROR(IF(VLOOKUP(EA$3,Touchpoints!$A:$B,2,FALSE)=0,"",VLOOKUP(EA$3,Touchpoints!$A:$B,2,FALSE)),"")</f>
        <v/>
      </c>
      <c r="EB2" s="2" t="str">
        <f>IFERROR(IF(VLOOKUP(EB$3,Touchpoints!$A:$B,2,FALSE)=0,"",VLOOKUP(EB$3,Touchpoints!$A:$B,2,FALSE)),"")</f>
        <v/>
      </c>
      <c r="EC2" s="2" t="str">
        <f>IFERROR(IF(VLOOKUP(EC$3,Touchpoints!$A:$B,2,FALSE)=0,"",VLOOKUP(EC$3,Touchpoints!$A:$B,2,FALSE)),"")</f>
        <v/>
      </c>
      <c r="ED2" s="2" t="str">
        <f>IFERROR(IF(VLOOKUP(ED$3,Touchpoints!$A:$B,2,FALSE)=0,"",VLOOKUP(ED$3,Touchpoints!$A:$B,2,FALSE)),"")</f>
        <v/>
      </c>
      <c r="EE2" s="2" t="str">
        <f>IFERROR(IF(VLOOKUP(EE$3,Touchpoints!$A:$B,2,FALSE)=0,"",VLOOKUP(EE$3,Touchpoints!$A:$B,2,FALSE)),"")</f>
        <v/>
      </c>
      <c r="EF2" s="2" t="str">
        <f>IFERROR(IF(VLOOKUP(EF$3,Touchpoints!$A:$B,2,FALSE)=0,"",VLOOKUP(EF$3,Touchpoints!$A:$B,2,FALSE)),"")</f>
        <v/>
      </c>
      <c r="EG2" s="2" t="str">
        <f>IFERROR(IF(VLOOKUP(EG$3,Touchpoints!$A:$B,2,FALSE)=0,"",VLOOKUP(EG$3,Touchpoints!$A:$B,2,FALSE)),"")</f>
        <v/>
      </c>
      <c r="EH2" s="2" t="str">
        <f>IFERROR(IF(VLOOKUP(EH$3,Touchpoints!$A:$B,2,FALSE)=0,"",VLOOKUP(EH$3,Touchpoints!$A:$B,2,FALSE)),"")</f>
        <v/>
      </c>
      <c r="EI2" s="2" t="str">
        <f>IFERROR(IF(VLOOKUP(EI$3,Touchpoints!$A:$B,2,FALSE)=0,"",VLOOKUP(EI$3,Touchpoints!$A:$B,2,FALSE)),"")</f>
        <v/>
      </c>
      <c r="EJ2" s="2" t="str">
        <f>IFERROR(IF(VLOOKUP(EJ$3,Touchpoints!$A:$B,2,FALSE)=0,"",VLOOKUP(EJ$3,Touchpoints!$A:$B,2,FALSE)),"")</f>
        <v/>
      </c>
      <c r="EK2" s="2" t="str">
        <f>IFERROR(IF(VLOOKUP(EK$3,Touchpoints!$A:$B,2,FALSE)=0,"",VLOOKUP(EK$3,Touchpoints!$A:$B,2,FALSE)),"")</f>
        <v/>
      </c>
      <c r="EL2" s="2" t="str">
        <f>IFERROR(IF(VLOOKUP(EL$3,Touchpoints!$A:$B,2,FALSE)=0,"",VLOOKUP(EL$3,Touchpoints!$A:$B,2,FALSE)),"")</f>
        <v/>
      </c>
      <c r="EM2" s="2" t="str">
        <f>IFERROR(IF(VLOOKUP(EM$3,Touchpoints!$A:$B,2,FALSE)=0,"",VLOOKUP(EM$3,Touchpoints!$A:$B,2,FALSE)),"")</f>
        <v/>
      </c>
      <c r="EN2" s="2" t="str">
        <f>IFERROR(IF(VLOOKUP(EN$3,Touchpoints!$A:$B,2,FALSE)=0,"",VLOOKUP(EN$3,Touchpoints!$A:$B,2,FALSE)),"")</f>
        <v/>
      </c>
      <c r="EO2" s="2" t="str">
        <f>IFERROR(IF(VLOOKUP(EO$3,Touchpoints!$A:$B,2,FALSE)=0,"",VLOOKUP(EO$3,Touchpoints!$A:$B,2,FALSE)),"")</f>
        <v/>
      </c>
      <c r="EP2" s="2" t="str">
        <f>IFERROR(IF(VLOOKUP(EP$3,Touchpoints!$A:$B,2,FALSE)=0,"",VLOOKUP(EP$3,Touchpoints!$A:$B,2,FALSE)),"")</f>
        <v/>
      </c>
      <c r="EQ2" s="2" t="str">
        <f>IFERROR(IF(VLOOKUP(EQ$3,Touchpoints!$A:$B,2,FALSE)=0,"",VLOOKUP(EQ$3,Touchpoints!$A:$B,2,FALSE)),"")</f>
        <v/>
      </c>
      <c r="ER2" s="2" t="str">
        <f>IFERROR(IF(VLOOKUP(ER$3,Touchpoints!$A:$B,2,FALSE)=0,"",VLOOKUP(ER$3,Touchpoints!$A:$B,2,FALSE)),"")</f>
        <v/>
      </c>
      <c r="ES2" s="2" t="str">
        <f>IFERROR(IF(VLOOKUP(ES$3,Touchpoints!$A:$B,2,FALSE)=0,"",VLOOKUP(ES$3,Touchpoints!$A:$B,2,FALSE)),"")</f>
        <v/>
      </c>
      <c r="ET2" s="2" t="str">
        <f>IFERROR(IF(VLOOKUP(ET$3,Touchpoints!$A:$B,2,FALSE)=0,"",VLOOKUP(ET$3,Touchpoints!$A:$B,2,FALSE)),"")</f>
        <v/>
      </c>
      <c r="EU2" s="2" t="str">
        <f>IFERROR(IF(VLOOKUP(EU$3,Touchpoints!$A:$B,2,FALSE)=0,"",VLOOKUP(EU$3,Touchpoints!$A:$B,2,FALSE)),"")</f>
        <v/>
      </c>
      <c r="EV2" s="2" t="str">
        <f>IFERROR(IF(VLOOKUP(EV$3,Touchpoints!$A:$B,2,FALSE)=0,"",VLOOKUP(EV$3,Touchpoints!$A:$B,2,FALSE)),"")</f>
        <v/>
      </c>
      <c r="EW2" s="2" t="str">
        <f>IFERROR(IF(VLOOKUP(EW$3,Touchpoints!$A:$B,2,FALSE)=0,"",VLOOKUP(EW$3,Touchpoints!$A:$B,2,FALSE)),"")</f>
        <v/>
      </c>
      <c r="EX2" s="2" t="str">
        <f>IFERROR(IF(VLOOKUP(EX$3,Touchpoints!$A:$B,2,FALSE)=0,"",VLOOKUP(EX$3,Touchpoints!$A:$B,2,FALSE)),"")</f>
        <v/>
      </c>
      <c r="EY2" s="2" t="str">
        <f>IFERROR(IF(VLOOKUP(EY$3,Touchpoints!$A:$B,2,FALSE)=0,"",VLOOKUP(EY$3,Touchpoints!$A:$B,2,FALSE)),"")</f>
        <v/>
      </c>
      <c r="EZ2" s="2" t="str">
        <f>IFERROR(IF(VLOOKUP(EZ$3,Touchpoints!$A:$B,2,FALSE)=0,"",VLOOKUP(EZ$3,Touchpoints!$A:$B,2,FALSE)),"")</f>
        <v/>
      </c>
      <c r="FA2" s="2" t="str">
        <f>IFERROR(IF(VLOOKUP(FA$3,Touchpoints!$A:$B,2,FALSE)=0,"",VLOOKUP(FA$3,Touchpoints!$A:$B,2,FALSE)),"")</f>
        <v/>
      </c>
      <c r="FB2" s="2" t="str">
        <f>IFERROR(IF(VLOOKUP(FB$3,Touchpoints!$A:$B,2,FALSE)=0,"",VLOOKUP(FB$3,Touchpoints!$A:$B,2,FALSE)),"")</f>
        <v/>
      </c>
      <c r="FC2" s="2" t="str">
        <f>IFERROR(IF(VLOOKUP(FC$3,Touchpoints!$A:$B,2,FALSE)=0,"",VLOOKUP(FC$3,Touchpoints!$A:$B,2,FALSE)),"")</f>
        <v/>
      </c>
      <c r="FD2" s="2" t="str">
        <f>IFERROR(IF(VLOOKUP(FD$3,Touchpoints!$A:$B,2,FALSE)=0,"",VLOOKUP(FD$3,Touchpoints!$A:$B,2,FALSE)),"")</f>
        <v/>
      </c>
      <c r="FE2" s="2" t="str">
        <f>IFERROR(IF(VLOOKUP(FE$3,Touchpoints!$A:$B,2,FALSE)=0,"",VLOOKUP(FE$3,Touchpoints!$A:$B,2,FALSE)),"")</f>
        <v/>
      </c>
      <c r="FF2" s="2" t="str">
        <f>IFERROR(IF(VLOOKUP(FF$3,Touchpoints!$A:$B,2,FALSE)=0,"",VLOOKUP(FF$3,Touchpoints!$A:$B,2,FALSE)),"")</f>
        <v/>
      </c>
      <c r="FG2" s="2" t="str">
        <f>IFERROR(IF(VLOOKUP(FG$3,Touchpoints!$A:$B,2,FALSE)=0,"",VLOOKUP(FG$3,Touchpoints!$A:$B,2,FALSE)),"")</f>
        <v/>
      </c>
      <c r="FH2" s="2" t="str">
        <f>IFERROR(IF(VLOOKUP(FH$3,Touchpoints!$A:$B,2,FALSE)=0,"",VLOOKUP(FH$3,Touchpoints!$A:$B,2,FALSE)),"")</f>
        <v/>
      </c>
      <c r="FI2" s="2" t="str">
        <f>IFERROR(IF(VLOOKUP(FI$3,Touchpoints!$A:$B,2,FALSE)=0,"",VLOOKUP(FI$3,Touchpoints!$A:$B,2,FALSE)),"")</f>
        <v/>
      </c>
      <c r="FJ2" s="2" t="str">
        <f>IFERROR(IF(VLOOKUP(FJ$3,Touchpoints!$A:$B,2,FALSE)=0,"",VLOOKUP(FJ$3,Touchpoints!$A:$B,2,FALSE)),"")</f>
        <v/>
      </c>
      <c r="FK2" s="2" t="str">
        <f>IFERROR(IF(VLOOKUP(FK$3,Touchpoints!$A:$B,2,FALSE)=0,"",VLOOKUP(FK$3,Touchpoints!$A:$B,2,FALSE)),"")</f>
        <v/>
      </c>
      <c r="FL2" s="2" t="str">
        <f>IFERROR(IF(VLOOKUP(FL$3,Touchpoints!$A:$B,2,FALSE)=0,"",VLOOKUP(FL$3,Touchpoints!$A:$B,2,FALSE)),"")</f>
        <v/>
      </c>
      <c r="FM2" s="2" t="str">
        <f>IFERROR(IF(VLOOKUP(FM$3,Touchpoints!$A:$B,2,FALSE)=0,"",VLOOKUP(FM$3,Touchpoints!$A:$B,2,FALSE)),"")</f>
        <v/>
      </c>
      <c r="FN2" s="2" t="str">
        <f>IFERROR(IF(VLOOKUP(FN$3,Touchpoints!$A:$B,2,FALSE)=0,"",VLOOKUP(FN$3,Touchpoints!$A:$B,2,FALSE)),"")</f>
        <v/>
      </c>
      <c r="FO2" s="2" t="str">
        <f>IFERROR(IF(VLOOKUP(FO$3,Touchpoints!$A:$B,2,FALSE)=0,"",VLOOKUP(FO$3,Touchpoints!$A:$B,2,FALSE)),"")</f>
        <v/>
      </c>
      <c r="FP2" s="2" t="str">
        <f>IFERROR(IF(VLOOKUP(FP$3,Touchpoints!$A:$B,2,FALSE)=0,"",VLOOKUP(FP$3,Touchpoints!$A:$B,2,FALSE)),"")</f>
        <v/>
      </c>
      <c r="FQ2" s="2" t="str">
        <f>IFERROR(IF(VLOOKUP(FQ$3,Touchpoints!$A:$B,2,FALSE)=0,"",VLOOKUP(FQ$3,Touchpoints!$A:$B,2,FALSE)),"")</f>
        <v/>
      </c>
      <c r="FR2" s="2" t="str">
        <f>IFERROR(IF(VLOOKUP(FR$3,Touchpoints!$A:$B,2,FALSE)=0,"",VLOOKUP(FR$3,Touchpoints!$A:$B,2,FALSE)),"")</f>
        <v/>
      </c>
      <c r="FS2" s="2" t="str">
        <f>IFERROR(IF(VLOOKUP(FS$3,Touchpoints!$A:$B,2,FALSE)=0,"",VLOOKUP(FS$3,Touchpoints!$A:$B,2,FALSE)),"")</f>
        <v/>
      </c>
      <c r="FT2" s="2" t="str">
        <f>IFERROR(IF(VLOOKUP(FT$3,Touchpoints!$A:$B,2,FALSE)=0,"",VLOOKUP(FT$3,Touchpoints!$A:$B,2,FALSE)),"")</f>
        <v/>
      </c>
      <c r="FU2" s="2" t="str">
        <f>IFERROR(IF(VLOOKUP(FU$3,Touchpoints!$A:$B,2,FALSE)=0,"",VLOOKUP(FU$3,Touchpoints!$A:$B,2,FALSE)),"")</f>
        <v/>
      </c>
      <c r="FV2" s="2" t="str">
        <f>IFERROR(IF(VLOOKUP(FV$3,Touchpoints!$A:$B,2,FALSE)=0,"",VLOOKUP(FV$3,Touchpoints!$A:$B,2,FALSE)),"")</f>
        <v/>
      </c>
      <c r="FW2" s="2" t="str">
        <f>IFERROR(IF(VLOOKUP(FW$3,Touchpoints!$A:$B,2,FALSE)=0,"",VLOOKUP(FW$3,Touchpoints!$A:$B,2,FALSE)),"")</f>
        <v/>
      </c>
      <c r="FX2" s="2" t="str">
        <f>IFERROR(IF(VLOOKUP(FX$3,Touchpoints!$A:$B,2,FALSE)=0,"",VLOOKUP(FX$3,Touchpoints!$A:$B,2,FALSE)),"")</f>
        <v/>
      </c>
      <c r="FY2" s="2" t="str">
        <f>IFERROR(IF(VLOOKUP(FY$3,Touchpoints!$A:$B,2,FALSE)=0,"",VLOOKUP(FY$3,Touchpoints!$A:$B,2,FALSE)),"")</f>
        <v/>
      </c>
      <c r="FZ2" s="2" t="str">
        <f>IFERROR(IF(VLOOKUP(FZ$3,Touchpoints!$A:$B,2,FALSE)=0,"",VLOOKUP(FZ$3,Touchpoints!$A:$B,2,FALSE)),"")</f>
        <v/>
      </c>
      <c r="GA2" s="2" t="str">
        <f>IFERROR(IF(VLOOKUP(GA$3,Touchpoints!$A:$B,2,FALSE)=0,"",VLOOKUP(GA$3,Touchpoints!$A:$B,2,FALSE)),"")</f>
        <v/>
      </c>
      <c r="GB2" s="2" t="str">
        <f>IFERROR(IF(VLOOKUP(GB$3,Touchpoints!$A:$B,2,FALSE)=0,"",VLOOKUP(GB$3,Touchpoints!$A:$B,2,FALSE)),"")</f>
        <v/>
      </c>
      <c r="GC2" s="2" t="str">
        <f>IFERROR(IF(VLOOKUP(GC$3,Touchpoints!$A:$B,2,FALSE)=0,"",VLOOKUP(GC$3,Touchpoints!$A:$B,2,FALSE)),"")</f>
        <v/>
      </c>
      <c r="GD2" s="2" t="str">
        <f>IFERROR(IF(VLOOKUP(GD$3,Touchpoints!$A:$B,2,FALSE)=0,"",VLOOKUP(GD$3,Touchpoints!$A:$B,2,FALSE)),"")</f>
        <v/>
      </c>
      <c r="GE2" s="2" t="str">
        <f>IFERROR(IF(VLOOKUP(GE$3,Touchpoints!$A:$B,2,FALSE)=0,"",VLOOKUP(GE$3,Touchpoints!$A:$B,2,FALSE)),"")</f>
        <v/>
      </c>
      <c r="GF2" s="2" t="str">
        <f>IFERROR(IF(VLOOKUP(GF$3,Touchpoints!$A:$B,2,FALSE)=0,"",VLOOKUP(GF$3,Touchpoints!$A:$B,2,FALSE)),"")</f>
        <v/>
      </c>
      <c r="GG2" s="2" t="str">
        <f>IFERROR(IF(VLOOKUP(GG$3,Touchpoints!$A:$B,2,FALSE)=0,"",VLOOKUP(GG$3,Touchpoints!$A:$B,2,FALSE)),"")</f>
        <v/>
      </c>
      <c r="GH2" s="2" t="str">
        <f>IFERROR(IF(VLOOKUP(GH$3,Touchpoints!$A:$B,2,FALSE)=0,"",VLOOKUP(GH$3,Touchpoints!$A:$B,2,FALSE)),"")</f>
        <v/>
      </c>
      <c r="GI2" s="2" t="str">
        <f>IFERROR(IF(VLOOKUP(GI$3,Touchpoints!$A:$B,2,FALSE)=0,"",VLOOKUP(GI$3,Touchpoints!$A:$B,2,FALSE)),"")</f>
        <v/>
      </c>
      <c r="GJ2" s="2" t="str">
        <f>IFERROR(IF(VLOOKUP(GJ$3,Touchpoints!$A:$B,2,FALSE)=0,"",VLOOKUP(GJ$3,Touchpoints!$A:$B,2,FALSE)),"")</f>
        <v/>
      </c>
      <c r="GK2" s="2" t="str">
        <f>IFERROR(IF(VLOOKUP(GK$3,Touchpoints!$A:$B,2,FALSE)=0,"",VLOOKUP(GK$3,Touchpoints!$A:$B,2,FALSE)),"")</f>
        <v/>
      </c>
      <c r="GL2" s="2" t="str">
        <f>IFERROR(IF(VLOOKUP(GL$3,Touchpoints!$A:$B,2,FALSE)=0,"",VLOOKUP(GL$3,Touchpoints!$A:$B,2,FALSE)),"")</f>
        <v/>
      </c>
      <c r="GM2" s="2" t="str">
        <f>IFERROR(IF(VLOOKUP(GM$3,Touchpoints!$A:$B,2,FALSE)=0,"",VLOOKUP(GM$3,Touchpoints!$A:$B,2,FALSE)),"")</f>
        <v/>
      </c>
      <c r="GN2" s="2" t="str">
        <f>IFERROR(IF(VLOOKUP(GN$3,Touchpoints!$A:$B,2,FALSE)=0,"",VLOOKUP(GN$3,Touchpoints!$A:$B,2,FALSE)),"")</f>
        <v/>
      </c>
      <c r="GO2" s="2" t="str">
        <f>IFERROR(IF(VLOOKUP(GO$3,Touchpoints!$A:$B,2,FALSE)=0,"",VLOOKUP(GO$3,Touchpoints!$A:$B,2,FALSE)),"")</f>
        <v/>
      </c>
      <c r="GP2" s="2" t="str">
        <f>IFERROR(IF(VLOOKUP(GP$3,Touchpoints!$A:$B,2,FALSE)=0,"",VLOOKUP(GP$3,Touchpoints!$A:$B,2,FALSE)),"")</f>
        <v/>
      </c>
      <c r="GQ2" s="2" t="str">
        <f>IFERROR(IF(VLOOKUP(GQ$3,Touchpoints!$A:$B,2,FALSE)=0,"",VLOOKUP(GQ$3,Touchpoints!$A:$B,2,FALSE)),"")</f>
        <v/>
      </c>
      <c r="GR2" s="2" t="str">
        <f>IFERROR(IF(VLOOKUP(GR$3,Touchpoints!$A:$B,2,FALSE)=0,"",VLOOKUP(GR$3,Touchpoints!$A:$B,2,FALSE)),"")</f>
        <v/>
      </c>
      <c r="GS2" s="2" t="str">
        <f>IFERROR(IF(VLOOKUP(GS$3,Touchpoints!$A:$B,2,FALSE)=0,"",VLOOKUP(GS$3,Touchpoints!$A:$B,2,FALSE)),"")</f>
        <v/>
      </c>
      <c r="GT2" s="2" t="str">
        <f>IFERROR(IF(VLOOKUP(GT$3,Touchpoints!$A:$B,2,FALSE)=0,"",VLOOKUP(GT$3,Touchpoints!$A:$B,2,FALSE)),"")</f>
        <v/>
      </c>
      <c r="GU2" s="2" t="str">
        <f>IFERROR(IF(VLOOKUP(GU$3,Touchpoints!$A:$B,2,FALSE)=0,"",VLOOKUP(GU$3,Touchpoints!$A:$B,2,FALSE)),"")</f>
        <v/>
      </c>
      <c r="GV2" s="2" t="str">
        <f>IFERROR(IF(VLOOKUP(GV$3,Touchpoints!$A:$B,2,FALSE)=0,"",VLOOKUP(GV$3,Touchpoints!$A:$B,2,FALSE)),"")</f>
        <v/>
      </c>
      <c r="GW2" s="2" t="str">
        <f>IFERROR(IF(VLOOKUP(GW$3,Touchpoints!$A:$B,2,FALSE)=0,"",VLOOKUP(GW$3,Touchpoints!$A:$B,2,FALSE)),"")</f>
        <v/>
      </c>
      <c r="GX2" s="2" t="str">
        <f>IFERROR(IF(VLOOKUP(GX$3,Touchpoints!$A:$B,2,FALSE)=0,"",VLOOKUP(GX$3,Touchpoints!$A:$B,2,FALSE)),"")</f>
        <v/>
      </c>
      <c r="GY2" s="2" t="str">
        <f>IFERROR(IF(VLOOKUP(GY$3,Touchpoints!$A:$B,2,FALSE)=0,"",VLOOKUP(GY$3,Touchpoints!$A:$B,2,FALSE)),"")</f>
        <v/>
      </c>
      <c r="GZ2" s="2" t="str">
        <f>IFERROR(IF(VLOOKUP(GZ$3,Touchpoints!$A:$B,2,FALSE)=0,"",VLOOKUP(GZ$3,Touchpoints!$A:$B,2,FALSE)),"")</f>
        <v/>
      </c>
      <c r="HA2" s="2" t="str">
        <f>IFERROR(IF(VLOOKUP(HA$3,Touchpoints!$A:$B,2,FALSE)=0,"",VLOOKUP(HA$3,Touchpoints!$A:$B,2,FALSE)),"")</f>
        <v/>
      </c>
      <c r="HB2" s="2" t="str">
        <f>IFERROR(IF(VLOOKUP(HB$3,Touchpoints!$A:$B,2,FALSE)=0,"",VLOOKUP(HB$3,Touchpoints!$A:$B,2,FALSE)),"")</f>
        <v/>
      </c>
      <c r="HC2" s="2" t="str">
        <f>IFERROR(IF(VLOOKUP(HC$3,Touchpoints!$A:$B,2,FALSE)=0,"",VLOOKUP(HC$3,Touchpoints!$A:$B,2,FALSE)),"")</f>
        <v/>
      </c>
      <c r="HD2" s="2" t="str">
        <f>IFERROR(IF(VLOOKUP(HD$3,Touchpoints!$A:$B,2,FALSE)=0,"",VLOOKUP(HD$3,Touchpoints!$A:$B,2,FALSE)),"")</f>
        <v/>
      </c>
      <c r="HE2" s="2" t="str">
        <f>IFERROR(IF(VLOOKUP(HE$3,Touchpoints!$A:$B,2,FALSE)=0,"",VLOOKUP(HE$3,Touchpoints!$A:$B,2,FALSE)),"")</f>
        <v/>
      </c>
      <c r="HF2" s="2" t="str">
        <f>IFERROR(IF(VLOOKUP(HF$3,Touchpoints!$A:$B,2,FALSE)=0,"",VLOOKUP(HF$3,Touchpoints!$A:$B,2,FALSE)),"")</f>
        <v/>
      </c>
      <c r="HG2" s="2" t="str">
        <f>IFERROR(IF(VLOOKUP(HG$3,Touchpoints!$A:$B,2,FALSE)=0,"",VLOOKUP(HG$3,Touchpoints!$A:$B,2,FALSE)),"")</f>
        <v/>
      </c>
      <c r="HH2" s="2" t="str">
        <f>IFERROR(IF(VLOOKUP(HH$3,Touchpoints!$A:$B,2,FALSE)=0,"",VLOOKUP(HH$3,Touchpoints!$A:$B,2,FALSE)),"")</f>
        <v/>
      </c>
      <c r="HI2" s="2" t="str">
        <f>IFERROR(IF(VLOOKUP(HI$3,Touchpoints!$A:$B,2,FALSE)=0,"",VLOOKUP(HI$3,Touchpoints!$A:$B,2,FALSE)),"")</f>
        <v/>
      </c>
      <c r="HJ2" s="2" t="str">
        <f>IFERROR(IF(VLOOKUP(HJ$3,Touchpoints!$A:$B,2,FALSE)=0,"",VLOOKUP(HJ$3,Touchpoints!$A:$B,2,FALSE)),"")</f>
        <v/>
      </c>
      <c r="HK2" s="2" t="str">
        <f>IFERROR(IF(VLOOKUP(HK$3,Touchpoints!$A:$B,2,FALSE)=0,"",VLOOKUP(HK$3,Touchpoints!$A:$B,2,FALSE)),"")</f>
        <v/>
      </c>
      <c r="HL2" s="2" t="str">
        <f>IFERROR(IF(VLOOKUP(HL$3,Touchpoints!$A:$B,2,FALSE)=0,"",VLOOKUP(HL$3,Touchpoints!$A:$B,2,FALSE)),"")</f>
        <v/>
      </c>
      <c r="HM2" s="2" t="str">
        <f>IFERROR(IF(VLOOKUP(HM$3,Touchpoints!$A:$B,2,FALSE)=0,"",VLOOKUP(HM$3,Touchpoints!$A:$B,2,FALSE)),"")</f>
        <v/>
      </c>
      <c r="HN2" s="2" t="str">
        <f>IFERROR(IF(VLOOKUP(HN$3,Touchpoints!$A:$B,2,FALSE)=0,"",VLOOKUP(HN$3,Touchpoints!$A:$B,2,FALSE)),"")</f>
        <v/>
      </c>
      <c r="HO2" s="2" t="str">
        <f>IFERROR(IF(VLOOKUP(HO$3,Touchpoints!$A:$B,2,FALSE)=0,"",VLOOKUP(HO$3,Touchpoints!$A:$B,2,FALSE)),"")</f>
        <v/>
      </c>
      <c r="HP2" s="2" t="str">
        <f>IFERROR(IF(VLOOKUP(HP$3,Touchpoints!$A:$B,2,FALSE)=0,"",VLOOKUP(HP$3,Touchpoints!$A:$B,2,FALSE)),"")</f>
        <v/>
      </c>
      <c r="HQ2" s="2" t="str">
        <f>IFERROR(IF(VLOOKUP(HQ$3,Touchpoints!$A:$B,2,FALSE)=0,"",VLOOKUP(HQ$3,Touchpoints!$A:$B,2,FALSE)),"")</f>
        <v/>
      </c>
      <c r="HR2" s="2" t="str">
        <f>IFERROR(IF(VLOOKUP(HR$3,Touchpoints!$A:$B,2,FALSE)=0,"",VLOOKUP(HR$3,Touchpoints!$A:$B,2,FALSE)),"")</f>
        <v/>
      </c>
      <c r="HS2" s="2" t="str">
        <f>IFERROR(IF(VLOOKUP(HS$3,Touchpoints!$A:$B,2,FALSE)=0,"",VLOOKUP(HS$3,Touchpoints!$A:$B,2,FALSE)),"")</f>
        <v/>
      </c>
      <c r="HT2" s="2" t="str">
        <f>IFERROR(IF(VLOOKUP(HT$3,Touchpoints!$A:$B,2,FALSE)=0,"",VLOOKUP(HT$3,Touchpoints!$A:$B,2,FALSE)),"")</f>
        <v/>
      </c>
      <c r="HU2" s="2" t="str">
        <f>IFERROR(IF(VLOOKUP(HU$3,Touchpoints!$A:$B,2,FALSE)=0,"",VLOOKUP(HU$3,Touchpoints!$A:$B,2,FALSE)),"")</f>
        <v/>
      </c>
      <c r="HV2" s="2" t="str">
        <f>IFERROR(IF(VLOOKUP(HV$3,Touchpoints!$A:$B,2,FALSE)=0,"",VLOOKUP(HV$3,Touchpoints!$A:$B,2,FALSE)),"")</f>
        <v/>
      </c>
      <c r="HW2" s="2" t="str">
        <f>IFERROR(IF(VLOOKUP(HW$3,Touchpoints!$A:$B,2,FALSE)=0,"",VLOOKUP(HW$3,Touchpoints!$A:$B,2,FALSE)),"")</f>
        <v/>
      </c>
      <c r="HX2" s="2" t="str">
        <f>IFERROR(IF(VLOOKUP(HX$3,Touchpoints!$A:$B,2,FALSE)=0,"",VLOOKUP(HX$3,Touchpoints!$A:$B,2,FALSE)),"")</f>
        <v/>
      </c>
      <c r="HY2" s="2" t="str">
        <f>IFERROR(IF(VLOOKUP(HY$3,Touchpoints!$A:$B,2,FALSE)=0,"",VLOOKUP(HY$3,Touchpoints!$A:$B,2,FALSE)),"")</f>
        <v/>
      </c>
      <c r="HZ2" s="2" t="str">
        <f>IFERROR(IF(VLOOKUP(HZ$3,Touchpoints!$A:$B,2,FALSE)=0,"",VLOOKUP(HZ$3,Touchpoints!$A:$B,2,FALSE)),"")</f>
        <v/>
      </c>
      <c r="IA2" s="2" t="str">
        <f>IFERROR(IF(VLOOKUP(IA$3,Touchpoints!$A:$B,2,FALSE)=0,"",VLOOKUP(IA$3,Touchpoints!$A:$B,2,FALSE)),"")</f>
        <v/>
      </c>
      <c r="IB2" s="2" t="str">
        <f>IFERROR(IF(VLOOKUP(IB$3,Touchpoints!$A:$B,2,FALSE)=0,"",VLOOKUP(IB$3,Touchpoints!$A:$B,2,FALSE)),"")</f>
        <v/>
      </c>
      <c r="IC2" s="2" t="str">
        <f>IFERROR(IF(VLOOKUP(IC$3,Touchpoints!$A:$B,2,FALSE)=0,"",VLOOKUP(IC$3,Touchpoints!$A:$B,2,FALSE)),"")</f>
        <v/>
      </c>
      <c r="ID2" s="2" t="str">
        <f>IFERROR(IF(VLOOKUP(ID$3,Touchpoints!$A:$B,2,FALSE)=0,"",VLOOKUP(ID$3,Touchpoints!$A:$B,2,FALSE)),"")</f>
        <v/>
      </c>
      <c r="IE2" s="2" t="str">
        <f>IFERROR(IF(VLOOKUP(IE$3,Touchpoints!$A:$B,2,FALSE)=0,"",VLOOKUP(IE$3,Touchpoints!$A:$B,2,FALSE)),"")</f>
        <v/>
      </c>
      <c r="IF2" s="2" t="str">
        <f>IFERROR(IF(VLOOKUP(IF$3,Touchpoints!$A:$B,2,FALSE)=0,"",VLOOKUP(IF$3,Touchpoints!$A:$B,2,FALSE)),"")</f>
        <v/>
      </c>
      <c r="IG2" s="2" t="str">
        <f>IFERROR(IF(VLOOKUP(IG$3,Touchpoints!$A:$B,2,FALSE)=0,"",VLOOKUP(IG$3,Touchpoints!$A:$B,2,FALSE)),"")</f>
        <v/>
      </c>
      <c r="IH2" s="2" t="str">
        <f>IFERROR(IF(VLOOKUP(IH$3,Touchpoints!$A:$B,2,FALSE)=0,"",VLOOKUP(IH$3,Touchpoints!$A:$B,2,FALSE)),"")</f>
        <v/>
      </c>
      <c r="II2" s="2" t="str">
        <f>IFERROR(IF(VLOOKUP(II$3,Touchpoints!$A:$B,2,FALSE)=0,"",VLOOKUP(II$3,Touchpoints!$A:$B,2,FALSE)),"")</f>
        <v/>
      </c>
      <c r="IJ2" s="2" t="str">
        <f>IFERROR(IF(VLOOKUP(IJ$3,Touchpoints!$A:$B,2,FALSE)=0,"",VLOOKUP(IJ$3,Touchpoints!$A:$B,2,FALSE)),"")</f>
        <v/>
      </c>
      <c r="IK2" s="2" t="str">
        <f>IFERROR(IF(VLOOKUP(IK$3,Touchpoints!$A:$B,2,FALSE)=0,"",VLOOKUP(IK$3,Touchpoints!$A:$B,2,FALSE)),"")</f>
        <v/>
      </c>
      <c r="IL2" s="2" t="str">
        <f>IFERROR(IF(VLOOKUP(IL$3,Touchpoints!$A:$B,2,FALSE)=0,"",VLOOKUP(IL$3,Touchpoints!$A:$B,2,FALSE)),"")</f>
        <v/>
      </c>
      <c r="IM2" s="2" t="str">
        <f>IFERROR(IF(VLOOKUP(IM$3,Touchpoints!$A:$B,2,FALSE)=0,"",VLOOKUP(IM$3,Touchpoints!$A:$B,2,FALSE)),"")</f>
        <v/>
      </c>
      <c r="IN2" s="2" t="str">
        <f>IFERROR(IF(VLOOKUP(IN$3,Touchpoints!$A:$B,2,FALSE)=0,"",VLOOKUP(IN$3,Touchpoints!$A:$B,2,FALSE)),"")</f>
        <v/>
      </c>
      <c r="IO2" s="2" t="str">
        <f>IFERROR(IF(VLOOKUP(IO$3,Touchpoints!$A:$B,2,FALSE)=0,"",VLOOKUP(IO$3,Touchpoints!$A:$B,2,FALSE)),"")</f>
        <v/>
      </c>
      <c r="IP2" s="2" t="str">
        <f>IFERROR(IF(VLOOKUP(IP$3,Touchpoints!$A:$B,2,FALSE)=0,"",VLOOKUP(IP$3,Touchpoints!$A:$B,2,FALSE)),"")</f>
        <v/>
      </c>
      <c r="IQ2" s="2" t="str">
        <f>IFERROR(IF(VLOOKUP(IQ$3,Touchpoints!$A:$B,2,FALSE)=0,"",VLOOKUP(IQ$3,Touchpoints!$A:$B,2,FALSE)),"")</f>
        <v/>
      </c>
      <c r="IR2" s="2" t="str">
        <f>IFERROR(IF(VLOOKUP(IR$3,Touchpoints!$A:$B,2,FALSE)=0,"",VLOOKUP(IR$3,Touchpoints!$A:$B,2,FALSE)),"")</f>
        <v/>
      </c>
      <c r="IS2" s="2" t="str">
        <f>IFERROR(IF(VLOOKUP(IS$3,Touchpoints!$A:$B,2,FALSE)=0,"",VLOOKUP(IS$3,Touchpoints!$A:$B,2,FALSE)),"")</f>
        <v/>
      </c>
      <c r="IT2" s="2" t="str">
        <f>IFERROR(IF(VLOOKUP(IT$3,Touchpoints!$A:$B,2,FALSE)=0,"",VLOOKUP(IT$3,Touchpoints!$A:$B,2,FALSE)),"")</f>
        <v/>
      </c>
      <c r="IU2" s="2" t="str">
        <f>IFERROR(IF(VLOOKUP(IU$3,Touchpoints!$A:$B,2,FALSE)=0,"",VLOOKUP(IU$3,Touchpoints!$A:$B,2,FALSE)),"")</f>
        <v/>
      </c>
      <c r="IV2" s="2" t="str">
        <f>IFERROR(IF(VLOOKUP(IV$3,Touchpoints!$A:$B,2,FALSE)=0,"",VLOOKUP(IV$3,Touchpoints!$A:$B,2,FALSE)),"")</f>
        <v/>
      </c>
      <c r="IW2" s="2" t="str">
        <f>IFERROR(IF(VLOOKUP(IW$3,Touchpoints!$A:$B,2,FALSE)=0,"",VLOOKUP(IW$3,Touchpoints!$A:$B,2,FALSE)),"")</f>
        <v/>
      </c>
      <c r="IX2" s="2" t="str">
        <f>IFERROR(IF(VLOOKUP(IX$3,Touchpoints!$A:$B,2,FALSE)=0,"",VLOOKUP(IX$3,Touchpoints!$A:$B,2,FALSE)),"")</f>
        <v/>
      </c>
      <c r="IY2" s="2" t="str">
        <f>IFERROR(IF(VLOOKUP(IY$3,Touchpoints!$A:$B,2,FALSE)=0,"",VLOOKUP(IY$3,Touchpoints!$A:$B,2,FALSE)),"")</f>
        <v/>
      </c>
      <c r="IZ2" s="2" t="str">
        <f>IFERROR(IF(VLOOKUP(IZ$3,Touchpoints!$A:$B,2,FALSE)=0,"",VLOOKUP(IZ$3,Touchpoints!$A:$B,2,FALSE)),"")</f>
        <v/>
      </c>
      <c r="JA2" s="2" t="str">
        <f>IFERROR(IF(VLOOKUP(JA$3,Touchpoints!$A:$B,2,FALSE)=0,"",VLOOKUP(JA$3,Touchpoints!$A:$B,2,FALSE)),"")</f>
        <v/>
      </c>
      <c r="JB2" s="2" t="str">
        <f>IFERROR(IF(VLOOKUP(JB$3,Touchpoints!$A:$B,2,FALSE)=0,"",VLOOKUP(JB$3,Touchpoints!$A:$B,2,FALSE)),"")</f>
        <v/>
      </c>
      <c r="JC2" s="2" t="str">
        <f>IFERROR(IF(VLOOKUP(JC$3,Touchpoints!$A:$B,2,FALSE)=0,"",VLOOKUP(JC$3,Touchpoints!$A:$B,2,FALSE)),"")</f>
        <v/>
      </c>
      <c r="JD2" s="2" t="str">
        <f>IFERROR(IF(VLOOKUP(JD$3,Touchpoints!$A:$B,2,FALSE)=0,"",VLOOKUP(JD$3,Touchpoints!$A:$B,2,FALSE)),"")</f>
        <v/>
      </c>
      <c r="JE2" s="2" t="str">
        <f>IFERROR(IF(VLOOKUP(JE$3,Touchpoints!$A:$B,2,FALSE)=0,"",VLOOKUP(JE$3,Touchpoints!$A:$B,2,FALSE)),"")</f>
        <v/>
      </c>
      <c r="JF2" s="2" t="str">
        <f>IFERROR(IF(VLOOKUP(JF$3,Touchpoints!$A:$B,2,FALSE)=0,"",VLOOKUP(JF$3,Touchpoints!$A:$B,2,FALSE)),"")</f>
        <v/>
      </c>
      <c r="JG2" s="2" t="str">
        <f>IFERROR(IF(VLOOKUP(JG$3,Touchpoints!$A:$B,2,FALSE)=0,"",VLOOKUP(JG$3,Touchpoints!$A:$B,2,FALSE)),"")</f>
        <v/>
      </c>
      <c r="JH2" s="2" t="str">
        <f>IFERROR(IF(VLOOKUP(JH$3,Touchpoints!$A:$B,2,FALSE)=0,"",VLOOKUP(JH$3,Touchpoints!$A:$B,2,FALSE)),"")</f>
        <v/>
      </c>
      <c r="JI2" s="2" t="str">
        <f>IFERROR(IF(VLOOKUP(JI$3,Touchpoints!$A:$B,2,FALSE)=0,"",VLOOKUP(JI$3,Touchpoints!$A:$B,2,FALSE)),"")</f>
        <v/>
      </c>
      <c r="JJ2" s="2" t="str">
        <f>IFERROR(IF(VLOOKUP(JJ$3,Touchpoints!$A:$B,2,FALSE)=0,"",VLOOKUP(JJ$3,Touchpoints!$A:$B,2,FALSE)),"")</f>
        <v/>
      </c>
      <c r="JK2" s="2" t="str">
        <f>IFERROR(IF(VLOOKUP(JK$3,Touchpoints!$A:$B,2,FALSE)=0,"",VLOOKUP(JK$3,Touchpoints!$A:$B,2,FALSE)),"")</f>
        <v/>
      </c>
      <c r="JL2" s="2" t="str">
        <f>IFERROR(IF(VLOOKUP(JL$3,Touchpoints!$A:$B,2,FALSE)=0,"",VLOOKUP(JL$3,Touchpoints!$A:$B,2,FALSE)),"")</f>
        <v/>
      </c>
      <c r="JM2" s="2" t="str">
        <f>IFERROR(IF(VLOOKUP(JM$3,Touchpoints!$A:$B,2,FALSE)=0,"",VLOOKUP(JM$3,Touchpoints!$A:$B,2,FALSE)),"")</f>
        <v/>
      </c>
      <c r="JN2" s="2" t="str">
        <f>IFERROR(IF(VLOOKUP(JN$3,Touchpoints!$A:$B,2,FALSE)=0,"",VLOOKUP(JN$3,Touchpoints!$A:$B,2,FALSE)),"")</f>
        <v/>
      </c>
      <c r="JO2" s="2" t="str">
        <f>IFERROR(IF(VLOOKUP(JO$3,Touchpoints!$A:$B,2,FALSE)=0,"",VLOOKUP(JO$3,Touchpoints!$A:$B,2,FALSE)),"")</f>
        <v/>
      </c>
      <c r="JP2" s="2" t="str">
        <f>IFERROR(IF(VLOOKUP(JP$3,Touchpoints!$A:$B,2,FALSE)=0,"",VLOOKUP(JP$3,Touchpoints!$A:$B,2,FALSE)),"")</f>
        <v/>
      </c>
      <c r="JQ2" s="2" t="str">
        <f>IFERROR(IF(VLOOKUP(JQ$3,Touchpoints!$A:$B,2,FALSE)=0,"",VLOOKUP(JQ$3,Touchpoints!$A:$B,2,FALSE)),"")</f>
        <v/>
      </c>
      <c r="JR2" s="2" t="str">
        <f>IFERROR(IF(VLOOKUP(JR$3,Touchpoints!$A:$B,2,FALSE)=0,"",VLOOKUP(JR$3,Touchpoints!$A:$B,2,FALSE)),"")</f>
        <v/>
      </c>
      <c r="JS2" s="2" t="str">
        <f>IFERROR(IF(VLOOKUP(JS$3,Touchpoints!$A:$B,2,FALSE)=0,"",VLOOKUP(JS$3,Touchpoints!$A:$B,2,FALSE)),"")</f>
        <v/>
      </c>
      <c r="JT2" s="2" t="str">
        <f>IFERROR(IF(VLOOKUP(JT$3,Touchpoints!$A:$B,2,FALSE)=0,"",VLOOKUP(JT$3,Touchpoints!$A:$B,2,FALSE)),"")</f>
        <v/>
      </c>
      <c r="JU2" s="2" t="str">
        <f>IFERROR(IF(VLOOKUP(JU$3,Touchpoints!$A:$B,2,FALSE)=0,"",VLOOKUP(JU$3,Touchpoints!$A:$B,2,FALSE)),"")</f>
        <v/>
      </c>
      <c r="JV2" s="2" t="str">
        <f>IFERROR(IF(VLOOKUP(JV$3,Touchpoints!$A:$B,2,FALSE)=0,"",VLOOKUP(JV$3,Touchpoints!$A:$B,2,FALSE)),"")</f>
        <v/>
      </c>
      <c r="JW2" s="2" t="str">
        <f>IFERROR(IF(VLOOKUP(JW$3,Touchpoints!$A:$B,2,FALSE)=0,"",VLOOKUP(JW$3,Touchpoints!$A:$B,2,FALSE)),"")</f>
        <v/>
      </c>
      <c r="JX2" s="2" t="str">
        <f>IFERROR(IF(VLOOKUP(JX$3,Touchpoints!$A:$B,2,FALSE)=0,"",VLOOKUP(JX$3,Touchpoints!$A:$B,2,FALSE)),"")</f>
        <v/>
      </c>
      <c r="JY2" s="2" t="str">
        <f>IFERROR(IF(VLOOKUP(JY$3,Touchpoints!$A:$B,2,FALSE)=0,"",VLOOKUP(JY$3,Touchpoints!$A:$B,2,FALSE)),"")</f>
        <v/>
      </c>
      <c r="JZ2" s="2" t="str">
        <f>IFERROR(IF(VLOOKUP(JZ$3,Touchpoints!$A:$B,2,FALSE)=0,"",VLOOKUP(JZ$3,Touchpoints!$A:$B,2,FALSE)),"")</f>
        <v/>
      </c>
      <c r="KA2" s="2" t="str">
        <f>IFERROR(IF(VLOOKUP(KA$3,Touchpoints!$A:$B,2,FALSE)=0,"",VLOOKUP(KA$3,Touchpoints!$A:$B,2,FALSE)),"")</f>
        <v/>
      </c>
      <c r="KB2" s="2" t="str">
        <f>IFERROR(IF(VLOOKUP(KB$3,Touchpoints!$A:$B,2,FALSE)=0,"",VLOOKUP(KB$3,Touchpoints!$A:$B,2,FALSE)),"")</f>
        <v/>
      </c>
      <c r="KC2" s="2" t="str">
        <f>IFERROR(IF(VLOOKUP(KC$3,Touchpoints!$A:$B,2,FALSE)=0,"",VLOOKUP(KC$3,Touchpoints!$A:$B,2,FALSE)),"")</f>
        <v/>
      </c>
      <c r="KD2" s="2" t="str">
        <f>IFERROR(IF(VLOOKUP(KD$3,Touchpoints!$A:$B,2,FALSE)=0,"",VLOOKUP(KD$3,Touchpoints!$A:$B,2,FALSE)),"")</f>
        <v/>
      </c>
      <c r="KE2" s="2" t="str">
        <f>IFERROR(IF(VLOOKUP(KE$3,Touchpoints!$A:$B,2,FALSE)=0,"",VLOOKUP(KE$3,Touchpoints!$A:$B,2,FALSE)),"")</f>
        <v/>
      </c>
      <c r="KF2" s="2" t="str">
        <f>IFERROR(IF(VLOOKUP(KF$3,Touchpoints!$A:$B,2,FALSE)=0,"",VLOOKUP(KF$3,Touchpoints!$A:$B,2,FALSE)),"")</f>
        <v/>
      </c>
      <c r="KG2" s="2" t="str">
        <f>IFERROR(IF(VLOOKUP(KG$3,Touchpoints!$A:$B,2,FALSE)=0,"",VLOOKUP(KG$3,Touchpoints!$A:$B,2,FALSE)),"")</f>
        <v/>
      </c>
      <c r="KH2" s="2" t="str">
        <f>IFERROR(IF(VLOOKUP(KH$3,Touchpoints!$A:$B,2,FALSE)=0,"",VLOOKUP(KH$3,Touchpoints!$A:$B,2,FALSE)),"")</f>
        <v/>
      </c>
      <c r="KI2" s="2" t="str">
        <f>IFERROR(IF(VLOOKUP(KI$3,Touchpoints!$A:$B,2,FALSE)=0,"",VLOOKUP(KI$3,Touchpoints!$A:$B,2,FALSE)),"")</f>
        <v/>
      </c>
      <c r="KJ2" s="2" t="str">
        <f>IFERROR(IF(VLOOKUP(KJ$3,Touchpoints!$A:$B,2,FALSE)=0,"",VLOOKUP(KJ$3,Touchpoints!$A:$B,2,FALSE)),"")</f>
        <v/>
      </c>
      <c r="KK2" s="2" t="str">
        <f>IFERROR(IF(VLOOKUP(KK$3,Touchpoints!$A:$B,2,FALSE)=0,"",VLOOKUP(KK$3,Touchpoints!$A:$B,2,FALSE)),"")</f>
        <v/>
      </c>
      <c r="KL2" s="2" t="str">
        <f>IFERROR(IF(VLOOKUP(KL$3,Touchpoints!$A:$B,2,FALSE)=0,"",VLOOKUP(KL$3,Touchpoints!$A:$B,2,FALSE)),"")</f>
        <v/>
      </c>
      <c r="KM2" s="2" t="str">
        <f>IFERROR(IF(VLOOKUP(KM$3,Touchpoints!$A:$B,2,FALSE)=0,"",VLOOKUP(KM$3,Touchpoints!$A:$B,2,FALSE)),"")</f>
        <v/>
      </c>
      <c r="KN2" s="2" t="str">
        <f>IFERROR(IF(VLOOKUP(KN$3,Touchpoints!$A:$B,2,FALSE)=0,"",VLOOKUP(KN$3,Touchpoints!$A:$B,2,FALSE)),"")</f>
        <v/>
      </c>
      <c r="KO2" s="2" t="str">
        <f>IFERROR(IF(VLOOKUP(KO$3,Touchpoints!$A:$B,2,FALSE)=0,"",VLOOKUP(KO$3,Touchpoints!$A:$B,2,FALSE)),"")</f>
        <v/>
      </c>
      <c r="KP2" s="2" t="str">
        <f>IFERROR(IF(VLOOKUP(KP$3,Touchpoints!$A:$B,2,FALSE)=0,"",VLOOKUP(KP$3,Touchpoints!$A:$B,2,FALSE)),"")</f>
        <v/>
      </c>
      <c r="KQ2" s="2" t="str">
        <f>IFERROR(IF(VLOOKUP(KQ$3,Touchpoints!$A:$B,2,FALSE)=0,"",VLOOKUP(KQ$3,Touchpoints!$A:$B,2,FALSE)),"")</f>
        <v/>
      </c>
      <c r="KR2" s="2" t="str">
        <f>IFERROR(IF(VLOOKUP(KR$3,Touchpoints!$A:$B,2,FALSE)=0,"",VLOOKUP(KR$3,Touchpoints!$A:$B,2,FALSE)),"")</f>
        <v/>
      </c>
      <c r="KS2" s="2" t="str">
        <f>IFERROR(IF(VLOOKUP(KS$3,Touchpoints!$A:$B,2,FALSE)=0,"",VLOOKUP(KS$3,Touchpoints!$A:$B,2,FALSE)),"")</f>
        <v/>
      </c>
      <c r="KT2" s="2" t="str">
        <f>IFERROR(IF(VLOOKUP(KT$3,Touchpoints!$A:$B,2,FALSE)=0,"",VLOOKUP(KT$3,Touchpoints!$A:$B,2,FALSE)),"")</f>
        <v/>
      </c>
      <c r="KU2" s="2" t="str">
        <f>IFERROR(IF(VLOOKUP(KU$3,Touchpoints!$A:$B,2,FALSE)=0,"",VLOOKUP(KU$3,Touchpoints!$A:$B,2,FALSE)),"")</f>
        <v/>
      </c>
      <c r="KV2" s="2" t="str">
        <f>IFERROR(IF(VLOOKUP(KV$3,Touchpoints!$A:$B,2,FALSE)=0,"",VLOOKUP(KV$3,Touchpoints!$A:$B,2,FALSE)),"")</f>
        <v/>
      </c>
      <c r="KW2" s="2" t="str">
        <f>IFERROR(IF(VLOOKUP(KW$3,Touchpoints!$A:$B,2,FALSE)=0,"",VLOOKUP(KW$3,Touchpoints!$A:$B,2,FALSE)),"")</f>
        <v/>
      </c>
      <c r="KX2" s="2" t="str">
        <f>IFERROR(IF(VLOOKUP(KX$3,Touchpoints!$A:$B,2,FALSE)=0,"",VLOOKUP(KX$3,Touchpoints!$A:$B,2,FALSE)),"")</f>
        <v/>
      </c>
      <c r="KY2" s="2" t="str">
        <f>IFERROR(IF(VLOOKUP(KY$3,Touchpoints!$A:$B,2,FALSE)=0,"",VLOOKUP(KY$3,Touchpoints!$A:$B,2,FALSE)),"")</f>
        <v/>
      </c>
      <c r="KZ2" s="2" t="str">
        <f>IFERROR(IF(VLOOKUP(KZ$3,Touchpoints!$A:$B,2,FALSE)=0,"",VLOOKUP(KZ$3,Touchpoints!$A:$B,2,FALSE)),"")</f>
        <v/>
      </c>
      <c r="LA2" s="2" t="str">
        <f>IFERROR(IF(VLOOKUP(LA$3,Touchpoints!$A:$B,2,FALSE)=0,"",VLOOKUP(LA$3,Touchpoints!$A:$B,2,FALSE)),"")</f>
        <v/>
      </c>
      <c r="LB2" s="2" t="str">
        <f>IFERROR(IF(VLOOKUP(LB$3,Touchpoints!$A:$B,2,FALSE)=0,"",VLOOKUP(LB$3,Touchpoints!$A:$B,2,FALSE)),"")</f>
        <v/>
      </c>
      <c r="LC2" s="2" t="str">
        <f>IFERROR(IF(VLOOKUP(LC$3,Touchpoints!$A:$B,2,FALSE)=0,"",VLOOKUP(LC$3,Touchpoints!$A:$B,2,FALSE)),"")</f>
        <v/>
      </c>
      <c r="LD2" s="2" t="str">
        <f>IFERROR(IF(VLOOKUP(LD$3,Touchpoints!$A:$B,2,FALSE)=0,"",VLOOKUP(LD$3,Touchpoints!$A:$B,2,FALSE)),"")</f>
        <v/>
      </c>
      <c r="LE2" s="2" t="str">
        <f>IFERROR(IF(VLOOKUP(LE$3,Touchpoints!$A:$B,2,FALSE)=0,"",VLOOKUP(LE$3,Touchpoints!$A:$B,2,FALSE)),"")</f>
        <v/>
      </c>
      <c r="LF2" s="2" t="str">
        <f>IFERROR(IF(VLOOKUP(LF$3,Touchpoints!$A:$B,2,FALSE)=0,"",VLOOKUP(LF$3,Touchpoints!$A:$B,2,FALSE)),"")</f>
        <v/>
      </c>
      <c r="LG2" s="2" t="str">
        <f>IFERROR(IF(VLOOKUP(LG$3,Touchpoints!$A:$B,2,FALSE)=0,"",VLOOKUP(LG$3,Touchpoints!$A:$B,2,FALSE)),"")</f>
        <v/>
      </c>
      <c r="LH2" s="2" t="str">
        <f>IFERROR(IF(VLOOKUP(LH$3,Touchpoints!$A:$B,2,FALSE)=0,"",VLOOKUP(LH$3,Touchpoints!$A:$B,2,FALSE)),"")</f>
        <v/>
      </c>
      <c r="LI2" s="2" t="str">
        <f>IFERROR(IF(VLOOKUP(LI$3,Touchpoints!$A:$B,2,FALSE)=0,"",VLOOKUP(LI$3,Touchpoints!$A:$B,2,FALSE)),"")</f>
        <v/>
      </c>
      <c r="LJ2" s="2" t="str">
        <f>IFERROR(IF(VLOOKUP(LJ$3,Touchpoints!$A:$B,2,FALSE)=0,"",VLOOKUP(LJ$3,Touchpoints!$A:$B,2,FALSE)),"")</f>
        <v/>
      </c>
      <c r="LK2" s="2" t="str">
        <f>IFERROR(IF(VLOOKUP(LK$3,Touchpoints!$A:$B,2,FALSE)=0,"",VLOOKUP(LK$3,Touchpoints!$A:$B,2,FALSE)),"")</f>
        <v/>
      </c>
      <c r="LL2" s="2" t="str">
        <f>IFERROR(IF(VLOOKUP(LL$3,Touchpoints!$A:$B,2,FALSE)=0,"",VLOOKUP(LL$3,Touchpoints!$A:$B,2,FALSE)),"")</f>
        <v/>
      </c>
      <c r="LM2" s="2" t="str">
        <f>IFERROR(IF(VLOOKUP(LM$3,Touchpoints!$A:$B,2,FALSE)=0,"",VLOOKUP(LM$3,Touchpoints!$A:$B,2,FALSE)),"")</f>
        <v/>
      </c>
      <c r="LN2" s="2" t="str">
        <f>IFERROR(IF(VLOOKUP(LN$3,Touchpoints!$A:$B,2,FALSE)=0,"",VLOOKUP(LN$3,Touchpoints!$A:$B,2,FALSE)),"")</f>
        <v/>
      </c>
      <c r="LO2" s="2" t="str">
        <f>IFERROR(IF(VLOOKUP(LO$3,Touchpoints!$A:$B,2,FALSE)=0,"",VLOOKUP(LO$3,Touchpoints!$A:$B,2,FALSE)),"")</f>
        <v/>
      </c>
      <c r="LP2" s="2" t="str">
        <f>IFERROR(IF(VLOOKUP(LP$3,Touchpoints!$A:$B,2,FALSE)=0,"",VLOOKUP(LP$3,Touchpoints!$A:$B,2,FALSE)),"")</f>
        <v/>
      </c>
      <c r="LQ2" s="2" t="str">
        <f>IFERROR(IF(VLOOKUP(LQ$3,Touchpoints!$A:$B,2,FALSE)=0,"",VLOOKUP(LQ$3,Touchpoints!$A:$B,2,FALSE)),"")</f>
        <v/>
      </c>
      <c r="LR2" s="2" t="str">
        <f>IFERROR(IF(VLOOKUP(LR$3,Touchpoints!$A:$B,2,FALSE)=0,"",VLOOKUP(LR$3,Touchpoints!$A:$B,2,FALSE)),"")</f>
        <v/>
      </c>
      <c r="LS2" s="2" t="str">
        <f>IFERROR(IF(VLOOKUP(LS$3,Touchpoints!$A:$B,2,FALSE)=0,"",VLOOKUP(LS$3,Touchpoints!$A:$B,2,FALSE)),"")</f>
        <v/>
      </c>
      <c r="LT2" s="2" t="str">
        <f>IFERROR(IF(VLOOKUP(LT$3,Touchpoints!$A:$B,2,FALSE)=0,"",VLOOKUP(LT$3,Touchpoints!$A:$B,2,FALSE)),"")</f>
        <v/>
      </c>
      <c r="LU2" s="2" t="str">
        <f>IFERROR(IF(VLOOKUP(LU$3,Touchpoints!$A:$B,2,FALSE)=0,"",VLOOKUP(LU$3,Touchpoints!$A:$B,2,FALSE)),"")</f>
        <v/>
      </c>
      <c r="LV2" s="2" t="str">
        <f>IFERROR(IF(VLOOKUP(LV$3,Touchpoints!$A:$B,2,FALSE)=0,"",VLOOKUP(LV$3,Touchpoints!$A:$B,2,FALSE)),"")</f>
        <v/>
      </c>
      <c r="LW2" s="2" t="str">
        <f>IFERROR(IF(VLOOKUP(LW$3,Touchpoints!$A:$B,2,FALSE)=0,"",VLOOKUP(LW$3,Touchpoints!$A:$B,2,FALSE)),"")</f>
        <v/>
      </c>
      <c r="LX2" s="2" t="str">
        <f>IFERROR(IF(VLOOKUP(LX$3,Touchpoints!$A:$B,2,FALSE)=0,"",VLOOKUP(LX$3,Touchpoints!$A:$B,2,FALSE)),"")</f>
        <v/>
      </c>
      <c r="LY2" s="2" t="str">
        <f>IFERROR(IF(VLOOKUP(LY$3,Touchpoints!$A:$B,2,FALSE)=0,"",VLOOKUP(LY$3,Touchpoints!$A:$B,2,FALSE)),"")</f>
        <v/>
      </c>
      <c r="LZ2" s="2" t="str">
        <f>IFERROR(IF(VLOOKUP(LZ$3,Touchpoints!$A:$B,2,FALSE)=0,"",VLOOKUP(LZ$3,Touchpoints!$A:$B,2,FALSE)),"")</f>
        <v/>
      </c>
      <c r="MA2" s="2" t="str">
        <f>IFERROR(IF(VLOOKUP(MA$3,Touchpoints!$A:$B,2,FALSE)=0,"",VLOOKUP(MA$3,Touchpoints!$A:$B,2,FALSE)),"")</f>
        <v/>
      </c>
      <c r="MB2" s="2" t="str">
        <f>IFERROR(IF(VLOOKUP(MB$3,Touchpoints!$A:$B,2,FALSE)=0,"",VLOOKUP(MB$3,Touchpoints!$A:$B,2,FALSE)),"")</f>
        <v/>
      </c>
      <c r="MC2" s="2" t="str">
        <f>IFERROR(IF(VLOOKUP(MC$3,Touchpoints!$A:$B,2,FALSE)=0,"",VLOOKUP(MC$3,Touchpoints!$A:$B,2,FALSE)),"")</f>
        <v/>
      </c>
      <c r="MD2" s="2" t="str">
        <f>IFERROR(IF(VLOOKUP(MD$3,Touchpoints!$A:$B,2,FALSE)=0,"",VLOOKUP(MD$3,Touchpoints!$A:$B,2,FALSE)),"")</f>
        <v/>
      </c>
      <c r="ME2" s="2" t="str">
        <f>IFERROR(IF(VLOOKUP(ME$3,Touchpoints!$A:$B,2,FALSE)=0,"",VLOOKUP(ME$3,Touchpoints!$A:$B,2,FALSE)),"")</f>
        <v/>
      </c>
      <c r="MF2" s="2" t="str">
        <f>IFERROR(IF(VLOOKUP(MF$3,Touchpoints!$A:$B,2,FALSE)=0,"",VLOOKUP(MF$3,Touchpoints!$A:$B,2,FALSE)),"")</f>
        <v/>
      </c>
      <c r="MG2" s="2" t="str">
        <f>IFERROR(IF(VLOOKUP(MG$3,Touchpoints!$A:$B,2,FALSE)=0,"",VLOOKUP(MG$3,Touchpoints!$A:$B,2,FALSE)),"")</f>
        <v/>
      </c>
      <c r="MH2" s="2" t="str">
        <f>IFERROR(IF(VLOOKUP(MH$3,Touchpoints!$A:$B,2,FALSE)=0,"",VLOOKUP(MH$3,Touchpoints!$A:$B,2,FALSE)),"")</f>
        <v/>
      </c>
      <c r="MI2" s="2" t="str">
        <f>IFERROR(IF(VLOOKUP(MI$3,Touchpoints!$A:$B,2,FALSE)=0,"",VLOOKUP(MI$3,Touchpoints!$A:$B,2,FALSE)),"")</f>
        <v/>
      </c>
      <c r="MJ2" s="2" t="str">
        <f>IFERROR(IF(VLOOKUP(MJ$3,Touchpoints!$A:$B,2,FALSE)=0,"",VLOOKUP(MJ$3,Touchpoints!$A:$B,2,FALSE)),"")</f>
        <v/>
      </c>
      <c r="MK2" s="2" t="str">
        <f>IFERROR(IF(VLOOKUP(MK$3,Touchpoints!$A:$B,2,FALSE)=0,"",VLOOKUP(MK$3,Touchpoints!$A:$B,2,FALSE)),"")</f>
        <v/>
      </c>
      <c r="ML2" s="2" t="str">
        <f>IFERROR(IF(VLOOKUP(ML$3,Touchpoints!$A:$B,2,FALSE)=0,"",VLOOKUP(ML$3,Touchpoints!$A:$B,2,FALSE)),"")</f>
        <v/>
      </c>
      <c r="MM2" s="2" t="str">
        <f>IFERROR(IF(VLOOKUP(MM$3,Touchpoints!$A:$B,2,FALSE)=0,"",VLOOKUP(MM$3,Touchpoints!$A:$B,2,FALSE)),"")</f>
        <v/>
      </c>
      <c r="MN2" s="2" t="str">
        <f>IFERROR(IF(VLOOKUP(MN$3,Touchpoints!$A:$B,2,FALSE)=0,"",VLOOKUP(MN$3,Touchpoints!$A:$B,2,FALSE)),"")</f>
        <v/>
      </c>
      <c r="MO2" s="2" t="str">
        <f>IFERROR(IF(VLOOKUP(MO$3,Touchpoints!$A:$B,2,FALSE)=0,"",VLOOKUP(MO$3,Touchpoints!$A:$B,2,FALSE)),"")</f>
        <v/>
      </c>
      <c r="MP2" s="2" t="str">
        <f>IFERROR(IF(VLOOKUP(MP$3,Touchpoints!$A:$B,2,FALSE)=0,"",VLOOKUP(MP$3,Touchpoints!$A:$B,2,FALSE)),"")</f>
        <v/>
      </c>
      <c r="MQ2" s="2" t="str">
        <f>IFERROR(IF(VLOOKUP(MQ$3,Touchpoints!$A:$B,2,FALSE)=0,"",VLOOKUP(MQ$3,Touchpoints!$A:$B,2,FALSE)),"")</f>
        <v/>
      </c>
      <c r="MR2" s="2" t="str">
        <f>IFERROR(IF(VLOOKUP(MR$3,Touchpoints!$A:$B,2,FALSE)=0,"",VLOOKUP(MR$3,Touchpoints!$A:$B,2,FALSE)),"")</f>
        <v/>
      </c>
      <c r="MS2" s="2" t="str">
        <f>IFERROR(IF(VLOOKUP(MS$3,Touchpoints!$A:$B,2,FALSE)=0,"",VLOOKUP(MS$3,Touchpoints!$A:$B,2,FALSE)),"")</f>
        <v/>
      </c>
      <c r="MT2" s="2" t="str">
        <f>IFERROR(IF(VLOOKUP(MT$3,Touchpoints!$A:$B,2,FALSE)=0,"",VLOOKUP(MT$3,Touchpoints!$A:$B,2,FALSE)),"")</f>
        <v/>
      </c>
      <c r="MU2" s="2" t="str">
        <f>IFERROR(IF(VLOOKUP(MU$3,Touchpoints!$A:$B,2,FALSE)=0,"",VLOOKUP(MU$3,Touchpoints!$A:$B,2,FALSE)),"")</f>
        <v/>
      </c>
      <c r="MV2" s="2" t="str">
        <f>IFERROR(IF(VLOOKUP(MV$3,Touchpoints!$A:$B,2,FALSE)=0,"",VLOOKUP(MV$3,Touchpoints!$A:$B,2,FALSE)),"")</f>
        <v/>
      </c>
      <c r="MW2" s="2" t="str">
        <f>IFERROR(IF(VLOOKUP(MW$3,Touchpoints!$A:$B,2,FALSE)=0,"",VLOOKUP(MW$3,Touchpoints!$A:$B,2,FALSE)),"")</f>
        <v/>
      </c>
      <c r="MX2" s="2" t="str">
        <f>IFERROR(IF(VLOOKUP(MX$3,Touchpoints!$A:$B,2,FALSE)=0,"",VLOOKUP(MX$3,Touchpoints!$A:$B,2,FALSE)),"")</f>
        <v/>
      </c>
      <c r="MY2" s="2" t="str">
        <f>IFERROR(IF(VLOOKUP(MY$3,Touchpoints!$A:$B,2,FALSE)=0,"",VLOOKUP(MY$3,Touchpoints!$A:$B,2,FALSE)),"")</f>
        <v/>
      </c>
      <c r="MZ2" s="2" t="str">
        <f>IFERROR(IF(VLOOKUP(MZ$3,Touchpoints!$A:$B,2,FALSE)=0,"",VLOOKUP(MZ$3,Touchpoints!$A:$B,2,FALSE)),"")</f>
        <v/>
      </c>
      <c r="NA2" s="2" t="str">
        <f>IFERROR(IF(VLOOKUP(NA$3,Touchpoints!$A:$B,2,FALSE)=0,"",VLOOKUP(NA$3,Touchpoints!$A:$B,2,FALSE)),"")</f>
        <v/>
      </c>
      <c r="NB2" s="2" t="str">
        <f>IFERROR(IF(VLOOKUP(NB$3,Touchpoints!$A:$B,2,FALSE)=0,"",VLOOKUP(NB$3,Touchpoints!$A:$B,2,FALSE)),"")</f>
        <v/>
      </c>
      <c r="NC2" s="2" t="str">
        <f>IFERROR(IF(VLOOKUP(NC$3,Touchpoints!$A:$B,2,FALSE)=0,"",VLOOKUP(NC$3,Touchpoints!$A:$B,2,FALSE)),"")</f>
        <v/>
      </c>
      <c r="ND2" s="2" t="str">
        <f>IFERROR(IF(VLOOKUP(ND$3,Touchpoints!$A:$B,2,FALSE)=0,"",VLOOKUP(ND$3,Touchpoints!$A:$B,2,FALSE)),"")</f>
        <v/>
      </c>
      <c r="NE2" s="2" t="str">
        <f>IFERROR(IF(VLOOKUP(NE$3,Touchpoints!$A:$B,2,FALSE)=0,"",VLOOKUP(NE$3,Touchpoints!$A:$B,2,FALSE)),"")</f>
        <v/>
      </c>
      <c r="NF2" s="2" t="str">
        <f>IFERROR(IF(VLOOKUP(NF$3,Touchpoints!$A:$B,2,FALSE)=0,"",VLOOKUP(NF$3,Touchpoints!$A:$B,2,FALSE)),"")</f>
        <v/>
      </c>
      <c r="NG2" s="2" t="str">
        <f>IFERROR(IF(VLOOKUP(NG$3,Touchpoints!$A:$B,2,FALSE)=0,"",VLOOKUP(NG$3,Touchpoints!$A:$B,2,FALSE)),"")</f>
        <v/>
      </c>
      <c r="NH2" s="2" t="str">
        <f>IFERROR(IF(VLOOKUP(NH$3,Touchpoints!$A:$B,2,FALSE)=0,"",VLOOKUP(NH$3,Touchpoints!$A:$B,2,FALSE)),"")</f>
        <v/>
      </c>
      <c r="NI2" s="2" t="str">
        <f>IFERROR(IF(VLOOKUP(NI$3,Touchpoints!$A:$B,2,FALSE)=0,"",VLOOKUP(NI$3,Touchpoints!$A:$B,2,FALSE)),"")</f>
        <v/>
      </c>
      <c r="NJ2" s="2" t="str">
        <f>IFERROR(IF(VLOOKUP(NJ$3,Touchpoints!$A:$B,2,FALSE)=0,"",VLOOKUP(NJ$3,Touchpoints!$A:$B,2,FALSE)),"")</f>
        <v/>
      </c>
      <c r="NK2" s="2" t="str">
        <f>IFERROR(IF(VLOOKUP(NK$3,Touchpoints!$A:$B,2,FALSE)=0,"",VLOOKUP(NK$3,Touchpoints!$A:$B,2,FALSE)),"")</f>
        <v/>
      </c>
      <c r="NL2" s="2" t="str">
        <f>IFERROR(IF(VLOOKUP(NL$3,Touchpoints!$A:$B,2,FALSE)=0,"",VLOOKUP(NL$3,Touchpoints!$A:$B,2,FALSE)),"")</f>
        <v/>
      </c>
      <c r="NM2" s="2" t="str">
        <f>IFERROR(IF(VLOOKUP(NM$3,Touchpoints!$A:$B,2,FALSE)=0,"",VLOOKUP(NM$3,Touchpoints!$A:$B,2,FALSE)),"")</f>
        <v/>
      </c>
      <c r="NN2" s="2" t="str">
        <f>IFERROR(IF(VLOOKUP(NN$3,Touchpoints!$A:$B,2,FALSE)=0,"",VLOOKUP(NN$3,Touchpoints!$A:$B,2,FALSE)),"")</f>
        <v/>
      </c>
      <c r="NO2" s="2" t="str">
        <f>IFERROR(IF(VLOOKUP(NO$3,Touchpoints!$A:$B,2,FALSE)=0,"",VLOOKUP(NO$3,Touchpoints!$A:$B,2,FALSE)),"")</f>
        <v/>
      </c>
      <c r="NP2" s="2" t="str">
        <f>IFERROR(IF(VLOOKUP(NP$3,Touchpoints!$A:$B,2,FALSE)=0,"",VLOOKUP(NP$3,Touchpoints!$A:$B,2,FALSE)),"")</f>
        <v/>
      </c>
      <c r="NQ2" s="2" t="str">
        <f>IFERROR(IF(VLOOKUP(NQ$3,Touchpoints!$A:$B,2,FALSE)=0,"",VLOOKUP(NQ$3,Touchpoints!$A:$B,2,FALSE)),"")</f>
        <v/>
      </c>
      <c r="NR2" s="2" t="str">
        <f>IFERROR(IF(VLOOKUP(NR$3,Touchpoints!$A:$B,2,FALSE)=0,"",VLOOKUP(NR$3,Touchpoints!$A:$B,2,FALSE)),"")</f>
        <v/>
      </c>
      <c r="NS2" s="2" t="str">
        <f>IFERROR(IF(VLOOKUP(NS$3,Touchpoints!$A:$B,2,FALSE)=0,"",VLOOKUP(NS$3,Touchpoints!$A:$B,2,FALSE)),"")</f>
        <v/>
      </c>
      <c r="NT2" s="2" t="str">
        <f>IFERROR(IF(VLOOKUP(NT$3,Touchpoints!$A:$B,2,FALSE)=0,"",VLOOKUP(NT$3,Touchpoints!$A:$B,2,FALSE)),"")</f>
        <v/>
      </c>
      <c r="NU2" s="2" t="str">
        <f>IFERROR(IF(VLOOKUP(NU$3,Touchpoints!$A:$B,2,FALSE)=0,"",VLOOKUP(NU$3,Touchpoints!$A:$B,2,FALSE)),"")</f>
        <v/>
      </c>
      <c r="NV2" s="2" t="str">
        <f>IFERROR(IF(VLOOKUP(NV$3,Touchpoints!$A:$B,2,FALSE)=0,"",VLOOKUP(NV$3,Touchpoints!$A:$B,2,FALSE)),"")</f>
        <v/>
      </c>
      <c r="NW2" s="2" t="str">
        <f>IFERROR(IF(VLOOKUP(NW$3,Touchpoints!$A:$B,2,FALSE)=0,"",VLOOKUP(NW$3,Touchpoints!$A:$B,2,FALSE)),"")</f>
        <v/>
      </c>
      <c r="NX2" s="2" t="str">
        <f>IFERROR(IF(VLOOKUP(NX$3,Touchpoints!$A:$B,2,FALSE)=0,"",VLOOKUP(NX$3,Touchpoints!$A:$B,2,FALSE)),"")</f>
        <v/>
      </c>
      <c r="NY2" s="2" t="str">
        <f>IFERROR(IF(VLOOKUP(NY$3,Touchpoints!$A:$B,2,FALSE)=0,"",VLOOKUP(NY$3,Touchpoints!$A:$B,2,FALSE)),"")</f>
        <v/>
      </c>
      <c r="NZ2" s="2" t="str">
        <f>IFERROR(IF(VLOOKUP(NZ$3,Touchpoints!$A:$B,2,FALSE)=0,"",VLOOKUP(NZ$3,Touchpoints!$A:$B,2,FALSE)),"")</f>
        <v/>
      </c>
      <c r="OA2" s="2" t="str">
        <f>IFERROR(IF(VLOOKUP(OA$3,Touchpoints!$A:$B,2,FALSE)=0,"",VLOOKUP(OA$3,Touchpoints!$A:$B,2,FALSE)),"")</f>
        <v/>
      </c>
      <c r="OB2" s="2" t="str">
        <f>IFERROR(IF(VLOOKUP(OB$3,Touchpoints!$A:$B,2,FALSE)=0,"",VLOOKUP(OB$3,Touchpoints!$A:$B,2,FALSE)),"")</f>
        <v/>
      </c>
      <c r="OC2" s="2" t="str">
        <f>IFERROR(IF(VLOOKUP(OC$3,Touchpoints!$A:$B,2,FALSE)=0,"",VLOOKUP(OC$3,Touchpoints!$A:$B,2,FALSE)),"")</f>
        <v/>
      </c>
      <c r="OD2" s="2" t="str">
        <f>IFERROR(IF(VLOOKUP(OD$3,Touchpoints!$A:$B,2,FALSE)=0,"",VLOOKUP(OD$3,Touchpoints!$A:$B,2,FALSE)),"")</f>
        <v/>
      </c>
      <c r="OE2" s="2" t="str">
        <f>IFERROR(IF(VLOOKUP(OE$3,Touchpoints!$A:$B,2,FALSE)=0,"",VLOOKUP(OE$3,Touchpoints!$A:$B,2,FALSE)),"")</f>
        <v/>
      </c>
      <c r="OF2" s="2" t="str">
        <f>IFERROR(IF(VLOOKUP(OF$3,Touchpoints!$A:$B,2,FALSE)=0,"",VLOOKUP(OF$3,Touchpoints!$A:$B,2,FALSE)),"")</f>
        <v/>
      </c>
      <c r="OG2" s="2" t="str">
        <f>IFERROR(IF(VLOOKUP(OG$3,Touchpoints!$A:$B,2,FALSE)=0,"",VLOOKUP(OG$3,Touchpoints!$A:$B,2,FALSE)),"")</f>
        <v/>
      </c>
      <c r="OH2" s="2" t="str">
        <f>IFERROR(IF(VLOOKUP(OH$3,Touchpoints!$A:$B,2,FALSE)=0,"",VLOOKUP(OH$3,Touchpoints!$A:$B,2,FALSE)),"")</f>
        <v/>
      </c>
      <c r="OI2" s="2" t="str">
        <f>IFERROR(IF(VLOOKUP(OI$3,Touchpoints!$A:$B,2,FALSE)=0,"",VLOOKUP(OI$3,Touchpoints!$A:$B,2,FALSE)),"")</f>
        <v/>
      </c>
      <c r="OJ2" s="2" t="str">
        <f>IFERROR(IF(VLOOKUP(OJ$3,Touchpoints!$A:$B,2,FALSE)=0,"",VLOOKUP(OJ$3,Touchpoints!$A:$B,2,FALSE)),"")</f>
        <v/>
      </c>
      <c r="OK2" s="2" t="str">
        <f>IFERROR(IF(VLOOKUP(OK$3,Touchpoints!$A:$B,2,FALSE)=0,"",VLOOKUP(OK$3,Touchpoints!$A:$B,2,FALSE)),"")</f>
        <v/>
      </c>
      <c r="OL2" s="2" t="str">
        <f>IFERROR(IF(VLOOKUP(OL$3,Touchpoints!$A:$B,2,FALSE)=0,"",VLOOKUP(OL$3,Touchpoints!$A:$B,2,FALSE)),"")</f>
        <v/>
      </c>
      <c r="OM2" s="2" t="str">
        <f>IFERROR(IF(VLOOKUP(OM$3,Touchpoints!$A:$B,2,FALSE)=0,"",VLOOKUP(OM$3,Touchpoints!$A:$B,2,FALSE)),"")</f>
        <v/>
      </c>
      <c r="ON2" s="2" t="str">
        <f>IFERROR(IF(VLOOKUP(ON$3,Touchpoints!$A:$B,2,FALSE)=0,"",VLOOKUP(ON$3,Touchpoints!$A:$B,2,FALSE)),"")</f>
        <v/>
      </c>
      <c r="OO2" s="2" t="str">
        <f>IFERROR(IF(VLOOKUP(OO$3,Touchpoints!$A:$B,2,FALSE)=0,"",VLOOKUP(OO$3,Touchpoints!$A:$B,2,FALSE)),"")</f>
        <v/>
      </c>
      <c r="OP2" s="2" t="str">
        <f>IFERROR(IF(VLOOKUP(OP$3,Touchpoints!$A:$B,2,FALSE)=0,"",VLOOKUP(OP$3,Touchpoints!$A:$B,2,FALSE)),"")</f>
        <v/>
      </c>
      <c r="OQ2" s="2" t="str">
        <f>IFERROR(IF(VLOOKUP(OQ$3,Touchpoints!$A:$B,2,FALSE)=0,"",VLOOKUP(OQ$3,Touchpoints!$A:$B,2,FALSE)),"")</f>
        <v/>
      </c>
      <c r="OR2" s="2" t="str">
        <f>IFERROR(IF(VLOOKUP(OR$3,Touchpoints!$A:$B,2,FALSE)=0,"",VLOOKUP(OR$3,Touchpoints!$A:$B,2,FALSE)),"")</f>
        <v/>
      </c>
      <c r="OS2" s="2" t="str">
        <f>IFERROR(IF(VLOOKUP(OS$3,Touchpoints!$A:$B,2,FALSE)=0,"",VLOOKUP(OS$3,Touchpoints!$A:$B,2,FALSE)),"")</f>
        <v/>
      </c>
      <c r="OT2" s="2" t="str">
        <f>IFERROR(IF(VLOOKUP(OT$3,Touchpoints!$A:$B,2,FALSE)=0,"",VLOOKUP(OT$3,Touchpoints!$A:$B,2,FALSE)),"")</f>
        <v/>
      </c>
      <c r="OU2" s="2" t="str">
        <f>IFERROR(IF(VLOOKUP(OU$3,Touchpoints!$A:$B,2,FALSE)=0,"",VLOOKUP(OU$3,Touchpoints!$A:$B,2,FALSE)),"")</f>
        <v/>
      </c>
      <c r="OV2" s="2" t="str">
        <f>IFERROR(IF(VLOOKUP(OV$3,Touchpoints!$A:$B,2,FALSE)=0,"",VLOOKUP(OV$3,Touchpoints!$A:$B,2,FALSE)),"")</f>
        <v/>
      </c>
      <c r="OW2" s="2" t="str">
        <f>IFERROR(IF(VLOOKUP(OW$3,Touchpoints!$A:$B,2,FALSE)=0,"",VLOOKUP(OW$3,Touchpoints!$A:$B,2,FALSE)),"")</f>
        <v/>
      </c>
      <c r="OX2" s="2" t="str">
        <f>IFERROR(IF(VLOOKUP(OX$3,Touchpoints!$A:$B,2,FALSE)=0,"",VLOOKUP(OX$3,Touchpoints!$A:$B,2,FALSE)),"")</f>
        <v/>
      </c>
      <c r="OY2" s="2" t="str">
        <f>IFERROR(IF(VLOOKUP(OY$3,Touchpoints!$A:$B,2,FALSE)=0,"",VLOOKUP(OY$3,Touchpoints!$A:$B,2,FALSE)),"")</f>
        <v/>
      </c>
      <c r="OZ2" s="2" t="str">
        <f>IFERROR(IF(VLOOKUP(OZ$3,Touchpoints!$A:$B,2,FALSE)=0,"",VLOOKUP(OZ$3,Touchpoints!$A:$B,2,FALSE)),"")</f>
        <v/>
      </c>
      <c r="PA2" s="2" t="str">
        <f>IFERROR(IF(VLOOKUP(PA$3,Touchpoints!$A:$B,2,FALSE)=0,"",VLOOKUP(PA$3,Touchpoints!$A:$B,2,FALSE)),"")</f>
        <v/>
      </c>
      <c r="PB2" s="2" t="str">
        <f>IFERROR(IF(VLOOKUP(PB$3,Touchpoints!$A:$B,2,FALSE)=0,"",VLOOKUP(PB$3,Touchpoints!$A:$B,2,FALSE)),"")</f>
        <v/>
      </c>
      <c r="PC2" s="2" t="str">
        <f>IFERROR(IF(VLOOKUP(PC$3,Touchpoints!$A:$B,2,FALSE)=0,"",VLOOKUP(PC$3,Touchpoints!$A:$B,2,FALSE)),"")</f>
        <v/>
      </c>
      <c r="PD2" s="2" t="str">
        <f>IFERROR(IF(VLOOKUP(PD$3,Touchpoints!$A:$B,2,FALSE)=0,"",VLOOKUP(PD$3,Touchpoints!$A:$B,2,FALSE)),"")</f>
        <v/>
      </c>
      <c r="PE2" s="2" t="str">
        <f>IFERROR(IF(VLOOKUP(PE$3,Touchpoints!$A:$B,2,FALSE)=0,"",VLOOKUP(PE$3,Touchpoints!$A:$B,2,FALSE)),"")</f>
        <v/>
      </c>
      <c r="PF2" s="2" t="str">
        <f>IFERROR(IF(VLOOKUP(PF$3,Touchpoints!$A:$B,2,FALSE)=0,"",VLOOKUP(PF$3,Touchpoints!$A:$B,2,FALSE)),"")</f>
        <v/>
      </c>
      <c r="PG2" s="2" t="str">
        <f>IFERROR(IF(VLOOKUP(PG$3,Touchpoints!$A:$B,2,FALSE)=0,"",VLOOKUP(PG$3,Touchpoints!$A:$B,2,FALSE)),"")</f>
        <v/>
      </c>
      <c r="PH2" s="2" t="str">
        <f>IFERROR(IF(VLOOKUP(PH$3,Touchpoints!$A:$B,2,FALSE)=0,"",VLOOKUP(PH$3,Touchpoints!$A:$B,2,FALSE)),"")</f>
        <v/>
      </c>
      <c r="PI2" s="2" t="str">
        <f>IFERROR(IF(VLOOKUP(PI$3,Touchpoints!$A:$B,2,FALSE)=0,"",VLOOKUP(PI$3,Touchpoints!$A:$B,2,FALSE)),"")</f>
        <v/>
      </c>
      <c r="PJ2" s="2" t="str">
        <f>IFERROR(IF(VLOOKUP(PJ$3,Touchpoints!$A:$B,2,FALSE)=0,"",VLOOKUP(PJ$3,Touchpoints!$A:$B,2,FALSE)),"")</f>
        <v/>
      </c>
      <c r="PK2" s="2" t="str">
        <f>IFERROR(IF(VLOOKUP(PK$3,Touchpoints!$A:$B,2,FALSE)=0,"",VLOOKUP(PK$3,Touchpoints!$A:$B,2,FALSE)),"")</f>
        <v/>
      </c>
      <c r="PL2" s="2" t="str">
        <f>IFERROR(IF(VLOOKUP(PL$3,Touchpoints!$A:$B,2,FALSE)=0,"",VLOOKUP(PL$3,Touchpoints!$A:$B,2,FALSE)),"")</f>
        <v/>
      </c>
      <c r="PM2" s="2" t="str">
        <f>IFERROR(IF(VLOOKUP(PM$3,Touchpoints!$A:$B,2,FALSE)=0,"",VLOOKUP(PM$3,Touchpoints!$A:$B,2,FALSE)),"")</f>
        <v/>
      </c>
      <c r="PN2" s="2" t="str">
        <f>IFERROR(IF(VLOOKUP(PN$3,Touchpoints!$A:$B,2,FALSE)=0,"",VLOOKUP(PN$3,Touchpoints!$A:$B,2,FALSE)),"")</f>
        <v/>
      </c>
      <c r="PO2" s="2" t="str">
        <f>IFERROR(IF(VLOOKUP(PO$3,Touchpoints!$A:$B,2,FALSE)=0,"",VLOOKUP(PO$3,Touchpoints!$A:$B,2,FALSE)),"")</f>
        <v/>
      </c>
      <c r="PP2" s="2" t="str">
        <f>IFERROR(IF(VLOOKUP(PP$3,Touchpoints!$A:$B,2,FALSE)=0,"",VLOOKUP(PP$3,Touchpoints!$A:$B,2,FALSE)),"")</f>
        <v/>
      </c>
      <c r="PQ2" s="2" t="str">
        <f>IFERROR(IF(VLOOKUP(PQ$3,Touchpoints!$A:$B,2,FALSE)=0,"",VLOOKUP(PQ$3,Touchpoints!$A:$B,2,FALSE)),"")</f>
        <v/>
      </c>
      <c r="PR2" s="2" t="str">
        <f>IFERROR(IF(VLOOKUP(PR$3,Touchpoints!$A:$B,2,FALSE)=0,"",VLOOKUP(PR$3,Touchpoints!$A:$B,2,FALSE)),"")</f>
        <v/>
      </c>
      <c r="PS2" s="2" t="str">
        <f>IFERROR(IF(VLOOKUP(PS$3,Touchpoints!$A:$B,2,FALSE)=0,"",VLOOKUP(PS$3,Touchpoints!$A:$B,2,FALSE)),"")</f>
        <v/>
      </c>
      <c r="PT2" s="2" t="str">
        <f>IFERROR(IF(VLOOKUP(PT$3,Touchpoints!$A:$B,2,FALSE)=0,"",VLOOKUP(PT$3,Touchpoints!$A:$B,2,FALSE)),"")</f>
        <v/>
      </c>
      <c r="PU2" s="2" t="str">
        <f>IFERROR(IF(VLOOKUP(PU$3,Touchpoints!$A:$B,2,FALSE)=0,"",VLOOKUP(PU$3,Touchpoints!$A:$B,2,FALSE)),"")</f>
        <v/>
      </c>
      <c r="PV2" s="2" t="str">
        <f>IFERROR(IF(VLOOKUP(PV$3,Touchpoints!$A:$B,2,FALSE)=0,"",VLOOKUP(PV$3,Touchpoints!$A:$B,2,FALSE)),"")</f>
        <v/>
      </c>
      <c r="PW2" s="2" t="str">
        <f>IFERROR(IF(VLOOKUP(PW$3,Touchpoints!$A:$B,2,FALSE)=0,"",VLOOKUP(PW$3,Touchpoints!$A:$B,2,FALSE)),"")</f>
        <v/>
      </c>
      <c r="PX2" s="2" t="str">
        <f>IFERROR(IF(VLOOKUP(PX$3,Touchpoints!$A:$B,2,FALSE)=0,"",VLOOKUP(PX$3,Touchpoints!$A:$B,2,FALSE)),"")</f>
        <v/>
      </c>
      <c r="PY2" s="2" t="str">
        <f>IFERROR(IF(VLOOKUP(PY$3,Touchpoints!$A:$B,2,FALSE)=0,"",VLOOKUP(PY$3,Touchpoints!$A:$B,2,FALSE)),"")</f>
        <v/>
      </c>
      <c r="PZ2" s="2" t="str">
        <f>IFERROR(IF(VLOOKUP(PZ$3,Touchpoints!$A:$B,2,FALSE)=0,"",VLOOKUP(PZ$3,Touchpoints!$A:$B,2,FALSE)),"")</f>
        <v/>
      </c>
      <c r="QA2" s="2" t="str">
        <f>IFERROR(IF(VLOOKUP(QA$3,Touchpoints!$A:$B,2,FALSE)=0,"",VLOOKUP(QA$3,Touchpoints!$A:$B,2,FALSE)),"")</f>
        <v/>
      </c>
      <c r="QB2" s="2" t="str">
        <f>IFERROR(IF(VLOOKUP(QB$3,Touchpoints!$A:$B,2,FALSE)=0,"",VLOOKUP(QB$3,Touchpoints!$A:$B,2,FALSE)),"")</f>
        <v/>
      </c>
      <c r="QC2" s="2" t="str">
        <f>IFERROR(IF(VLOOKUP(QC$3,Touchpoints!$A:$B,2,FALSE)=0,"",VLOOKUP(QC$3,Touchpoints!$A:$B,2,FALSE)),"")</f>
        <v/>
      </c>
      <c r="QD2" s="2" t="str">
        <f>IFERROR(IF(VLOOKUP(QD$3,Touchpoints!$A:$B,2,FALSE)=0,"",VLOOKUP(QD$3,Touchpoints!$A:$B,2,FALSE)),"")</f>
        <v/>
      </c>
      <c r="QE2" s="2" t="str">
        <f>IFERROR(IF(VLOOKUP(QE$3,Touchpoints!$A:$B,2,FALSE)=0,"",VLOOKUP(QE$3,Touchpoints!$A:$B,2,FALSE)),"")</f>
        <v/>
      </c>
      <c r="QF2" s="2" t="str">
        <f>IFERROR(IF(VLOOKUP(QF$3,Touchpoints!$A:$B,2,FALSE)=0,"",VLOOKUP(QF$3,Touchpoints!$A:$B,2,FALSE)),"")</f>
        <v/>
      </c>
      <c r="QG2" s="2" t="str">
        <f>IFERROR(IF(VLOOKUP(QG$3,Touchpoints!$A:$B,2,FALSE)=0,"",VLOOKUP(QG$3,Touchpoints!$A:$B,2,FALSE)),"")</f>
        <v/>
      </c>
      <c r="QH2" s="2" t="str">
        <f>IFERROR(IF(VLOOKUP(QH$3,Touchpoints!$A:$B,2,FALSE)=0,"",VLOOKUP(QH$3,Touchpoints!$A:$B,2,FALSE)),"")</f>
        <v/>
      </c>
      <c r="QI2" s="2" t="str">
        <f>IFERROR(IF(VLOOKUP(QI$3,Touchpoints!$A:$B,2,FALSE)=0,"",VLOOKUP(QI$3,Touchpoints!$A:$B,2,FALSE)),"")</f>
        <v/>
      </c>
      <c r="QJ2" s="2" t="str">
        <f>IFERROR(IF(VLOOKUP(QJ$3,Touchpoints!$A:$B,2,FALSE)=0,"",VLOOKUP(QJ$3,Touchpoints!$A:$B,2,FALSE)),"")</f>
        <v/>
      </c>
      <c r="QK2" s="2" t="str">
        <f>IFERROR(IF(VLOOKUP(QK$3,Touchpoints!$A:$B,2,FALSE)=0,"",VLOOKUP(QK$3,Touchpoints!$A:$B,2,FALSE)),"")</f>
        <v/>
      </c>
      <c r="QL2" s="2" t="str">
        <f>IFERROR(IF(VLOOKUP(QL$3,Touchpoints!$A:$B,2,FALSE)=0,"",VLOOKUP(QL$3,Touchpoints!$A:$B,2,FALSE)),"")</f>
        <v/>
      </c>
      <c r="QM2" s="2" t="str">
        <f>IFERROR(IF(VLOOKUP(QM$3,Touchpoints!$A:$B,2,FALSE)=0,"",VLOOKUP(QM$3,Touchpoints!$A:$B,2,FALSE)),"")</f>
        <v/>
      </c>
      <c r="QN2" s="2" t="str">
        <f>IFERROR(IF(VLOOKUP(QN$3,Touchpoints!$A:$B,2,FALSE)=0,"",VLOOKUP(QN$3,Touchpoints!$A:$B,2,FALSE)),"")</f>
        <v/>
      </c>
      <c r="QO2" s="2" t="str">
        <f>IFERROR(IF(VLOOKUP(QO$3,Touchpoints!$A:$B,2,FALSE)=0,"",VLOOKUP(QO$3,Touchpoints!$A:$B,2,FALSE)),"")</f>
        <v/>
      </c>
      <c r="QP2" s="2" t="str">
        <f>IFERROR(IF(VLOOKUP(QP$3,Touchpoints!$A:$B,2,FALSE)=0,"",VLOOKUP(QP$3,Touchpoints!$A:$B,2,FALSE)),"")</f>
        <v/>
      </c>
      <c r="QQ2" s="2" t="str">
        <f>IFERROR(IF(VLOOKUP(QQ$3,Touchpoints!$A:$B,2,FALSE)=0,"",VLOOKUP(QQ$3,Touchpoints!$A:$B,2,FALSE)),"")</f>
        <v/>
      </c>
      <c r="QR2" s="2" t="str">
        <f>IFERROR(IF(VLOOKUP(QR$3,Touchpoints!$A:$B,2,FALSE)=0,"",VLOOKUP(QR$3,Touchpoints!$A:$B,2,FALSE)),"")</f>
        <v/>
      </c>
      <c r="QS2" s="2" t="str">
        <f>IFERROR(IF(VLOOKUP(QS$3,Touchpoints!$A:$B,2,FALSE)=0,"",VLOOKUP(QS$3,Touchpoints!$A:$B,2,FALSE)),"")</f>
        <v/>
      </c>
      <c r="QT2" s="2" t="str">
        <f>IFERROR(IF(VLOOKUP(QT$3,Touchpoints!$A:$B,2,FALSE)=0,"",VLOOKUP(QT$3,Touchpoints!$A:$B,2,FALSE)),"")</f>
        <v/>
      </c>
      <c r="QU2" s="2" t="str">
        <f>IFERROR(IF(VLOOKUP(QU$3,Touchpoints!$A:$B,2,FALSE)=0,"",VLOOKUP(QU$3,Touchpoints!$A:$B,2,FALSE)),"")</f>
        <v/>
      </c>
      <c r="QV2" s="2" t="str">
        <f>IFERROR(IF(VLOOKUP(QV$3,Touchpoints!$A:$B,2,FALSE)=0,"",VLOOKUP(QV$3,Touchpoints!$A:$B,2,FALSE)),"")</f>
        <v/>
      </c>
      <c r="QW2" s="2" t="str">
        <f>IFERROR(IF(VLOOKUP(QW$3,Touchpoints!$A:$B,2,FALSE)=0,"",VLOOKUP(QW$3,Touchpoints!$A:$B,2,FALSE)),"")</f>
        <v/>
      </c>
      <c r="QX2" s="2" t="str">
        <f>IFERROR(IF(VLOOKUP(QX$3,Touchpoints!$A:$B,2,FALSE)=0,"",VLOOKUP(QX$3,Touchpoints!$A:$B,2,FALSE)),"")</f>
        <v/>
      </c>
      <c r="QY2" s="2" t="str">
        <f>IFERROR(IF(VLOOKUP(QY$3,Touchpoints!$A:$B,2,FALSE)=0,"",VLOOKUP(QY$3,Touchpoints!$A:$B,2,FALSE)),"")</f>
        <v/>
      </c>
      <c r="QZ2" s="2" t="str">
        <f>IFERROR(IF(VLOOKUP(QZ$3,Touchpoints!$A:$B,2,FALSE)=0,"",VLOOKUP(QZ$3,Touchpoints!$A:$B,2,FALSE)),"")</f>
        <v/>
      </c>
      <c r="RA2" s="2" t="str">
        <f>IFERROR(IF(VLOOKUP(RA$3,Touchpoints!$A:$B,2,FALSE)=0,"",VLOOKUP(RA$3,Touchpoints!$A:$B,2,FALSE)),"")</f>
        <v/>
      </c>
      <c r="RB2" s="2" t="str">
        <f>IFERROR(IF(VLOOKUP(RB$3,Touchpoints!$A:$B,2,FALSE)=0,"",VLOOKUP(RB$3,Touchpoints!$A:$B,2,FALSE)),"")</f>
        <v/>
      </c>
      <c r="RC2" s="2" t="str">
        <f>IFERROR(IF(VLOOKUP(RC$3,Touchpoints!$A:$B,2,FALSE)=0,"",VLOOKUP(RC$3,Touchpoints!$A:$B,2,FALSE)),"")</f>
        <v/>
      </c>
      <c r="RD2" s="2" t="str">
        <f>IFERROR(IF(VLOOKUP(RD$3,Touchpoints!$A:$B,2,FALSE)=0,"",VLOOKUP(RD$3,Touchpoints!$A:$B,2,FALSE)),"")</f>
        <v/>
      </c>
      <c r="RE2" s="2" t="str">
        <f>IFERROR(IF(VLOOKUP(RE$3,Touchpoints!$A:$B,2,FALSE)=0,"",VLOOKUP(RE$3,Touchpoints!$A:$B,2,FALSE)),"")</f>
        <v/>
      </c>
      <c r="RF2" s="2" t="str">
        <f>IFERROR(IF(VLOOKUP(RF$3,Touchpoints!$A:$B,2,FALSE)=0,"",VLOOKUP(RF$3,Touchpoints!$A:$B,2,FALSE)),"")</f>
        <v/>
      </c>
      <c r="RG2" s="2" t="str">
        <f>IFERROR(IF(VLOOKUP(RG$3,Touchpoints!$A:$B,2,FALSE)=0,"",VLOOKUP(RG$3,Touchpoints!$A:$B,2,FALSE)),"")</f>
        <v/>
      </c>
      <c r="RH2" s="2" t="str">
        <f>IFERROR(IF(VLOOKUP(RH$3,Touchpoints!$A:$B,2,FALSE)=0,"",VLOOKUP(RH$3,Touchpoints!$A:$B,2,FALSE)),"")</f>
        <v/>
      </c>
      <c r="RI2" s="2" t="str">
        <f>IFERROR(IF(VLOOKUP(RI$3,Touchpoints!$A:$B,2,FALSE)=0,"",VLOOKUP(RI$3,Touchpoints!$A:$B,2,FALSE)),"")</f>
        <v/>
      </c>
      <c r="RJ2" s="2" t="str">
        <f>IFERROR(IF(VLOOKUP(RJ$3,Touchpoints!$A:$B,2,FALSE)=0,"",VLOOKUP(RJ$3,Touchpoints!$A:$B,2,FALSE)),"")</f>
        <v/>
      </c>
      <c r="RK2" s="2" t="str">
        <f>IFERROR(IF(VLOOKUP(RK$3,Touchpoints!$A:$B,2,FALSE)=0,"",VLOOKUP(RK$3,Touchpoints!$A:$B,2,FALSE)),"")</f>
        <v/>
      </c>
      <c r="RL2" s="2" t="str">
        <f>IFERROR(IF(VLOOKUP(RL$3,Touchpoints!$A:$B,2,FALSE)=0,"",VLOOKUP(RL$3,Touchpoints!$A:$B,2,FALSE)),"")</f>
        <v/>
      </c>
      <c r="RM2" s="2" t="str">
        <f>IFERROR(IF(VLOOKUP(RM$3,Touchpoints!$A:$B,2,FALSE)=0,"",VLOOKUP(RM$3,Touchpoints!$A:$B,2,FALSE)),"")</f>
        <v/>
      </c>
      <c r="RN2" s="2" t="str">
        <f>IFERROR(IF(VLOOKUP(RN$3,Touchpoints!$A:$B,2,FALSE)=0,"",VLOOKUP(RN$3,Touchpoints!$A:$B,2,FALSE)),"")</f>
        <v/>
      </c>
      <c r="RO2" s="2" t="str">
        <f>IFERROR(IF(VLOOKUP(RO$3,Touchpoints!$A:$B,2,FALSE)=0,"",VLOOKUP(RO$3,Touchpoints!$A:$B,2,FALSE)),"")</f>
        <v/>
      </c>
      <c r="RP2" s="2" t="str">
        <f>IFERROR(IF(VLOOKUP(RP$3,Touchpoints!$A:$B,2,FALSE)=0,"",VLOOKUP(RP$3,Touchpoints!$A:$B,2,FALSE)),"")</f>
        <v/>
      </c>
      <c r="RQ2" s="2" t="str">
        <f>IFERROR(IF(VLOOKUP(RQ$3,Touchpoints!$A:$B,2,FALSE)=0,"",VLOOKUP(RQ$3,Touchpoints!$A:$B,2,FALSE)),"")</f>
        <v/>
      </c>
      <c r="RR2" s="2" t="str">
        <f>IFERROR(IF(VLOOKUP(RR$3,Touchpoints!$A:$B,2,FALSE)=0,"",VLOOKUP(RR$3,Touchpoints!$A:$B,2,FALSE)),"")</f>
        <v/>
      </c>
      <c r="RS2" s="2" t="str">
        <f>IFERROR(IF(VLOOKUP(RS$3,Touchpoints!$A:$B,2,FALSE)=0,"",VLOOKUP(RS$3,Touchpoints!$A:$B,2,FALSE)),"")</f>
        <v/>
      </c>
      <c r="RT2" s="2" t="str">
        <f>IFERROR(IF(VLOOKUP(RT$3,Touchpoints!$A:$B,2,FALSE)=0,"",VLOOKUP(RT$3,Touchpoints!$A:$B,2,FALSE)),"")</f>
        <v/>
      </c>
      <c r="RU2" s="2" t="str">
        <f>IFERROR(IF(VLOOKUP(RU$3,Touchpoints!$A:$B,2,FALSE)=0,"",VLOOKUP(RU$3,Touchpoints!$A:$B,2,FALSE)),"")</f>
        <v/>
      </c>
      <c r="RV2" s="2" t="str">
        <f>IFERROR(IF(VLOOKUP(RV$3,Touchpoints!$A:$B,2,FALSE)=0,"",VLOOKUP(RV$3,Touchpoints!$A:$B,2,FALSE)),"")</f>
        <v/>
      </c>
      <c r="RW2" s="2" t="str">
        <f>IFERROR(IF(VLOOKUP(RW$3,Touchpoints!$A:$B,2,FALSE)=0,"",VLOOKUP(RW$3,Touchpoints!$A:$B,2,FALSE)),"")</f>
        <v/>
      </c>
      <c r="RX2" s="2" t="str">
        <f>IFERROR(IF(VLOOKUP(RX$3,Touchpoints!$A:$B,2,FALSE)=0,"",VLOOKUP(RX$3,Touchpoints!$A:$B,2,FALSE)),"")</f>
        <v/>
      </c>
      <c r="RY2" s="2" t="str">
        <f>IFERROR(IF(VLOOKUP(RY$3,Touchpoints!$A:$B,2,FALSE)=0,"",VLOOKUP(RY$3,Touchpoints!$A:$B,2,FALSE)),"")</f>
        <v/>
      </c>
      <c r="RZ2" s="2" t="str">
        <f>IFERROR(IF(VLOOKUP(RZ$3,Touchpoints!$A:$B,2,FALSE)=0,"",VLOOKUP(RZ$3,Touchpoints!$A:$B,2,FALSE)),"")</f>
        <v/>
      </c>
      <c r="SA2" s="2" t="str">
        <f>IFERROR(IF(VLOOKUP(SA$3,Touchpoints!$A:$B,2,FALSE)=0,"",VLOOKUP(SA$3,Touchpoints!$A:$B,2,FALSE)),"")</f>
        <v/>
      </c>
      <c r="SB2" s="2" t="str">
        <f>IFERROR(IF(VLOOKUP(SB$3,Touchpoints!$A:$B,2,FALSE)=0,"",VLOOKUP(SB$3,Touchpoints!$A:$B,2,FALSE)),"")</f>
        <v/>
      </c>
      <c r="SC2" s="2" t="str">
        <f>IFERROR(IF(VLOOKUP(SC$3,Touchpoints!$A:$B,2,FALSE)=0,"",VLOOKUP(SC$3,Touchpoints!$A:$B,2,FALSE)),"")</f>
        <v/>
      </c>
      <c r="SD2" s="2" t="str">
        <f>IFERROR(IF(VLOOKUP(SD$3,Touchpoints!$A:$B,2,FALSE)=0,"",VLOOKUP(SD$3,Touchpoints!$A:$B,2,FALSE)),"")</f>
        <v/>
      </c>
      <c r="SE2" s="2" t="str">
        <f>IFERROR(IF(VLOOKUP(SE$3,Touchpoints!$A:$B,2,FALSE)=0,"",VLOOKUP(SE$3,Touchpoints!$A:$B,2,FALSE)),"")</f>
        <v/>
      </c>
      <c r="SF2" s="2" t="str">
        <f>IFERROR(IF(VLOOKUP(SF$3,Touchpoints!$A:$B,2,FALSE)=0,"",VLOOKUP(SF$3,Touchpoints!$A:$B,2,FALSE)),"")</f>
        <v/>
      </c>
      <c r="SG2" s="2" t="str">
        <f>IFERROR(IF(VLOOKUP(SG$3,Touchpoints!$A:$B,2,FALSE)=0,"",VLOOKUP(SG$3,Touchpoints!$A:$B,2,FALSE)),"")</f>
        <v/>
      </c>
      <c r="SH2" s="2" t="str">
        <f>IFERROR(IF(VLOOKUP(SH$3,Touchpoints!$A:$B,2,FALSE)=0,"",VLOOKUP(SH$3,Touchpoints!$A:$B,2,FALSE)),"")</f>
        <v/>
      </c>
      <c r="SI2" s="2" t="str">
        <f>IFERROR(IF(VLOOKUP(SI$3,Touchpoints!$A:$B,2,FALSE)=0,"",VLOOKUP(SI$3,Touchpoints!$A:$B,2,FALSE)),"")</f>
        <v/>
      </c>
      <c r="SJ2" s="2" t="str">
        <f>IFERROR(IF(VLOOKUP(SJ$3,Touchpoints!$A:$B,2,FALSE)=0,"",VLOOKUP(SJ$3,Touchpoints!$A:$B,2,FALSE)),"")</f>
        <v/>
      </c>
      <c r="SK2" s="2" t="str">
        <f>IFERROR(IF(VLOOKUP(SK$3,Touchpoints!$A:$B,2,FALSE)=0,"",VLOOKUP(SK$3,Touchpoints!$A:$B,2,FALSE)),"")</f>
        <v/>
      </c>
      <c r="SL2" s="2" t="str">
        <f>IFERROR(IF(VLOOKUP(SL$3,Touchpoints!$A:$B,2,FALSE)=0,"",VLOOKUP(SL$3,Touchpoints!$A:$B,2,FALSE)),"")</f>
        <v/>
      </c>
      <c r="SM2" s="2" t="str">
        <f>IFERROR(IF(VLOOKUP(SM$3,Touchpoints!$A:$B,2,FALSE)=0,"",VLOOKUP(SM$3,Touchpoints!$A:$B,2,FALSE)),"")</f>
        <v/>
      </c>
      <c r="SN2" s="2" t="str">
        <f>IFERROR(IF(VLOOKUP(SN$3,Touchpoints!$A:$B,2,FALSE)=0,"",VLOOKUP(SN$3,Touchpoints!$A:$B,2,FALSE)),"")</f>
        <v/>
      </c>
      <c r="SO2" s="2" t="str">
        <f>IFERROR(IF(VLOOKUP(SO$3,Touchpoints!$A:$B,2,FALSE)=0,"",VLOOKUP(SO$3,Touchpoints!$A:$B,2,FALSE)),"")</f>
        <v/>
      </c>
      <c r="SP2" s="2" t="str">
        <f>IFERROR(IF(VLOOKUP(SP$3,Touchpoints!$A:$B,2,FALSE)=0,"",VLOOKUP(SP$3,Touchpoints!$A:$B,2,FALSE)),"")</f>
        <v/>
      </c>
      <c r="SQ2" s="2" t="str">
        <f>IFERROR(IF(VLOOKUP(SQ$3,Touchpoints!$A:$B,2,FALSE)=0,"",VLOOKUP(SQ$3,Touchpoints!$A:$B,2,FALSE)),"")</f>
        <v/>
      </c>
      <c r="SR2" s="2" t="str">
        <f>IFERROR(IF(VLOOKUP(SR$3,Touchpoints!$A:$B,2,FALSE)=0,"",VLOOKUP(SR$3,Touchpoints!$A:$B,2,FALSE)),"")</f>
        <v/>
      </c>
      <c r="SS2" s="2" t="str">
        <f>IFERROR(IF(VLOOKUP(SS$3,Touchpoints!$A:$B,2,FALSE)=0,"",VLOOKUP(SS$3,Touchpoints!$A:$B,2,FALSE)),"")</f>
        <v/>
      </c>
      <c r="ST2" s="2" t="str">
        <f>IFERROR(IF(VLOOKUP(ST$3,Touchpoints!$A:$B,2,FALSE)=0,"",VLOOKUP(ST$3,Touchpoints!$A:$B,2,FALSE)),"")</f>
        <v/>
      </c>
      <c r="SU2" s="2" t="str">
        <f>IFERROR(IF(VLOOKUP(SU$3,Touchpoints!$A:$B,2,FALSE)=0,"",VLOOKUP(SU$3,Touchpoints!$A:$B,2,FALSE)),"")</f>
        <v/>
      </c>
      <c r="SV2" s="2" t="str">
        <f>IFERROR(IF(VLOOKUP(SV$3,Touchpoints!$A:$B,2,FALSE)=0,"",VLOOKUP(SV$3,Touchpoints!$A:$B,2,FALSE)),"")</f>
        <v/>
      </c>
      <c r="SW2" s="2" t="str">
        <f>IFERROR(IF(VLOOKUP(SW$3,Touchpoints!$A:$B,2,FALSE)=0,"",VLOOKUP(SW$3,Touchpoints!$A:$B,2,FALSE)),"")</f>
        <v/>
      </c>
      <c r="SX2" s="2" t="str">
        <f>IFERROR(IF(VLOOKUP(SX$3,Touchpoints!$A:$B,2,FALSE)=0,"",VLOOKUP(SX$3,Touchpoints!$A:$B,2,FALSE)),"")</f>
        <v/>
      </c>
      <c r="SY2" s="2" t="str">
        <f>IFERROR(IF(VLOOKUP(SY$3,Touchpoints!$A:$B,2,FALSE)=0,"",VLOOKUP(SY$3,Touchpoints!$A:$B,2,FALSE)),"")</f>
        <v/>
      </c>
      <c r="SZ2" s="2" t="str">
        <f>IFERROR(IF(VLOOKUP(SZ$3,Touchpoints!$A:$B,2,FALSE)=0,"",VLOOKUP(SZ$3,Touchpoints!$A:$B,2,FALSE)),"")</f>
        <v/>
      </c>
      <c r="TA2" s="2" t="str">
        <f>IFERROR(IF(VLOOKUP(TA$3,Touchpoints!$A:$B,2,FALSE)=0,"",VLOOKUP(TA$3,Touchpoints!$A:$B,2,FALSE)),"")</f>
        <v/>
      </c>
      <c r="TB2" s="2" t="str">
        <f>IFERROR(IF(VLOOKUP(TB$3,Touchpoints!$A:$B,2,FALSE)=0,"",VLOOKUP(TB$3,Touchpoints!$A:$B,2,FALSE)),"")</f>
        <v/>
      </c>
      <c r="TC2" s="2" t="str">
        <f>IFERROR(IF(VLOOKUP(TC$3,Touchpoints!$A:$B,2,FALSE)=0,"",VLOOKUP(TC$3,Touchpoints!$A:$B,2,FALSE)),"")</f>
        <v/>
      </c>
      <c r="TD2" s="2" t="str">
        <f>IFERROR(IF(VLOOKUP(TD$3,Touchpoints!$A:$B,2,FALSE)=0,"",VLOOKUP(TD$3,Touchpoints!$A:$B,2,FALSE)),"")</f>
        <v/>
      </c>
      <c r="TE2" s="2" t="str">
        <f>IFERROR(IF(VLOOKUP(TE$3,Touchpoints!$A:$B,2,FALSE)=0,"",VLOOKUP(TE$3,Touchpoints!$A:$B,2,FALSE)),"")</f>
        <v/>
      </c>
      <c r="TF2" s="2" t="str">
        <f>IFERROR(IF(VLOOKUP(TF$3,Touchpoints!$A:$B,2,FALSE)=0,"",VLOOKUP(TF$3,Touchpoints!$A:$B,2,FALSE)),"")</f>
        <v/>
      </c>
      <c r="TG2" s="2" t="str">
        <f>IFERROR(IF(VLOOKUP(TG$3,Touchpoints!$A:$B,2,FALSE)=0,"",VLOOKUP(TG$3,Touchpoints!$A:$B,2,FALSE)),"")</f>
        <v/>
      </c>
      <c r="TH2" s="2" t="str">
        <f>IFERROR(IF(VLOOKUP(TH$3,Touchpoints!$A:$B,2,FALSE)=0,"",VLOOKUP(TH$3,Touchpoints!$A:$B,2,FALSE)),"")</f>
        <v/>
      </c>
      <c r="TI2" s="2" t="str">
        <f>IFERROR(IF(VLOOKUP(TI$3,Touchpoints!$A:$B,2,FALSE)=0,"",VLOOKUP(TI$3,Touchpoints!$A:$B,2,FALSE)),"")</f>
        <v/>
      </c>
      <c r="TJ2" s="2" t="str">
        <f>IFERROR(IF(VLOOKUP(TJ$3,Touchpoints!$A:$B,2,FALSE)=0,"",VLOOKUP(TJ$3,Touchpoints!$A:$B,2,FALSE)),"")</f>
        <v/>
      </c>
      <c r="TK2" s="2" t="str">
        <f>IFERROR(IF(VLOOKUP(TK$3,Touchpoints!$A:$B,2,FALSE)=0,"",VLOOKUP(TK$3,Touchpoints!$A:$B,2,FALSE)),"")</f>
        <v/>
      </c>
      <c r="TL2" s="2" t="str">
        <f>IFERROR(IF(VLOOKUP(TL$3,Touchpoints!$A:$B,2,FALSE)=0,"",VLOOKUP(TL$3,Touchpoints!$A:$B,2,FALSE)),"")</f>
        <v/>
      </c>
      <c r="TM2" s="2" t="str">
        <f>IFERROR(IF(VLOOKUP(TM$3,Touchpoints!$A:$B,2,FALSE)=0,"",VLOOKUP(TM$3,Touchpoints!$A:$B,2,FALSE)),"")</f>
        <v/>
      </c>
      <c r="TN2" s="2" t="str">
        <f>IFERROR(IF(VLOOKUP(TN$3,Touchpoints!$A:$B,2,FALSE)=0,"",VLOOKUP(TN$3,Touchpoints!$A:$B,2,FALSE)),"")</f>
        <v/>
      </c>
      <c r="TO2" s="2" t="str">
        <f>IFERROR(IF(VLOOKUP(TO$3,Touchpoints!$A:$B,2,FALSE)=0,"",VLOOKUP(TO$3,Touchpoints!$A:$B,2,FALSE)),"")</f>
        <v/>
      </c>
      <c r="TP2" s="2" t="str">
        <f>IFERROR(IF(VLOOKUP(TP$3,Touchpoints!$A:$B,2,FALSE)=0,"",VLOOKUP(TP$3,Touchpoints!$A:$B,2,FALSE)),"")</f>
        <v/>
      </c>
      <c r="TQ2" s="2" t="str">
        <f>IFERROR(IF(VLOOKUP(TQ$3,Touchpoints!$A:$B,2,FALSE)=0,"",VLOOKUP(TQ$3,Touchpoints!$A:$B,2,FALSE)),"")</f>
        <v/>
      </c>
      <c r="TR2" s="2" t="str">
        <f>IFERROR(IF(VLOOKUP(TR$3,Touchpoints!$A:$B,2,FALSE)=0,"",VLOOKUP(TR$3,Touchpoints!$A:$B,2,FALSE)),"")</f>
        <v/>
      </c>
      <c r="TS2" s="2" t="str">
        <f>IFERROR(IF(VLOOKUP(TS$3,Touchpoints!$A:$B,2,FALSE)=0,"",VLOOKUP(TS$3,Touchpoints!$A:$B,2,FALSE)),"")</f>
        <v/>
      </c>
      <c r="TT2" s="2" t="str">
        <f>IFERROR(IF(VLOOKUP(TT$3,Touchpoints!$A:$B,2,FALSE)=0,"",VLOOKUP(TT$3,Touchpoints!$A:$B,2,FALSE)),"")</f>
        <v/>
      </c>
      <c r="TU2" s="2" t="str">
        <f>IFERROR(IF(VLOOKUP(TU$3,Touchpoints!$A:$B,2,FALSE)=0,"",VLOOKUP(TU$3,Touchpoints!$A:$B,2,FALSE)),"")</f>
        <v/>
      </c>
      <c r="TV2" s="2" t="str">
        <f>IFERROR(IF(VLOOKUP(TV$3,Touchpoints!$A:$B,2,FALSE)=0,"",VLOOKUP(TV$3,Touchpoints!$A:$B,2,FALSE)),"")</f>
        <v/>
      </c>
      <c r="TW2" s="2" t="str">
        <f>IFERROR(IF(VLOOKUP(TW$3,Touchpoints!$A:$B,2,FALSE)=0,"",VLOOKUP(TW$3,Touchpoints!$A:$B,2,FALSE)),"")</f>
        <v/>
      </c>
      <c r="TX2" s="2" t="str">
        <f>IFERROR(IF(VLOOKUP(TX$3,Touchpoints!$A:$B,2,FALSE)=0,"",VLOOKUP(TX$3,Touchpoints!$A:$B,2,FALSE)),"")</f>
        <v/>
      </c>
      <c r="TY2" s="2" t="str">
        <f>IFERROR(IF(VLOOKUP(TY$3,Touchpoints!$A:$B,2,FALSE)=0,"",VLOOKUP(TY$3,Touchpoints!$A:$B,2,FALSE)),"")</f>
        <v/>
      </c>
      <c r="TZ2" s="2" t="str">
        <f>IFERROR(IF(VLOOKUP(TZ$3,Touchpoints!$A:$B,2,FALSE)=0,"",VLOOKUP(TZ$3,Touchpoints!$A:$B,2,FALSE)),"")</f>
        <v/>
      </c>
      <c r="UA2" s="2" t="str">
        <f>IFERROR(IF(VLOOKUP(UA$3,Touchpoints!$A:$B,2,FALSE)=0,"",VLOOKUP(UA$3,Touchpoints!$A:$B,2,FALSE)),"")</f>
        <v/>
      </c>
      <c r="UB2" s="2" t="str">
        <f>IFERROR(IF(VLOOKUP(UB$3,Touchpoints!$A:$B,2,FALSE)=0,"",VLOOKUP(UB$3,Touchpoints!$A:$B,2,FALSE)),"")</f>
        <v/>
      </c>
      <c r="UC2" s="2" t="str">
        <f>IFERROR(IF(VLOOKUP(UC$3,Touchpoints!$A:$B,2,FALSE)=0,"",VLOOKUP(UC$3,Touchpoints!$A:$B,2,FALSE)),"")</f>
        <v/>
      </c>
      <c r="UD2" s="2" t="str">
        <f>IFERROR(IF(VLOOKUP(UD$3,Touchpoints!$A:$B,2,FALSE)=0,"",VLOOKUP(UD$3,Touchpoints!$A:$B,2,FALSE)),"")</f>
        <v/>
      </c>
      <c r="UE2" s="2" t="str">
        <f>IFERROR(IF(VLOOKUP(UE$3,Touchpoints!$A:$B,2,FALSE)=0,"",VLOOKUP(UE$3,Touchpoints!$A:$B,2,FALSE)),"")</f>
        <v/>
      </c>
      <c r="UF2" s="2" t="str">
        <f>IFERROR(IF(VLOOKUP(UF$3,Touchpoints!$A:$B,2,FALSE)=0,"",VLOOKUP(UF$3,Touchpoints!$A:$B,2,FALSE)),"")</f>
        <v/>
      </c>
      <c r="UG2" s="2" t="str">
        <f>IFERROR(IF(VLOOKUP(UG$3,Touchpoints!$A:$B,2,FALSE)=0,"",VLOOKUP(UG$3,Touchpoints!$A:$B,2,FALSE)),"")</f>
        <v/>
      </c>
      <c r="UH2" s="2" t="str">
        <f>IFERROR(IF(VLOOKUP(UH$3,Touchpoints!$A:$B,2,FALSE)=0,"",VLOOKUP(UH$3,Touchpoints!$A:$B,2,FALSE)),"")</f>
        <v/>
      </c>
      <c r="UI2" s="2" t="str">
        <f>IFERROR(IF(VLOOKUP(UI$3,Touchpoints!$A:$B,2,FALSE)=0,"",VLOOKUP(UI$3,Touchpoints!$A:$B,2,FALSE)),"")</f>
        <v/>
      </c>
      <c r="UJ2" s="2" t="str">
        <f>IFERROR(IF(VLOOKUP(UJ$3,Touchpoints!$A:$B,2,FALSE)=0,"",VLOOKUP(UJ$3,Touchpoints!$A:$B,2,FALSE)),"")</f>
        <v/>
      </c>
      <c r="UK2" s="2" t="str">
        <f>IFERROR(IF(VLOOKUP(UK$3,Touchpoints!$A:$B,2,FALSE)=0,"",VLOOKUP(UK$3,Touchpoints!$A:$B,2,FALSE)),"")</f>
        <v/>
      </c>
      <c r="UL2" s="2" t="str">
        <f>IFERROR(IF(VLOOKUP(UL$3,Touchpoints!$A:$B,2,FALSE)=0,"",VLOOKUP(UL$3,Touchpoints!$A:$B,2,FALSE)),"")</f>
        <v/>
      </c>
      <c r="UM2" s="2" t="str">
        <f>IFERROR(IF(VLOOKUP(UM$3,Touchpoints!$A:$B,2,FALSE)=0,"",VLOOKUP(UM$3,Touchpoints!$A:$B,2,FALSE)),"")</f>
        <v/>
      </c>
      <c r="UN2" s="2" t="str">
        <f>IFERROR(IF(VLOOKUP(UN$3,Touchpoints!$A:$B,2,FALSE)=0,"",VLOOKUP(UN$3,Touchpoints!$A:$B,2,FALSE)),"")</f>
        <v/>
      </c>
      <c r="UO2" s="2" t="str">
        <f>IFERROR(IF(VLOOKUP(UO$3,Touchpoints!$A:$B,2,FALSE)=0,"",VLOOKUP(UO$3,Touchpoints!$A:$B,2,FALSE)),"")</f>
        <v/>
      </c>
      <c r="UP2" s="2" t="str">
        <f>IFERROR(IF(VLOOKUP(UP$3,Touchpoints!$A:$B,2,FALSE)=0,"",VLOOKUP(UP$3,Touchpoints!$A:$B,2,FALSE)),"")</f>
        <v/>
      </c>
      <c r="UQ2" s="2" t="str">
        <f>IFERROR(IF(VLOOKUP(UQ$3,Touchpoints!$A:$B,2,FALSE)=0,"",VLOOKUP(UQ$3,Touchpoints!$A:$B,2,FALSE)),"")</f>
        <v/>
      </c>
      <c r="UR2" s="2" t="str">
        <f>IFERROR(IF(VLOOKUP(UR$3,Touchpoints!$A:$B,2,FALSE)=0,"",VLOOKUP(UR$3,Touchpoints!$A:$B,2,FALSE)),"")</f>
        <v/>
      </c>
      <c r="US2" s="2" t="str">
        <f>IFERROR(IF(VLOOKUP(US$3,Touchpoints!$A:$B,2,FALSE)=0,"",VLOOKUP(US$3,Touchpoints!$A:$B,2,FALSE)),"")</f>
        <v/>
      </c>
      <c r="UT2" s="2" t="str">
        <f>IFERROR(IF(VLOOKUP(UT$3,Touchpoints!$A:$B,2,FALSE)=0,"",VLOOKUP(UT$3,Touchpoints!$A:$B,2,FALSE)),"")</f>
        <v/>
      </c>
      <c r="UU2" s="2" t="str">
        <f>IFERROR(IF(VLOOKUP(UU$3,Touchpoints!$A:$B,2,FALSE)=0,"",VLOOKUP(UU$3,Touchpoints!$A:$B,2,FALSE)),"")</f>
        <v/>
      </c>
      <c r="UV2" s="2" t="str">
        <f>IFERROR(IF(VLOOKUP(UV$3,Touchpoints!$A:$B,2,FALSE)=0,"",VLOOKUP(UV$3,Touchpoints!$A:$B,2,FALSE)),"")</f>
        <v/>
      </c>
      <c r="UW2" s="2" t="str">
        <f>IFERROR(IF(VLOOKUP(UW$3,Touchpoints!$A:$B,2,FALSE)=0,"",VLOOKUP(UW$3,Touchpoints!$A:$B,2,FALSE)),"")</f>
        <v/>
      </c>
      <c r="UX2" s="2" t="str">
        <f>IFERROR(IF(VLOOKUP(UX$3,Touchpoints!$A:$B,2,FALSE)=0,"",VLOOKUP(UX$3,Touchpoints!$A:$B,2,FALSE)),"")</f>
        <v/>
      </c>
      <c r="UY2" s="2" t="str">
        <f>IFERROR(IF(VLOOKUP(UY$3,Touchpoints!$A:$B,2,FALSE)=0,"",VLOOKUP(UY$3,Touchpoints!$A:$B,2,FALSE)),"")</f>
        <v/>
      </c>
      <c r="UZ2" s="2" t="str">
        <f>IFERROR(IF(VLOOKUP(UZ$3,Touchpoints!$A:$B,2,FALSE)=0,"",VLOOKUP(UZ$3,Touchpoints!$A:$B,2,FALSE)),"")</f>
        <v/>
      </c>
      <c r="VA2" s="2" t="str">
        <f>IFERROR(IF(VLOOKUP(VA$3,Touchpoints!$A:$B,2,FALSE)=0,"",VLOOKUP(VA$3,Touchpoints!$A:$B,2,FALSE)),"")</f>
        <v/>
      </c>
      <c r="VB2" s="2" t="str">
        <f>IFERROR(IF(VLOOKUP(VB$3,Touchpoints!$A:$B,2,FALSE)=0,"",VLOOKUP(VB$3,Touchpoints!$A:$B,2,FALSE)),"")</f>
        <v/>
      </c>
      <c r="VC2" s="2" t="str">
        <f>IFERROR(IF(VLOOKUP(VC$3,Touchpoints!$A:$B,2,FALSE)=0,"",VLOOKUP(VC$3,Touchpoints!$A:$B,2,FALSE)),"")</f>
        <v/>
      </c>
      <c r="VD2" s="2" t="str">
        <f>IFERROR(IF(VLOOKUP(VD$3,Touchpoints!$A:$B,2,FALSE)=0,"",VLOOKUP(VD$3,Touchpoints!$A:$B,2,FALSE)),"")</f>
        <v/>
      </c>
      <c r="VE2" s="2" t="str">
        <f>IFERROR(IF(VLOOKUP(VE$3,Touchpoints!$A:$B,2,FALSE)=0,"",VLOOKUP(VE$3,Touchpoints!$A:$B,2,FALSE)),"")</f>
        <v/>
      </c>
      <c r="VF2" s="2" t="str">
        <f>IFERROR(IF(VLOOKUP(VF$3,Touchpoints!$A:$B,2,FALSE)=0,"",VLOOKUP(VF$3,Touchpoints!$A:$B,2,FALSE)),"")</f>
        <v/>
      </c>
      <c r="VG2" s="2" t="str">
        <f>IFERROR(IF(VLOOKUP(VG$3,Touchpoints!$A:$B,2,FALSE)=0,"",VLOOKUP(VG$3,Touchpoints!$A:$B,2,FALSE)),"")</f>
        <v/>
      </c>
      <c r="VH2" s="2" t="str">
        <f>IFERROR(IF(VLOOKUP(VH$3,Touchpoints!$A:$B,2,FALSE)=0,"",VLOOKUP(VH$3,Touchpoints!$A:$B,2,FALSE)),"")</f>
        <v/>
      </c>
      <c r="VI2" s="2" t="str">
        <f>IFERROR(IF(VLOOKUP(VI$3,Touchpoints!$A:$B,2,FALSE)=0,"",VLOOKUP(VI$3,Touchpoints!$A:$B,2,FALSE)),"")</f>
        <v/>
      </c>
      <c r="VJ2" s="2" t="str">
        <f>IFERROR(IF(VLOOKUP(VJ$3,Touchpoints!$A:$B,2,FALSE)=0,"",VLOOKUP(VJ$3,Touchpoints!$A:$B,2,FALSE)),"")</f>
        <v/>
      </c>
      <c r="VK2" s="2" t="str">
        <f>IFERROR(IF(VLOOKUP(VK$3,Touchpoints!$A:$B,2,FALSE)=0,"",VLOOKUP(VK$3,Touchpoints!$A:$B,2,FALSE)),"")</f>
        <v/>
      </c>
      <c r="VL2" s="2" t="str">
        <f>IFERROR(IF(VLOOKUP(VL$3,Touchpoints!$A:$B,2,FALSE)=0,"",VLOOKUP(VL$3,Touchpoints!$A:$B,2,FALSE)),"")</f>
        <v/>
      </c>
      <c r="VM2" s="2" t="str">
        <f>IFERROR(IF(VLOOKUP(VM$3,Touchpoints!$A:$B,2,FALSE)=0,"",VLOOKUP(VM$3,Touchpoints!$A:$B,2,FALSE)),"")</f>
        <v/>
      </c>
      <c r="VN2" s="2" t="str">
        <f>IFERROR(IF(VLOOKUP(VN$3,Touchpoints!$A:$B,2,FALSE)=0,"",VLOOKUP(VN$3,Touchpoints!$A:$B,2,FALSE)),"")</f>
        <v/>
      </c>
      <c r="VO2" s="2" t="str">
        <f>IFERROR(IF(VLOOKUP(VO$3,Touchpoints!$A:$B,2,FALSE)=0,"",VLOOKUP(VO$3,Touchpoints!$A:$B,2,FALSE)),"")</f>
        <v/>
      </c>
      <c r="VP2" s="2" t="str">
        <f>IFERROR(IF(VLOOKUP(VP$3,Touchpoints!$A:$B,2,FALSE)=0,"",VLOOKUP(VP$3,Touchpoints!$A:$B,2,FALSE)),"")</f>
        <v/>
      </c>
      <c r="VQ2" s="2" t="str">
        <f>IFERROR(IF(VLOOKUP(VQ$3,Touchpoints!$A:$B,2,FALSE)=0,"",VLOOKUP(VQ$3,Touchpoints!$A:$B,2,FALSE)),"")</f>
        <v/>
      </c>
      <c r="VR2" s="2" t="str">
        <f>IFERROR(IF(VLOOKUP(VR$3,Touchpoints!$A:$B,2,FALSE)=0,"",VLOOKUP(VR$3,Touchpoints!$A:$B,2,FALSE)),"")</f>
        <v/>
      </c>
      <c r="VS2" s="2" t="str">
        <f>IFERROR(IF(VLOOKUP(VS$3,Touchpoints!$A:$B,2,FALSE)=0,"",VLOOKUP(VS$3,Touchpoints!$A:$B,2,FALSE)),"")</f>
        <v/>
      </c>
      <c r="VT2" s="2" t="str">
        <f>IFERROR(IF(VLOOKUP(VT$3,Touchpoints!$A:$B,2,FALSE)=0,"",VLOOKUP(VT$3,Touchpoints!$A:$B,2,FALSE)),"")</f>
        <v/>
      </c>
      <c r="VU2" s="2" t="str">
        <f>IFERROR(IF(VLOOKUP(VU$3,Touchpoints!$A:$B,2,FALSE)=0,"",VLOOKUP(VU$3,Touchpoints!$A:$B,2,FALSE)),"")</f>
        <v/>
      </c>
      <c r="VV2" s="2" t="str">
        <f>IFERROR(IF(VLOOKUP(VV$3,Touchpoints!$A:$B,2,FALSE)=0,"",VLOOKUP(VV$3,Touchpoints!$A:$B,2,FALSE)),"")</f>
        <v/>
      </c>
      <c r="VW2" s="2" t="str">
        <f>IFERROR(IF(VLOOKUP(VW$3,Touchpoints!$A:$B,2,FALSE)=0,"",VLOOKUP(VW$3,Touchpoints!$A:$B,2,FALSE)),"")</f>
        <v/>
      </c>
      <c r="VX2" s="2" t="str">
        <f>IFERROR(IF(VLOOKUP(VX$3,Touchpoints!$A:$B,2,FALSE)=0,"",VLOOKUP(VX$3,Touchpoints!$A:$B,2,FALSE)),"")</f>
        <v/>
      </c>
      <c r="VY2" s="2" t="str">
        <f>IFERROR(IF(VLOOKUP(VY$3,Touchpoints!$A:$B,2,FALSE)=0,"",VLOOKUP(VY$3,Touchpoints!$A:$B,2,FALSE)),"")</f>
        <v/>
      </c>
      <c r="VZ2" s="2" t="str">
        <f>IFERROR(IF(VLOOKUP(VZ$3,Touchpoints!$A:$B,2,FALSE)=0,"",VLOOKUP(VZ$3,Touchpoints!$A:$B,2,FALSE)),"")</f>
        <v/>
      </c>
      <c r="WA2" s="2" t="str">
        <f>IFERROR(IF(VLOOKUP(WA$3,Touchpoints!$A:$B,2,FALSE)=0,"",VLOOKUP(WA$3,Touchpoints!$A:$B,2,FALSE)),"")</f>
        <v/>
      </c>
      <c r="WB2" s="2" t="str">
        <f>IFERROR(IF(VLOOKUP(WB$3,Touchpoints!$A:$B,2,FALSE)=0,"",VLOOKUP(WB$3,Touchpoints!$A:$B,2,FALSE)),"")</f>
        <v/>
      </c>
      <c r="WC2" s="2" t="str">
        <f>IFERROR(IF(VLOOKUP(WC$3,Touchpoints!$A:$B,2,FALSE)=0,"",VLOOKUP(WC$3,Touchpoints!$A:$B,2,FALSE)),"")</f>
        <v/>
      </c>
      <c r="WD2" s="2" t="str">
        <f>IFERROR(IF(VLOOKUP(WD$3,Touchpoints!$A:$B,2,FALSE)=0,"",VLOOKUP(WD$3,Touchpoints!$A:$B,2,FALSE)),"")</f>
        <v/>
      </c>
      <c r="WE2" s="2" t="str">
        <f>IFERROR(IF(VLOOKUP(WE$3,Touchpoints!$A:$B,2,FALSE)=0,"",VLOOKUP(WE$3,Touchpoints!$A:$B,2,FALSE)),"")</f>
        <v/>
      </c>
      <c r="WF2" s="2" t="str">
        <f>IFERROR(IF(VLOOKUP(WF$3,Touchpoints!$A:$B,2,FALSE)=0,"",VLOOKUP(WF$3,Touchpoints!$A:$B,2,FALSE)),"")</f>
        <v/>
      </c>
      <c r="WG2" s="2" t="str">
        <f>IFERROR(IF(VLOOKUP(WG$3,Touchpoints!$A:$B,2,FALSE)=0,"",VLOOKUP(WG$3,Touchpoints!$A:$B,2,FALSE)),"")</f>
        <v/>
      </c>
      <c r="WH2" s="2" t="str">
        <f>IFERROR(IF(VLOOKUP(WH$3,Touchpoints!$A:$B,2,FALSE)=0,"",VLOOKUP(WH$3,Touchpoints!$A:$B,2,FALSE)),"")</f>
        <v/>
      </c>
      <c r="WI2" s="2" t="str">
        <f>IFERROR(IF(VLOOKUP(WI$3,Touchpoints!$A:$B,2,FALSE)=0,"",VLOOKUP(WI$3,Touchpoints!$A:$B,2,FALSE)),"")</f>
        <v/>
      </c>
      <c r="WJ2" s="2" t="str">
        <f>IFERROR(IF(VLOOKUP(WJ$3,Touchpoints!$A:$B,2,FALSE)=0,"",VLOOKUP(WJ$3,Touchpoints!$A:$B,2,FALSE)),"")</f>
        <v/>
      </c>
      <c r="WK2" s="2" t="str">
        <f>IFERROR(IF(VLOOKUP(WK$3,Touchpoints!$A:$B,2,FALSE)=0,"",VLOOKUP(WK$3,Touchpoints!$A:$B,2,FALSE)),"")</f>
        <v/>
      </c>
      <c r="WL2" s="2" t="str">
        <f>IFERROR(IF(VLOOKUP(WL$3,Touchpoints!$A:$B,2,FALSE)=0,"",VLOOKUP(WL$3,Touchpoints!$A:$B,2,FALSE)),"")</f>
        <v/>
      </c>
      <c r="WM2" s="2" t="str">
        <f>IFERROR(IF(VLOOKUP(WM$3,Touchpoints!$A:$B,2,FALSE)=0,"",VLOOKUP(WM$3,Touchpoints!$A:$B,2,FALSE)),"")</f>
        <v/>
      </c>
      <c r="WN2" s="2" t="str">
        <f>IFERROR(IF(VLOOKUP(WN$3,Touchpoints!$A:$B,2,FALSE)=0,"",VLOOKUP(WN$3,Touchpoints!$A:$B,2,FALSE)),"")</f>
        <v/>
      </c>
      <c r="WO2" s="2" t="str">
        <f>IFERROR(IF(VLOOKUP(WO$3,Touchpoints!$A:$B,2,FALSE)=0,"",VLOOKUP(WO$3,Touchpoints!$A:$B,2,FALSE)),"")</f>
        <v/>
      </c>
      <c r="WP2" s="2" t="str">
        <f>IFERROR(IF(VLOOKUP(WP$3,Touchpoints!$A:$B,2,FALSE)=0,"",VLOOKUP(WP$3,Touchpoints!$A:$B,2,FALSE)),"")</f>
        <v/>
      </c>
      <c r="WQ2" s="2" t="str">
        <f>IFERROR(IF(VLOOKUP(WQ$3,Touchpoints!$A:$B,2,FALSE)=0,"",VLOOKUP(WQ$3,Touchpoints!$A:$B,2,FALSE)),"")</f>
        <v/>
      </c>
      <c r="WR2" s="2" t="str">
        <f>IFERROR(IF(VLOOKUP(WR$3,Touchpoints!$A:$B,2,FALSE)=0,"",VLOOKUP(WR$3,Touchpoints!$A:$B,2,FALSE)),"")</f>
        <v/>
      </c>
      <c r="WS2" s="2" t="str">
        <f>IFERROR(IF(VLOOKUP(WS$3,Touchpoints!$A:$B,2,FALSE)=0,"",VLOOKUP(WS$3,Touchpoints!$A:$B,2,FALSE)),"")</f>
        <v/>
      </c>
      <c r="WT2" s="2" t="str">
        <f>IFERROR(IF(VLOOKUP(WT$3,Touchpoints!$A:$B,2,FALSE)=0,"",VLOOKUP(WT$3,Touchpoints!$A:$B,2,FALSE)),"")</f>
        <v/>
      </c>
      <c r="WU2" s="2" t="str">
        <f>IFERROR(IF(VLOOKUP(WU$3,Touchpoints!$A:$B,2,FALSE)=0,"",VLOOKUP(WU$3,Touchpoints!$A:$B,2,FALSE)),"")</f>
        <v/>
      </c>
      <c r="WV2" s="2" t="str">
        <f>IFERROR(IF(VLOOKUP(WV$3,Touchpoints!$A:$B,2,FALSE)=0,"",VLOOKUP(WV$3,Touchpoints!$A:$B,2,FALSE)),"")</f>
        <v/>
      </c>
      <c r="WW2" s="2" t="str">
        <f>IFERROR(IF(VLOOKUP(WW$3,Touchpoints!$A:$B,2,FALSE)=0,"",VLOOKUP(WW$3,Touchpoints!$A:$B,2,FALSE)),"")</f>
        <v/>
      </c>
      <c r="WX2" s="2" t="str">
        <f>IFERROR(IF(VLOOKUP(WX$3,Touchpoints!$A:$B,2,FALSE)=0,"",VLOOKUP(WX$3,Touchpoints!$A:$B,2,FALSE)),"")</f>
        <v/>
      </c>
      <c r="WY2" s="2" t="str">
        <f>IFERROR(IF(VLOOKUP(WY$3,Touchpoints!$A:$B,2,FALSE)=0,"",VLOOKUP(WY$3,Touchpoints!$A:$B,2,FALSE)),"")</f>
        <v/>
      </c>
      <c r="WZ2" s="2" t="str">
        <f>IFERROR(IF(VLOOKUP(WZ$3,Touchpoints!$A:$B,2,FALSE)=0,"",VLOOKUP(WZ$3,Touchpoints!$A:$B,2,FALSE)),"")</f>
        <v/>
      </c>
      <c r="XA2" s="2" t="str">
        <f>IFERROR(IF(VLOOKUP(XA$3,Touchpoints!$A:$B,2,FALSE)=0,"",VLOOKUP(XA$3,Touchpoints!$A:$B,2,FALSE)),"")</f>
        <v/>
      </c>
      <c r="XB2" s="2" t="str">
        <f>IFERROR(IF(VLOOKUP(XB$3,Touchpoints!$A:$B,2,FALSE)=0,"",VLOOKUP(XB$3,Touchpoints!$A:$B,2,FALSE)),"")</f>
        <v/>
      </c>
      <c r="XC2" s="2" t="str">
        <f>IFERROR(IF(VLOOKUP(XC$3,Touchpoints!$A:$B,2,FALSE)=0,"",VLOOKUP(XC$3,Touchpoints!$A:$B,2,FALSE)),"")</f>
        <v/>
      </c>
      <c r="XD2" s="2" t="str">
        <f>IFERROR(IF(VLOOKUP(XD$3,Touchpoints!$A:$B,2,FALSE)=0,"",VLOOKUP(XD$3,Touchpoints!$A:$B,2,FALSE)),"")</f>
        <v/>
      </c>
      <c r="XE2" s="2" t="str">
        <f>IFERROR(IF(VLOOKUP(XE$3,Touchpoints!$A:$B,2,FALSE)=0,"",VLOOKUP(XE$3,Touchpoints!$A:$B,2,FALSE)),"")</f>
        <v/>
      </c>
      <c r="XF2" s="2" t="str">
        <f>IFERROR(IF(VLOOKUP(XF$3,Touchpoints!$A:$B,2,FALSE)=0,"",VLOOKUP(XF$3,Touchpoints!$A:$B,2,FALSE)),"")</f>
        <v/>
      </c>
      <c r="XG2" s="2" t="str">
        <f>IFERROR(IF(VLOOKUP(XG$3,Touchpoints!$A:$B,2,FALSE)=0,"",VLOOKUP(XG$3,Touchpoints!$A:$B,2,FALSE)),"")</f>
        <v/>
      </c>
      <c r="XH2" s="2" t="str">
        <f>IFERROR(IF(VLOOKUP(XH$3,Touchpoints!$A:$B,2,FALSE)=0,"",VLOOKUP(XH$3,Touchpoints!$A:$B,2,FALSE)),"")</f>
        <v/>
      </c>
      <c r="XI2" s="2" t="str">
        <f>IFERROR(IF(VLOOKUP(XI$3,Touchpoints!$A:$B,2,FALSE)=0,"",VLOOKUP(XI$3,Touchpoints!$A:$B,2,FALSE)),"")</f>
        <v/>
      </c>
      <c r="XJ2" s="2" t="str">
        <f>IFERROR(IF(VLOOKUP(XJ$3,Touchpoints!$A:$B,2,FALSE)=0,"",VLOOKUP(XJ$3,Touchpoints!$A:$B,2,FALSE)),"")</f>
        <v/>
      </c>
      <c r="XK2" s="2" t="str">
        <f>IFERROR(IF(VLOOKUP(XK$3,Touchpoints!$A:$B,2,FALSE)=0,"",VLOOKUP(XK$3,Touchpoints!$A:$B,2,FALSE)),"")</f>
        <v/>
      </c>
      <c r="XL2" s="2" t="str">
        <f>IFERROR(IF(VLOOKUP(XL$3,Touchpoints!$A:$B,2,FALSE)=0,"",VLOOKUP(XL$3,Touchpoints!$A:$B,2,FALSE)),"")</f>
        <v/>
      </c>
      <c r="XM2" s="2" t="str">
        <f>IFERROR(IF(VLOOKUP(XM$3,Touchpoints!$A:$B,2,FALSE)=0,"",VLOOKUP(XM$3,Touchpoints!$A:$B,2,FALSE)),"")</f>
        <v/>
      </c>
      <c r="XN2" s="2" t="str">
        <f>IFERROR(IF(VLOOKUP(XN$3,Touchpoints!$A:$B,2,FALSE)=0,"",VLOOKUP(XN$3,Touchpoints!$A:$B,2,FALSE)),"")</f>
        <v/>
      </c>
      <c r="XO2" s="2" t="str">
        <f>IFERROR(IF(VLOOKUP(XO$3,Touchpoints!$A:$B,2,FALSE)=0,"",VLOOKUP(XO$3,Touchpoints!$A:$B,2,FALSE)),"")</f>
        <v/>
      </c>
      <c r="XP2" s="2" t="str">
        <f>IFERROR(IF(VLOOKUP(XP$3,Touchpoints!$A:$B,2,FALSE)=0,"",VLOOKUP(XP$3,Touchpoints!$A:$B,2,FALSE)),"")</f>
        <v/>
      </c>
      <c r="XQ2" s="2" t="str">
        <f>IFERROR(IF(VLOOKUP(XQ$3,Touchpoints!$A:$B,2,FALSE)=0,"",VLOOKUP(XQ$3,Touchpoints!$A:$B,2,FALSE)),"")</f>
        <v/>
      </c>
      <c r="XR2" s="2" t="str">
        <f>IFERROR(IF(VLOOKUP(XR$3,Touchpoints!$A:$B,2,FALSE)=0,"",VLOOKUP(XR$3,Touchpoints!$A:$B,2,FALSE)),"")</f>
        <v/>
      </c>
      <c r="XS2" s="2" t="str">
        <f>IFERROR(IF(VLOOKUP(XS$3,Touchpoints!$A:$B,2,FALSE)=0,"",VLOOKUP(XS$3,Touchpoints!$A:$B,2,FALSE)),"")</f>
        <v/>
      </c>
      <c r="XT2" s="2" t="str">
        <f>IFERROR(IF(VLOOKUP(XT$3,Touchpoints!$A:$B,2,FALSE)=0,"",VLOOKUP(XT$3,Touchpoints!$A:$B,2,FALSE)),"")</f>
        <v/>
      </c>
      <c r="XU2" s="2" t="str">
        <f>IFERROR(IF(VLOOKUP(XU$3,Touchpoints!$A:$B,2,FALSE)=0,"",VLOOKUP(XU$3,Touchpoints!$A:$B,2,FALSE)),"")</f>
        <v/>
      </c>
      <c r="XV2" s="2" t="str">
        <f>IFERROR(IF(VLOOKUP(XV$3,Touchpoints!$A:$B,2,FALSE)=0,"",VLOOKUP(XV$3,Touchpoints!$A:$B,2,FALSE)),"")</f>
        <v/>
      </c>
      <c r="XW2" s="2" t="str">
        <f>IFERROR(IF(VLOOKUP(XW$3,Touchpoints!$A:$B,2,FALSE)=0,"",VLOOKUP(XW$3,Touchpoints!$A:$B,2,FALSE)),"")</f>
        <v/>
      </c>
      <c r="XX2" s="2" t="str">
        <f>IFERROR(IF(VLOOKUP(XX$3,Touchpoints!$A:$B,2,FALSE)=0,"",VLOOKUP(XX$3,Touchpoints!$A:$B,2,FALSE)),"")</f>
        <v/>
      </c>
      <c r="XY2" s="2" t="str">
        <f>IFERROR(IF(VLOOKUP(XY$3,Touchpoints!$A:$B,2,FALSE)=0,"",VLOOKUP(XY$3,Touchpoints!$A:$B,2,FALSE)),"")</f>
        <v/>
      </c>
      <c r="XZ2" s="2" t="str">
        <f>IFERROR(IF(VLOOKUP(XZ$3,Touchpoints!$A:$B,2,FALSE)=0,"",VLOOKUP(XZ$3,Touchpoints!$A:$B,2,FALSE)),"")</f>
        <v/>
      </c>
      <c r="YA2" s="2" t="str">
        <f>IFERROR(IF(VLOOKUP(YA$3,Touchpoints!$A:$B,2,FALSE)=0,"",VLOOKUP(YA$3,Touchpoints!$A:$B,2,FALSE)),"")</f>
        <v/>
      </c>
      <c r="YB2" s="2" t="str">
        <f>IFERROR(IF(VLOOKUP(YB$3,Touchpoints!$A:$B,2,FALSE)=0,"",VLOOKUP(YB$3,Touchpoints!$A:$B,2,FALSE)),"")</f>
        <v/>
      </c>
      <c r="YC2" s="2" t="str">
        <f>IFERROR(IF(VLOOKUP(YC$3,Touchpoints!$A:$B,2,FALSE)=0,"",VLOOKUP(YC$3,Touchpoints!$A:$B,2,FALSE)),"")</f>
        <v/>
      </c>
      <c r="YD2" s="2" t="str">
        <f>IFERROR(IF(VLOOKUP(YD$3,Touchpoints!$A:$B,2,FALSE)=0,"",VLOOKUP(YD$3,Touchpoints!$A:$B,2,FALSE)),"")</f>
        <v/>
      </c>
      <c r="YE2" s="2" t="str">
        <f>IFERROR(IF(VLOOKUP(YE$3,Touchpoints!$A:$B,2,FALSE)=0,"",VLOOKUP(YE$3,Touchpoints!$A:$B,2,FALSE)),"")</f>
        <v/>
      </c>
      <c r="YF2" s="2" t="str">
        <f>IFERROR(IF(VLOOKUP(YF$3,Touchpoints!$A:$B,2,FALSE)=0,"",VLOOKUP(YF$3,Touchpoints!$A:$B,2,FALSE)),"")</f>
        <v/>
      </c>
      <c r="YG2" s="2" t="str">
        <f>IFERROR(IF(VLOOKUP(YG$3,Touchpoints!$A:$B,2,FALSE)=0,"",VLOOKUP(YG$3,Touchpoints!$A:$B,2,FALSE)),"")</f>
        <v/>
      </c>
      <c r="YH2" s="2" t="str">
        <f>IFERROR(IF(VLOOKUP(YH$3,Touchpoints!$A:$B,2,FALSE)=0,"",VLOOKUP(YH$3,Touchpoints!$A:$B,2,FALSE)),"")</f>
        <v/>
      </c>
      <c r="YI2" s="2" t="str">
        <f>IFERROR(IF(VLOOKUP(YI$3,Touchpoints!$A:$B,2,FALSE)=0,"",VLOOKUP(YI$3,Touchpoints!$A:$B,2,FALSE)),"")</f>
        <v/>
      </c>
      <c r="YJ2" s="2" t="str">
        <f>IFERROR(IF(VLOOKUP(YJ$3,Touchpoints!$A:$B,2,FALSE)=0,"",VLOOKUP(YJ$3,Touchpoints!$A:$B,2,FALSE)),"")</f>
        <v/>
      </c>
      <c r="YK2" s="2" t="str">
        <f>IFERROR(IF(VLOOKUP(YK$3,Touchpoints!$A:$B,2,FALSE)=0,"",VLOOKUP(YK$3,Touchpoints!$A:$B,2,FALSE)),"")</f>
        <v/>
      </c>
      <c r="YL2" s="2" t="str">
        <f>IFERROR(IF(VLOOKUP(YL$3,Touchpoints!$A:$B,2,FALSE)=0,"",VLOOKUP(YL$3,Touchpoints!$A:$B,2,FALSE)),"")</f>
        <v/>
      </c>
      <c r="YM2" s="2" t="str">
        <f>IFERROR(IF(VLOOKUP(YM$3,Touchpoints!$A:$B,2,FALSE)=0,"",VLOOKUP(YM$3,Touchpoints!$A:$B,2,FALSE)),"")</f>
        <v/>
      </c>
      <c r="YN2" s="2" t="str">
        <f>IFERROR(IF(VLOOKUP(YN$3,Touchpoints!$A:$B,2,FALSE)=0,"",VLOOKUP(YN$3,Touchpoints!$A:$B,2,FALSE)),"")</f>
        <v/>
      </c>
      <c r="YO2" s="2" t="str">
        <f>IFERROR(IF(VLOOKUP(YO$3,Touchpoints!$A:$B,2,FALSE)=0,"",VLOOKUP(YO$3,Touchpoints!$A:$B,2,FALSE)),"")</f>
        <v/>
      </c>
      <c r="YP2" s="2" t="str">
        <f>IFERROR(IF(VLOOKUP(YP$3,Touchpoints!$A:$B,2,FALSE)=0,"",VLOOKUP(YP$3,Touchpoints!$A:$B,2,FALSE)),"")</f>
        <v/>
      </c>
      <c r="YQ2" s="2" t="str">
        <f>IFERROR(IF(VLOOKUP(YQ$3,Touchpoints!$A:$B,2,FALSE)=0,"",VLOOKUP(YQ$3,Touchpoints!$A:$B,2,FALSE)),"")</f>
        <v/>
      </c>
      <c r="YR2" s="2" t="str">
        <f>IFERROR(IF(VLOOKUP(YR$3,Touchpoints!$A:$B,2,FALSE)=0,"",VLOOKUP(YR$3,Touchpoints!$A:$B,2,FALSE)),"")</f>
        <v/>
      </c>
      <c r="YS2" s="2" t="str">
        <f>IFERROR(IF(VLOOKUP(YS$3,Touchpoints!$A:$B,2,FALSE)=0,"",VLOOKUP(YS$3,Touchpoints!$A:$B,2,FALSE)),"")</f>
        <v/>
      </c>
      <c r="YT2" s="2" t="str">
        <f>IFERROR(IF(VLOOKUP(YT$3,Touchpoints!$A:$B,2,FALSE)=0,"",VLOOKUP(YT$3,Touchpoints!$A:$B,2,FALSE)),"")</f>
        <v/>
      </c>
      <c r="YU2" s="2" t="str">
        <f>IFERROR(IF(VLOOKUP(YU$3,Touchpoints!$A:$B,2,FALSE)=0,"",VLOOKUP(YU$3,Touchpoints!$A:$B,2,FALSE)),"")</f>
        <v/>
      </c>
      <c r="YV2" s="2" t="str">
        <f>IFERROR(IF(VLOOKUP(YV$3,Touchpoints!$A:$B,2,FALSE)=0,"",VLOOKUP(YV$3,Touchpoints!$A:$B,2,FALSE)),"")</f>
        <v/>
      </c>
      <c r="YW2" s="2" t="str">
        <f>IFERROR(IF(VLOOKUP(YW$3,Touchpoints!$A:$B,2,FALSE)=0,"",VLOOKUP(YW$3,Touchpoints!$A:$B,2,FALSE)),"")</f>
        <v/>
      </c>
      <c r="YX2" s="2" t="str">
        <f>IFERROR(IF(VLOOKUP(YX$3,Touchpoints!$A:$B,2,FALSE)=0,"",VLOOKUP(YX$3,Touchpoints!$A:$B,2,FALSE)),"")</f>
        <v/>
      </c>
      <c r="YY2" s="2" t="str">
        <f>IFERROR(IF(VLOOKUP(YY$3,Touchpoints!$A:$B,2,FALSE)=0,"",VLOOKUP(YY$3,Touchpoints!$A:$B,2,FALSE)),"")</f>
        <v/>
      </c>
      <c r="YZ2" s="2" t="str">
        <f>IFERROR(IF(VLOOKUP(YZ$3,Touchpoints!$A:$B,2,FALSE)=0,"",VLOOKUP(YZ$3,Touchpoints!$A:$B,2,FALSE)),"")</f>
        <v/>
      </c>
      <c r="ZA2" s="2" t="str">
        <f>IFERROR(IF(VLOOKUP(ZA$3,Touchpoints!$A:$B,2,FALSE)=0,"",VLOOKUP(ZA$3,Touchpoints!$A:$B,2,FALSE)),"")</f>
        <v/>
      </c>
      <c r="ZB2" s="2" t="str">
        <f>IFERROR(IF(VLOOKUP(ZB$3,Touchpoints!$A:$B,2,FALSE)=0,"",VLOOKUP(ZB$3,Touchpoints!$A:$B,2,FALSE)),"")</f>
        <v/>
      </c>
      <c r="ZC2" s="2" t="str">
        <f>IFERROR(IF(VLOOKUP(ZC$3,Touchpoints!$A:$B,2,FALSE)=0,"",VLOOKUP(ZC$3,Touchpoints!$A:$B,2,FALSE)),"")</f>
        <v/>
      </c>
      <c r="ZD2" s="2" t="str">
        <f>IFERROR(IF(VLOOKUP(ZD$3,Touchpoints!$A:$B,2,FALSE)=0,"",VLOOKUP(ZD$3,Touchpoints!$A:$B,2,FALSE)),"")</f>
        <v/>
      </c>
      <c r="ZE2" s="2" t="str">
        <f>IFERROR(IF(VLOOKUP(ZE$3,Touchpoints!$A:$B,2,FALSE)=0,"",VLOOKUP(ZE$3,Touchpoints!$A:$B,2,FALSE)),"")</f>
        <v/>
      </c>
      <c r="ZF2" s="2" t="str">
        <f>IFERROR(IF(VLOOKUP(ZF$3,Touchpoints!$A:$B,2,FALSE)=0,"",VLOOKUP(ZF$3,Touchpoints!$A:$B,2,FALSE)),"")</f>
        <v/>
      </c>
      <c r="ZG2" s="2" t="str">
        <f>IFERROR(IF(VLOOKUP(ZG$3,Touchpoints!$A:$B,2,FALSE)=0,"",VLOOKUP(ZG$3,Touchpoints!$A:$B,2,FALSE)),"")</f>
        <v/>
      </c>
      <c r="ZH2" s="2" t="str">
        <f>IFERROR(IF(VLOOKUP(ZH$3,Touchpoints!$A:$B,2,FALSE)=0,"",VLOOKUP(ZH$3,Touchpoints!$A:$B,2,FALSE)),"")</f>
        <v/>
      </c>
      <c r="ZI2" s="2" t="str">
        <f>IFERROR(IF(VLOOKUP(ZI$3,Touchpoints!$A:$B,2,FALSE)=0,"",VLOOKUP(ZI$3,Touchpoints!$A:$B,2,FALSE)),"")</f>
        <v/>
      </c>
      <c r="ZJ2" s="2" t="str">
        <f>IFERROR(IF(VLOOKUP(ZJ$3,Touchpoints!$A:$B,2,FALSE)=0,"",VLOOKUP(ZJ$3,Touchpoints!$A:$B,2,FALSE)),"")</f>
        <v/>
      </c>
      <c r="ZK2" s="2" t="str">
        <f>IFERROR(IF(VLOOKUP(ZK$3,Touchpoints!$A:$B,2,FALSE)=0,"",VLOOKUP(ZK$3,Touchpoints!$A:$B,2,FALSE)),"")</f>
        <v/>
      </c>
      <c r="ZL2" s="2" t="str">
        <f>IFERROR(IF(VLOOKUP(ZL$3,Touchpoints!$A:$B,2,FALSE)=0,"",VLOOKUP(ZL$3,Touchpoints!$A:$B,2,FALSE)),"")</f>
        <v/>
      </c>
      <c r="ZM2" s="2" t="str">
        <f>IFERROR(IF(VLOOKUP(ZM$3,Touchpoints!$A:$B,2,FALSE)=0,"",VLOOKUP(ZM$3,Touchpoints!$A:$B,2,FALSE)),"")</f>
        <v/>
      </c>
      <c r="ZN2" s="2" t="str">
        <f>IFERROR(IF(VLOOKUP(ZN$3,Touchpoints!$A:$B,2,FALSE)=0,"",VLOOKUP(ZN$3,Touchpoints!$A:$B,2,FALSE)),"")</f>
        <v/>
      </c>
      <c r="ZO2" s="2" t="str">
        <f>IFERROR(IF(VLOOKUP(ZO$3,Touchpoints!$A:$B,2,FALSE)=0,"",VLOOKUP(ZO$3,Touchpoints!$A:$B,2,FALSE)),"")</f>
        <v/>
      </c>
      <c r="ZP2" s="2" t="str">
        <f>IFERROR(IF(VLOOKUP(ZP$3,Touchpoints!$A:$B,2,FALSE)=0,"",VLOOKUP(ZP$3,Touchpoints!$A:$B,2,FALSE)),"")</f>
        <v/>
      </c>
      <c r="ZQ2" s="2" t="str">
        <f>IFERROR(IF(VLOOKUP(ZQ$3,Touchpoints!$A:$B,2,FALSE)=0,"",VLOOKUP(ZQ$3,Touchpoints!$A:$B,2,FALSE)),"")</f>
        <v/>
      </c>
      <c r="ZR2" s="2" t="str">
        <f>IFERROR(IF(VLOOKUP(ZR$3,Touchpoints!$A:$B,2,FALSE)=0,"",VLOOKUP(ZR$3,Touchpoints!$A:$B,2,FALSE)),"")</f>
        <v/>
      </c>
      <c r="ZS2" s="2" t="str">
        <f>IFERROR(IF(VLOOKUP(ZS$3,Touchpoints!$A:$B,2,FALSE)=0,"",VLOOKUP(ZS$3,Touchpoints!$A:$B,2,FALSE)),"")</f>
        <v/>
      </c>
      <c r="ZT2" s="2" t="str">
        <f>IFERROR(IF(VLOOKUP(ZT$3,Touchpoints!$A:$B,2,FALSE)=0,"",VLOOKUP(ZT$3,Touchpoints!$A:$B,2,FALSE)),"")</f>
        <v/>
      </c>
      <c r="ZU2" s="2" t="str">
        <f>IFERROR(IF(VLOOKUP(ZU$3,Touchpoints!$A:$B,2,FALSE)=0,"",VLOOKUP(ZU$3,Touchpoints!$A:$B,2,FALSE)),"")</f>
        <v/>
      </c>
      <c r="ZV2" s="2" t="str">
        <f>IFERROR(IF(VLOOKUP(ZV$3,Touchpoints!$A:$B,2,FALSE)=0,"",VLOOKUP(ZV$3,Touchpoints!$A:$B,2,FALSE)),"")</f>
        <v/>
      </c>
      <c r="ZW2" s="2" t="str">
        <f>IFERROR(IF(VLOOKUP(ZW$3,Touchpoints!$A:$B,2,FALSE)=0,"",VLOOKUP(ZW$3,Touchpoints!$A:$B,2,FALSE)),"")</f>
        <v/>
      </c>
      <c r="ZX2" s="2" t="str">
        <f>IFERROR(IF(VLOOKUP(ZX$3,Touchpoints!$A:$B,2,FALSE)=0,"",VLOOKUP(ZX$3,Touchpoints!$A:$B,2,FALSE)),"")</f>
        <v/>
      </c>
      <c r="ZY2" s="2" t="str">
        <f>IFERROR(IF(VLOOKUP(ZY$3,Touchpoints!$A:$B,2,FALSE)=0,"",VLOOKUP(ZY$3,Touchpoints!$A:$B,2,FALSE)),"")</f>
        <v/>
      </c>
      <c r="ZZ2" s="2" t="str">
        <f>IFERROR(IF(VLOOKUP(ZZ$3,Touchpoints!$A:$B,2,FALSE)=0,"",VLOOKUP(ZZ$3,Touchpoints!$A:$B,2,FALSE)),"")</f>
        <v/>
      </c>
      <c r="AAA2" s="2" t="str">
        <f>IFERROR(IF(VLOOKUP(AAA$3,Touchpoints!$A:$B,2,FALSE)=0,"",VLOOKUP(AAA$3,Touchpoints!$A:$B,2,FALSE)),"")</f>
        <v/>
      </c>
      <c r="AAB2" s="2" t="str">
        <f>IFERROR(IF(VLOOKUP(AAB$3,Touchpoints!$A:$B,2,FALSE)=0,"",VLOOKUP(AAB$3,Touchpoints!$A:$B,2,FALSE)),"")</f>
        <v/>
      </c>
      <c r="AAC2" s="2" t="str">
        <f>IFERROR(IF(VLOOKUP(AAC$3,Touchpoints!$A:$B,2,FALSE)=0,"",VLOOKUP(AAC$3,Touchpoints!$A:$B,2,FALSE)),"")</f>
        <v/>
      </c>
      <c r="AAD2" s="2" t="str">
        <f>IFERROR(IF(VLOOKUP(AAD$3,Touchpoints!$A:$B,2,FALSE)=0,"",VLOOKUP(AAD$3,Touchpoints!$A:$B,2,FALSE)),"")</f>
        <v/>
      </c>
      <c r="AAE2" s="2" t="str">
        <f>IFERROR(IF(VLOOKUP(AAE$3,Touchpoints!$A:$B,2,FALSE)=0,"",VLOOKUP(AAE$3,Touchpoints!$A:$B,2,FALSE)),"")</f>
        <v/>
      </c>
      <c r="AAF2" s="2" t="str">
        <f>IFERROR(IF(VLOOKUP(AAF$3,Touchpoints!$A:$B,2,FALSE)=0,"",VLOOKUP(AAF$3,Touchpoints!$A:$B,2,FALSE)),"")</f>
        <v/>
      </c>
      <c r="AAG2" s="2" t="str">
        <f>IFERROR(IF(VLOOKUP(AAG$3,Touchpoints!$A:$B,2,FALSE)=0,"",VLOOKUP(AAG$3,Touchpoints!$A:$B,2,FALSE)),"")</f>
        <v/>
      </c>
      <c r="AAH2" s="2" t="str">
        <f>IFERROR(IF(VLOOKUP(AAH$3,Touchpoints!$A:$B,2,FALSE)=0,"",VLOOKUP(AAH$3,Touchpoints!$A:$B,2,FALSE)),"")</f>
        <v/>
      </c>
      <c r="AAI2" s="2" t="str">
        <f>IFERROR(IF(VLOOKUP(AAI$3,Touchpoints!$A:$B,2,FALSE)=0,"",VLOOKUP(AAI$3,Touchpoints!$A:$B,2,FALSE)),"")</f>
        <v/>
      </c>
      <c r="AAJ2" s="2" t="str">
        <f>IFERROR(IF(VLOOKUP(AAJ$3,Touchpoints!$A:$B,2,FALSE)=0,"",VLOOKUP(AAJ$3,Touchpoints!$A:$B,2,FALSE)),"")</f>
        <v/>
      </c>
      <c r="AAK2" s="2" t="str">
        <f>IFERROR(IF(VLOOKUP(AAK$3,Touchpoints!$A:$B,2,FALSE)=0,"",VLOOKUP(AAK$3,Touchpoints!$A:$B,2,FALSE)),"")</f>
        <v/>
      </c>
      <c r="AAL2" s="2" t="str">
        <f>IFERROR(IF(VLOOKUP(AAL$3,Touchpoints!$A:$B,2,FALSE)=0,"",VLOOKUP(AAL$3,Touchpoints!$A:$B,2,FALSE)),"")</f>
        <v/>
      </c>
      <c r="AAM2" s="2" t="str">
        <f>IFERROR(IF(VLOOKUP(AAM$3,Touchpoints!$A:$B,2,FALSE)=0,"",VLOOKUP(AAM$3,Touchpoints!$A:$B,2,FALSE)),"")</f>
        <v/>
      </c>
      <c r="AAN2" s="2" t="str">
        <f>IFERROR(IF(VLOOKUP(AAN$3,Touchpoints!$A:$B,2,FALSE)=0,"",VLOOKUP(AAN$3,Touchpoints!$A:$B,2,FALSE)),"")</f>
        <v/>
      </c>
      <c r="AAO2" s="2" t="str">
        <f>IFERROR(IF(VLOOKUP(AAO$3,Touchpoints!$A:$B,2,FALSE)=0,"",VLOOKUP(AAO$3,Touchpoints!$A:$B,2,FALSE)),"")</f>
        <v/>
      </c>
      <c r="AAP2" s="2" t="str">
        <f>IFERROR(IF(VLOOKUP(AAP$3,Touchpoints!$A:$B,2,FALSE)=0,"",VLOOKUP(AAP$3,Touchpoints!$A:$B,2,FALSE)),"")</f>
        <v/>
      </c>
      <c r="AAQ2" s="2" t="str">
        <f>IFERROR(IF(VLOOKUP(AAQ$3,Touchpoints!$A:$B,2,FALSE)=0,"",VLOOKUP(AAQ$3,Touchpoints!$A:$B,2,FALSE)),"")</f>
        <v/>
      </c>
      <c r="AAR2" s="2" t="str">
        <f>IFERROR(IF(VLOOKUP(AAR$3,Touchpoints!$A:$B,2,FALSE)=0,"",VLOOKUP(AAR$3,Touchpoints!$A:$B,2,FALSE)),"")</f>
        <v/>
      </c>
      <c r="AAS2" s="2" t="str">
        <f>IFERROR(IF(VLOOKUP(AAS$3,Touchpoints!$A:$B,2,FALSE)=0,"",VLOOKUP(AAS$3,Touchpoints!$A:$B,2,FALSE)),"")</f>
        <v/>
      </c>
      <c r="AAT2" s="2" t="str">
        <f>IFERROR(IF(VLOOKUP(AAT$3,Touchpoints!$A:$B,2,FALSE)=0,"",VLOOKUP(AAT$3,Touchpoints!$A:$B,2,FALSE)),"")</f>
        <v/>
      </c>
      <c r="AAU2" s="2" t="str">
        <f>IFERROR(IF(VLOOKUP(AAU$3,Touchpoints!$A:$B,2,FALSE)=0,"",VLOOKUP(AAU$3,Touchpoints!$A:$B,2,FALSE)),"")</f>
        <v/>
      </c>
      <c r="AAV2" s="2" t="str">
        <f>IFERROR(IF(VLOOKUP(AAV$3,Touchpoints!$A:$B,2,FALSE)=0,"",VLOOKUP(AAV$3,Touchpoints!$A:$B,2,FALSE)),"")</f>
        <v/>
      </c>
      <c r="AAW2" s="2" t="str">
        <f>IFERROR(IF(VLOOKUP(AAW$3,Touchpoints!$A:$B,2,FALSE)=0,"",VLOOKUP(AAW$3,Touchpoints!$A:$B,2,FALSE)),"")</f>
        <v/>
      </c>
      <c r="AAX2" s="2" t="str">
        <f>IFERROR(IF(VLOOKUP(AAX$3,Touchpoints!$A:$B,2,FALSE)=0,"",VLOOKUP(AAX$3,Touchpoints!$A:$B,2,FALSE)),"")</f>
        <v/>
      </c>
      <c r="AAY2" s="2" t="str">
        <f>IFERROR(IF(VLOOKUP(AAY$3,Touchpoints!$A:$B,2,FALSE)=0,"",VLOOKUP(AAY$3,Touchpoints!$A:$B,2,FALSE)),"")</f>
        <v/>
      </c>
      <c r="AAZ2" s="2" t="str">
        <f>IFERROR(IF(VLOOKUP(AAZ$3,Touchpoints!$A:$B,2,FALSE)=0,"",VLOOKUP(AAZ$3,Touchpoints!$A:$B,2,FALSE)),"")</f>
        <v/>
      </c>
      <c r="ABA2" s="2" t="str">
        <f>IFERROR(IF(VLOOKUP(ABA$3,Touchpoints!$A:$B,2,FALSE)=0,"",VLOOKUP(ABA$3,Touchpoints!$A:$B,2,FALSE)),"")</f>
        <v/>
      </c>
      <c r="ABB2" s="2" t="str">
        <f>IFERROR(IF(VLOOKUP(ABB$3,Touchpoints!$A:$B,2,FALSE)=0,"",VLOOKUP(ABB$3,Touchpoints!$A:$B,2,FALSE)),"")</f>
        <v/>
      </c>
      <c r="ABC2" s="2" t="str">
        <f>IFERROR(IF(VLOOKUP(ABC$3,Touchpoints!$A:$B,2,FALSE)=0,"",VLOOKUP(ABC$3,Touchpoints!$A:$B,2,FALSE)),"")</f>
        <v/>
      </c>
      <c r="ABD2" s="2" t="str">
        <f>IFERROR(IF(VLOOKUP(ABD$3,Touchpoints!$A:$B,2,FALSE)=0,"",VLOOKUP(ABD$3,Touchpoints!$A:$B,2,FALSE)),"")</f>
        <v/>
      </c>
      <c r="ABE2" s="2" t="str">
        <f>IFERROR(IF(VLOOKUP(ABE$3,Touchpoints!$A:$B,2,FALSE)=0,"",VLOOKUP(ABE$3,Touchpoints!$A:$B,2,FALSE)),"")</f>
        <v/>
      </c>
      <c r="ABF2" s="2" t="str">
        <f>IFERROR(IF(VLOOKUP(ABF$3,Touchpoints!$A:$B,2,FALSE)=0,"",VLOOKUP(ABF$3,Touchpoints!$A:$B,2,FALSE)),"")</f>
        <v/>
      </c>
      <c r="ABG2" s="2" t="str">
        <f>IFERROR(IF(VLOOKUP(ABG$3,Touchpoints!$A:$B,2,FALSE)=0,"",VLOOKUP(ABG$3,Touchpoints!$A:$B,2,FALSE)),"")</f>
        <v/>
      </c>
      <c r="ABH2" s="2" t="str">
        <f>IFERROR(IF(VLOOKUP(ABH$3,Touchpoints!$A:$B,2,FALSE)=0,"",VLOOKUP(ABH$3,Touchpoints!$A:$B,2,FALSE)),"")</f>
        <v/>
      </c>
      <c r="ABI2" s="2" t="str">
        <f>IFERROR(IF(VLOOKUP(ABI$3,Touchpoints!$A:$B,2,FALSE)=0,"",VLOOKUP(ABI$3,Touchpoints!$A:$B,2,FALSE)),"")</f>
        <v/>
      </c>
      <c r="ABJ2" s="2" t="str">
        <f>IFERROR(IF(VLOOKUP(ABJ$3,Touchpoints!$A:$B,2,FALSE)=0,"",VLOOKUP(ABJ$3,Touchpoints!$A:$B,2,FALSE)),"")</f>
        <v/>
      </c>
      <c r="ABK2" s="2" t="str">
        <f>IFERROR(IF(VLOOKUP(ABK$3,Touchpoints!$A:$B,2,FALSE)=0,"",VLOOKUP(ABK$3,Touchpoints!$A:$B,2,FALSE)),"")</f>
        <v/>
      </c>
      <c r="ABL2" s="2" t="str">
        <f>IFERROR(IF(VLOOKUP(ABL$3,Touchpoints!$A:$B,2,FALSE)=0,"",VLOOKUP(ABL$3,Touchpoints!$A:$B,2,FALSE)),"")</f>
        <v/>
      </c>
      <c r="ABM2" s="2" t="str">
        <f>IFERROR(IF(VLOOKUP(ABM$3,Touchpoints!$A:$B,2,FALSE)=0,"",VLOOKUP(ABM$3,Touchpoints!$A:$B,2,FALSE)),"")</f>
        <v/>
      </c>
      <c r="ABN2" s="2" t="str">
        <f>IFERROR(IF(VLOOKUP(ABN$3,Touchpoints!$A:$B,2,FALSE)=0,"",VLOOKUP(ABN$3,Touchpoints!$A:$B,2,FALSE)),"")</f>
        <v/>
      </c>
      <c r="ABO2" s="2" t="str">
        <f>IFERROR(IF(VLOOKUP(ABO$3,Touchpoints!$A:$B,2,FALSE)=0,"",VLOOKUP(ABO$3,Touchpoints!$A:$B,2,FALSE)),"")</f>
        <v/>
      </c>
      <c r="ABP2" s="2" t="str">
        <f>IFERROR(IF(VLOOKUP(ABP$3,Touchpoints!$A:$B,2,FALSE)=0,"",VLOOKUP(ABP$3,Touchpoints!$A:$B,2,FALSE)),"")</f>
        <v/>
      </c>
      <c r="ABQ2" s="2" t="str">
        <f>IFERROR(IF(VLOOKUP(ABQ$3,Touchpoints!$A:$B,2,FALSE)=0,"",VLOOKUP(ABQ$3,Touchpoints!$A:$B,2,FALSE)),"")</f>
        <v/>
      </c>
      <c r="ABR2" s="2" t="str">
        <f>IFERROR(IF(VLOOKUP(ABR$3,Touchpoints!$A:$B,2,FALSE)=0,"",VLOOKUP(ABR$3,Touchpoints!$A:$B,2,FALSE)),"")</f>
        <v/>
      </c>
      <c r="ABS2" s="2" t="str">
        <f>IFERROR(IF(VLOOKUP(ABS$3,Touchpoints!$A:$B,2,FALSE)=0,"",VLOOKUP(ABS$3,Touchpoints!$A:$B,2,FALSE)),"")</f>
        <v/>
      </c>
      <c r="ABT2" s="2" t="str">
        <f>IFERROR(IF(VLOOKUP(ABT$3,Touchpoints!$A:$B,2,FALSE)=0,"",VLOOKUP(ABT$3,Touchpoints!$A:$B,2,FALSE)),"")</f>
        <v/>
      </c>
      <c r="ABU2" s="2" t="str">
        <f>IFERROR(IF(VLOOKUP(ABU$3,Touchpoints!$A:$B,2,FALSE)=0,"",VLOOKUP(ABU$3,Touchpoints!$A:$B,2,FALSE)),"")</f>
        <v/>
      </c>
      <c r="ABV2" s="2" t="str">
        <f>IFERROR(IF(VLOOKUP(ABV$3,Touchpoints!$A:$B,2,FALSE)=0,"",VLOOKUP(ABV$3,Touchpoints!$A:$B,2,FALSE)),"")</f>
        <v/>
      </c>
      <c r="ABW2" s="2" t="str">
        <f>IFERROR(IF(VLOOKUP(ABW$3,Touchpoints!$A:$B,2,FALSE)=0,"",VLOOKUP(ABW$3,Touchpoints!$A:$B,2,FALSE)),"")</f>
        <v/>
      </c>
      <c r="ABX2" s="2" t="str">
        <f>IFERROR(IF(VLOOKUP(ABX$3,Touchpoints!$A:$B,2,FALSE)=0,"",VLOOKUP(ABX$3,Touchpoints!$A:$B,2,FALSE)),"")</f>
        <v/>
      </c>
      <c r="ABY2" s="2" t="str">
        <f>IFERROR(IF(VLOOKUP(ABY$3,Touchpoints!$A:$B,2,FALSE)=0,"",VLOOKUP(ABY$3,Touchpoints!$A:$B,2,FALSE)),"")</f>
        <v/>
      </c>
      <c r="ABZ2" s="2" t="str">
        <f>IFERROR(IF(VLOOKUP(ABZ$3,Touchpoints!$A:$B,2,FALSE)=0,"",VLOOKUP(ABZ$3,Touchpoints!$A:$B,2,FALSE)),"")</f>
        <v/>
      </c>
      <c r="ACA2" s="2" t="str">
        <f>IFERROR(IF(VLOOKUP(ACA$3,Touchpoints!$A:$B,2,FALSE)=0,"",VLOOKUP(ACA$3,Touchpoints!$A:$B,2,FALSE)),"")</f>
        <v/>
      </c>
      <c r="ACB2" s="2" t="str">
        <f>IFERROR(IF(VLOOKUP(ACB$3,Touchpoints!$A:$B,2,FALSE)=0,"",VLOOKUP(ACB$3,Touchpoints!$A:$B,2,FALSE)),"")</f>
        <v/>
      </c>
      <c r="ACC2" s="2" t="str">
        <f>IFERROR(IF(VLOOKUP(ACC$3,Touchpoints!$A:$B,2,FALSE)=0,"",VLOOKUP(ACC$3,Touchpoints!$A:$B,2,FALSE)),"")</f>
        <v/>
      </c>
      <c r="ACD2" s="2" t="str">
        <f>IFERROR(IF(VLOOKUP(ACD$3,Touchpoints!$A:$B,2,FALSE)=0,"",VLOOKUP(ACD$3,Touchpoints!$A:$B,2,FALSE)),"")</f>
        <v/>
      </c>
      <c r="ACE2" s="2" t="str">
        <f>IFERROR(IF(VLOOKUP(ACE$3,Touchpoints!$A:$B,2,FALSE)=0,"",VLOOKUP(ACE$3,Touchpoints!$A:$B,2,FALSE)),"")</f>
        <v/>
      </c>
      <c r="ACF2" s="2" t="str">
        <f>IFERROR(IF(VLOOKUP(ACF$3,Touchpoints!$A:$B,2,FALSE)=0,"",VLOOKUP(ACF$3,Touchpoints!$A:$B,2,FALSE)),"")</f>
        <v/>
      </c>
      <c r="ACG2" s="2" t="str">
        <f>IFERROR(IF(VLOOKUP(ACG$3,Touchpoints!$A:$B,2,FALSE)=0,"",VLOOKUP(ACG$3,Touchpoints!$A:$B,2,FALSE)),"")</f>
        <v/>
      </c>
      <c r="ACH2" s="2" t="str">
        <f>IFERROR(IF(VLOOKUP(ACH$3,Touchpoints!$A:$B,2,FALSE)=0,"",VLOOKUP(ACH$3,Touchpoints!$A:$B,2,FALSE)),"")</f>
        <v/>
      </c>
      <c r="ACI2" s="2" t="str">
        <f>IFERROR(IF(VLOOKUP(ACI$3,Touchpoints!$A:$B,2,FALSE)=0,"",VLOOKUP(ACI$3,Touchpoints!$A:$B,2,FALSE)),"")</f>
        <v/>
      </c>
      <c r="ACJ2" s="2" t="str">
        <f>IFERROR(IF(VLOOKUP(ACJ$3,Touchpoints!$A:$B,2,FALSE)=0,"",VLOOKUP(ACJ$3,Touchpoints!$A:$B,2,FALSE)),"")</f>
        <v/>
      </c>
      <c r="ACK2" s="2" t="str">
        <f>IFERROR(IF(VLOOKUP(ACK$3,Touchpoints!$A:$B,2,FALSE)=0,"",VLOOKUP(ACK$3,Touchpoints!$A:$B,2,FALSE)),"")</f>
        <v/>
      </c>
      <c r="ACL2" s="2" t="str">
        <f>IFERROR(IF(VLOOKUP(ACL$3,Touchpoints!$A:$B,2,FALSE)=0,"",VLOOKUP(ACL$3,Touchpoints!$A:$B,2,FALSE)),"")</f>
        <v/>
      </c>
      <c r="ACM2" s="2" t="str">
        <f>IFERROR(IF(VLOOKUP(ACM$3,Touchpoints!$A:$B,2,FALSE)=0,"",VLOOKUP(ACM$3,Touchpoints!$A:$B,2,FALSE)),"")</f>
        <v/>
      </c>
      <c r="ACN2" s="2" t="str">
        <f>IFERROR(IF(VLOOKUP(ACN$3,Touchpoints!$A:$B,2,FALSE)=0,"",VLOOKUP(ACN$3,Touchpoints!$A:$B,2,FALSE)),"")</f>
        <v/>
      </c>
      <c r="ACO2" s="2" t="str">
        <f>IFERROR(IF(VLOOKUP(ACO$3,Touchpoints!$A:$B,2,FALSE)=0,"",VLOOKUP(ACO$3,Touchpoints!$A:$B,2,FALSE)),"")</f>
        <v/>
      </c>
      <c r="ACP2" s="2" t="str">
        <f>IFERROR(IF(VLOOKUP(ACP$3,Touchpoints!$A:$B,2,FALSE)=0,"",VLOOKUP(ACP$3,Touchpoints!$A:$B,2,FALSE)),"")</f>
        <v/>
      </c>
      <c r="ACQ2" s="2" t="str">
        <f>IFERROR(IF(VLOOKUP(ACQ$3,Touchpoints!$A:$B,2,FALSE)=0,"",VLOOKUP(ACQ$3,Touchpoints!$A:$B,2,FALSE)),"")</f>
        <v/>
      </c>
      <c r="ACR2" s="2" t="str">
        <f>IFERROR(IF(VLOOKUP(ACR$3,Touchpoints!$A:$B,2,FALSE)=0,"",VLOOKUP(ACR$3,Touchpoints!$A:$B,2,FALSE)),"")</f>
        <v/>
      </c>
      <c r="ACS2" s="2" t="str">
        <f>IFERROR(IF(VLOOKUP(ACS$3,Touchpoints!$A:$B,2,FALSE)=0,"",VLOOKUP(ACS$3,Touchpoints!$A:$B,2,FALSE)),"")</f>
        <v/>
      </c>
      <c r="ACT2" s="2" t="str">
        <f>IFERROR(IF(VLOOKUP(ACT$3,Touchpoints!$A:$B,2,FALSE)=0,"",VLOOKUP(ACT$3,Touchpoints!$A:$B,2,FALSE)),"")</f>
        <v/>
      </c>
      <c r="ACU2" s="2" t="str">
        <f>IFERROR(IF(VLOOKUP(ACU$3,Touchpoints!$A:$B,2,FALSE)=0,"",VLOOKUP(ACU$3,Touchpoints!$A:$B,2,FALSE)),"")</f>
        <v/>
      </c>
      <c r="ACV2" s="2" t="str">
        <f>IFERROR(IF(VLOOKUP(ACV$3,Touchpoints!$A:$B,2,FALSE)=0,"",VLOOKUP(ACV$3,Touchpoints!$A:$B,2,FALSE)),"")</f>
        <v/>
      </c>
      <c r="ACW2" s="2" t="str">
        <f>IFERROR(IF(VLOOKUP(ACW$3,Touchpoints!$A:$B,2,FALSE)=0,"",VLOOKUP(ACW$3,Touchpoints!$A:$B,2,FALSE)),"")</f>
        <v/>
      </c>
      <c r="ACX2" s="2" t="str">
        <f>IFERROR(IF(VLOOKUP(ACX$3,Touchpoints!$A:$B,2,FALSE)=0,"",VLOOKUP(ACX$3,Touchpoints!$A:$B,2,FALSE)),"")</f>
        <v/>
      </c>
      <c r="ACY2" s="2" t="str">
        <f>IFERROR(IF(VLOOKUP(ACY$3,Touchpoints!$A:$B,2,FALSE)=0,"",VLOOKUP(ACY$3,Touchpoints!$A:$B,2,FALSE)),"")</f>
        <v/>
      </c>
      <c r="ACZ2" s="2" t="str">
        <f>IFERROR(IF(VLOOKUP(ACZ$3,Touchpoints!$A:$B,2,FALSE)=0,"",VLOOKUP(ACZ$3,Touchpoints!$A:$B,2,FALSE)),"")</f>
        <v/>
      </c>
      <c r="ADA2" s="2" t="str">
        <f>IFERROR(IF(VLOOKUP(ADA$3,Touchpoints!$A:$B,2,FALSE)=0,"",VLOOKUP(ADA$3,Touchpoints!$A:$B,2,FALSE)),"")</f>
        <v/>
      </c>
      <c r="ADB2" s="2" t="str">
        <f>IFERROR(IF(VLOOKUP(ADB$3,Touchpoints!$A:$B,2,FALSE)=0,"",VLOOKUP(ADB$3,Touchpoints!$A:$B,2,FALSE)),"")</f>
        <v/>
      </c>
      <c r="ADC2" s="2" t="str">
        <f>IFERROR(IF(VLOOKUP(ADC$3,Touchpoints!$A:$B,2,FALSE)=0,"",VLOOKUP(ADC$3,Touchpoints!$A:$B,2,FALSE)),"")</f>
        <v/>
      </c>
      <c r="ADD2" s="2" t="str">
        <f>IFERROR(IF(VLOOKUP(ADD$3,Touchpoints!$A:$B,2,FALSE)=0,"",VLOOKUP(ADD$3,Touchpoints!$A:$B,2,FALSE)),"")</f>
        <v/>
      </c>
      <c r="ADE2" s="2" t="str">
        <f>IFERROR(IF(VLOOKUP(ADE$3,Touchpoints!$A:$B,2,FALSE)=0,"",VLOOKUP(ADE$3,Touchpoints!$A:$B,2,FALSE)),"")</f>
        <v/>
      </c>
      <c r="ADF2" s="2" t="str">
        <f>IFERROR(IF(VLOOKUP(ADF$3,Touchpoints!$A:$B,2,FALSE)=0,"",VLOOKUP(ADF$3,Touchpoints!$A:$B,2,FALSE)),"")</f>
        <v/>
      </c>
      <c r="ADG2" s="2" t="str">
        <f>IFERROR(IF(VLOOKUP(ADG$3,Touchpoints!$A:$B,2,FALSE)=0,"",VLOOKUP(ADG$3,Touchpoints!$A:$B,2,FALSE)),"")</f>
        <v/>
      </c>
      <c r="ADH2" s="2" t="str">
        <f>IFERROR(IF(VLOOKUP(ADH$3,Touchpoints!$A:$B,2,FALSE)=0,"",VLOOKUP(ADH$3,Touchpoints!$A:$B,2,FALSE)),"")</f>
        <v/>
      </c>
      <c r="ADI2" s="2" t="str">
        <f>IFERROR(IF(VLOOKUP(ADI$3,Touchpoints!$A:$B,2,FALSE)=0,"",VLOOKUP(ADI$3,Touchpoints!$A:$B,2,FALSE)),"")</f>
        <v/>
      </c>
      <c r="ADJ2" s="2" t="str">
        <f>IFERROR(IF(VLOOKUP(ADJ$3,Touchpoints!$A:$B,2,FALSE)=0,"",VLOOKUP(ADJ$3,Touchpoints!$A:$B,2,FALSE)),"")</f>
        <v/>
      </c>
      <c r="ADK2" s="2" t="str">
        <f>IFERROR(IF(VLOOKUP(ADK$3,Touchpoints!$A:$B,2,FALSE)=0,"",VLOOKUP(ADK$3,Touchpoints!$A:$B,2,FALSE)),"")</f>
        <v/>
      </c>
      <c r="ADL2" s="2" t="str">
        <f>IFERROR(IF(VLOOKUP(ADL$3,Touchpoints!$A:$B,2,FALSE)=0,"",VLOOKUP(ADL$3,Touchpoints!$A:$B,2,FALSE)),"")</f>
        <v/>
      </c>
      <c r="ADM2" s="2" t="str">
        <f>IFERROR(IF(VLOOKUP(ADM$3,Touchpoints!$A:$B,2,FALSE)=0,"",VLOOKUP(ADM$3,Touchpoints!$A:$B,2,FALSE)),"")</f>
        <v/>
      </c>
      <c r="ADN2" s="2" t="str">
        <f>IFERROR(IF(VLOOKUP(ADN$3,Touchpoints!$A:$B,2,FALSE)=0,"",VLOOKUP(ADN$3,Touchpoints!$A:$B,2,FALSE)),"")</f>
        <v/>
      </c>
      <c r="ADO2" s="2" t="str">
        <f>IFERROR(IF(VLOOKUP(ADO$3,Touchpoints!$A:$B,2,FALSE)=0,"",VLOOKUP(ADO$3,Touchpoints!$A:$B,2,FALSE)),"")</f>
        <v/>
      </c>
      <c r="ADP2" s="2" t="str">
        <f>IFERROR(IF(VLOOKUP(ADP$3,Touchpoints!$A:$B,2,FALSE)=0,"",VLOOKUP(ADP$3,Touchpoints!$A:$B,2,FALSE)),"")</f>
        <v/>
      </c>
      <c r="ADQ2" s="2" t="str">
        <f>IFERROR(IF(VLOOKUP(ADQ$3,Touchpoints!$A:$B,2,FALSE)=0,"",VLOOKUP(ADQ$3,Touchpoints!$A:$B,2,FALSE)),"")</f>
        <v/>
      </c>
      <c r="ADR2" s="2" t="str">
        <f>IFERROR(IF(VLOOKUP(ADR$3,Touchpoints!$A:$B,2,FALSE)=0,"",VLOOKUP(ADR$3,Touchpoints!$A:$B,2,FALSE)),"")</f>
        <v/>
      </c>
      <c r="ADS2" s="2" t="str">
        <f>IFERROR(IF(VLOOKUP(ADS$3,Touchpoints!$A:$B,2,FALSE)=0,"",VLOOKUP(ADS$3,Touchpoints!$A:$B,2,FALSE)),"")</f>
        <v/>
      </c>
      <c r="ADT2" s="2" t="str">
        <f>IFERROR(IF(VLOOKUP(ADT$3,Touchpoints!$A:$B,2,FALSE)=0,"",VLOOKUP(ADT$3,Touchpoints!$A:$B,2,FALSE)),"")</f>
        <v/>
      </c>
      <c r="ADU2" s="2" t="str">
        <f>IFERROR(IF(VLOOKUP(ADU$3,Touchpoints!$A:$B,2,FALSE)=0,"",VLOOKUP(ADU$3,Touchpoints!$A:$B,2,FALSE)),"")</f>
        <v/>
      </c>
      <c r="ADV2" s="2" t="str">
        <f>IFERROR(IF(VLOOKUP(ADV$3,Touchpoints!$A:$B,2,FALSE)=0,"",VLOOKUP(ADV$3,Touchpoints!$A:$B,2,FALSE)),"")</f>
        <v/>
      </c>
      <c r="ADW2" s="2" t="str">
        <f>IFERROR(IF(VLOOKUP(ADW$3,Touchpoints!$A:$B,2,FALSE)=0,"",VLOOKUP(ADW$3,Touchpoints!$A:$B,2,FALSE)),"")</f>
        <v/>
      </c>
      <c r="ADX2" s="2" t="str">
        <f>IFERROR(IF(VLOOKUP(ADX$3,Touchpoints!$A:$B,2,FALSE)=0,"",VLOOKUP(ADX$3,Touchpoints!$A:$B,2,FALSE)),"")</f>
        <v/>
      </c>
      <c r="ADY2" s="2" t="str">
        <f>IFERROR(IF(VLOOKUP(ADY$3,Touchpoints!$A:$B,2,FALSE)=0,"",VLOOKUP(ADY$3,Touchpoints!$A:$B,2,FALSE)),"")</f>
        <v/>
      </c>
      <c r="ADZ2" s="2" t="str">
        <f>IFERROR(IF(VLOOKUP(ADZ$3,Touchpoints!$A:$B,2,FALSE)=0,"",VLOOKUP(ADZ$3,Touchpoints!$A:$B,2,FALSE)),"")</f>
        <v/>
      </c>
      <c r="AEA2" s="2" t="str">
        <f>IFERROR(IF(VLOOKUP(AEA$3,Touchpoints!$A:$B,2,FALSE)=0,"",VLOOKUP(AEA$3,Touchpoints!$A:$B,2,FALSE)),"")</f>
        <v/>
      </c>
      <c r="AEB2" s="2" t="str">
        <f>IFERROR(IF(VLOOKUP(AEB$3,Touchpoints!$A:$B,2,FALSE)=0,"",VLOOKUP(AEB$3,Touchpoints!$A:$B,2,FALSE)),"")</f>
        <v/>
      </c>
      <c r="AEC2" s="2" t="str">
        <f>IFERROR(IF(VLOOKUP(AEC$3,Touchpoints!$A:$B,2,FALSE)=0,"",VLOOKUP(AEC$3,Touchpoints!$A:$B,2,FALSE)),"")</f>
        <v/>
      </c>
      <c r="AED2" s="2" t="str">
        <f>IFERROR(IF(VLOOKUP(AED$3,Touchpoints!$A:$B,2,FALSE)=0,"",VLOOKUP(AED$3,Touchpoints!$A:$B,2,FALSE)),"")</f>
        <v/>
      </c>
      <c r="AEE2" s="2" t="str">
        <f>IFERROR(IF(VLOOKUP(AEE$3,Touchpoints!$A:$B,2,FALSE)=0,"",VLOOKUP(AEE$3,Touchpoints!$A:$B,2,FALSE)),"")</f>
        <v/>
      </c>
      <c r="AEF2" s="2" t="str">
        <f>IFERROR(IF(VLOOKUP(AEF$3,Touchpoints!$A:$B,2,FALSE)=0,"",VLOOKUP(AEF$3,Touchpoints!$A:$B,2,FALSE)),"")</f>
        <v/>
      </c>
      <c r="AEG2" s="2" t="str">
        <f>IFERROR(IF(VLOOKUP(AEG$3,Touchpoints!$A:$B,2,FALSE)=0,"",VLOOKUP(AEG$3,Touchpoints!$A:$B,2,FALSE)),"")</f>
        <v/>
      </c>
      <c r="AEH2" s="2" t="str">
        <f>IFERROR(IF(VLOOKUP(AEH$3,Touchpoints!$A:$B,2,FALSE)=0,"",VLOOKUP(AEH$3,Touchpoints!$A:$B,2,FALSE)),"")</f>
        <v/>
      </c>
      <c r="AEI2" s="2" t="str">
        <f>IFERROR(IF(VLOOKUP(AEI$3,Touchpoints!$A:$B,2,FALSE)=0,"",VLOOKUP(AEI$3,Touchpoints!$A:$B,2,FALSE)),"")</f>
        <v/>
      </c>
      <c r="AEJ2" s="2" t="str">
        <f>IFERROR(IF(VLOOKUP(AEJ$3,Touchpoints!$A:$B,2,FALSE)=0,"",VLOOKUP(AEJ$3,Touchpoints!$A:$B,2,FALSE)),"")</f>
        <v/>
      </c>
      <c r="AEK2" s="2" t="str">
        <f>IFERROR(IF(VLOOKUP(AEK$3,Touchpoints!$A:$B,2,FALSE)=0,"",VLOOKUP(AEK$3,Touchpoints!$A:$B,2,FALSE)),"")</f>
        <v/>
      </c>
      <c r="AEL2" s="2" t="str">
        <f>IFERROR(IF(VLOOKUP(AEL$3,Touchpoints!$A:$B,2,FALSE)=0,"",VLOOKUP(AEL$3,Touchpoints!$A:$B,2,FALSE)),"")</f>
        <v/>
      </c>
      <c r="AEM2" s="2" t="str">
        <f>IFERROR(IF(VLOOKUP(AEM$3,Touchpoints!$A:$B,2,FALSE)=0,"",VLOOKUP(AEM$3,Touchpoints!$A:$B,2,FALSE)),"")</f>
        <v/>
      </c>
      <c r="AEN2" s="2" t="str">
        <f>IFERROR(IF(VLOOKUP(AEN$3,Touchpoints!$A:$B,2,FALSE)=0,"",VLOOKUP(AEN$3,Touchpoints!$A:$B,2,FALSE)),"")</f>
        <v/>
      </c>
      <c r="AEO2" s="2" t="str">
        <f>IFERROR(IF(VLOOKUP(AEO$3,Touchpoints!$A:$B,2,FALSE)=0,"",VLOOKUP(AEO$3,Touchpoints!$A:$B,2,FALSE)),"")</f>
        <v/>
      </c>
      <c r="AEP2" s="2" t="str">
        <f>IFERROR(IF(VLOOKUP(AEP$3,Touchpoints!$A:$B,2,FALSE)=0,"",VLOOKUP(AEP$3,Touchpoints!$A:$B,2,FALSE)),"")</f>
        <v/>
      </c>
      <c r="AEQ2" s="2" t="str">
        <f>IFERROR(IF(VLOOKUP(AEQ$3,Touchpoints!$A:$B,2,FALSE)=0,"",VLOOKUP(AEQ$3,Touchpoints!$A:$B,2,FALSE)),"")</f>
        <v/>
      </c>
      <c r="AER2" s="2" t="str">
        <f>IFERROR(IF(VLOOKUP(AER$3,Touchpoints!$A:$B,2,FALSE)=0,"",VLOOKUP(AER$3,Touchpoints!$A:$B,2,FALSE)),"")</f>
        <v/>
      </c>
      <c r="AES2" s="2" t="str">
        <f>IFERROR(IF(VLOOKUP(AES$3,Touchpoints!$A:$B,2,FALSE)=0,"",VLOOKUP(AES$3,Touchpoints!$A:$B,2,FALSE)),"")</f>
        <v/>
      </c>
      <c r="AET2" s="2" t="str">
        <f>IFERROR(IF(VLOOKUP(AET$3,Touchpoints!$A:$B,2,FALSE)=0,"",VLOOKUP(AET$3,Touchpoints!$A:$B,2,FALSE)),"")</f>
        <v/>
      </c>
      <c r="AEU2" s="2" t="str">
        <f>IFERROR(IF(VLOOKUP(AEU$3,Touchpoints!$A:$B,2,FALSE)=0,"",VLOOKUP(AEU$3,Touchpoints!$A:$B,2,FALSE)),"")</f>
        <v/>
      </c>
      <c r="AEV2" s="2" t="str">
        <f>IFERROR(IF(VLOOKUP(AEV$3,Touchpoints!$A:$B,2,FALSE)=0,"",VLOOKUP(AEV$3,Touchpoints!$A:$B,2,FALSE)),"")</f>
        <v/>
      </c>
      <c r="AEW2" s="2" t="str">
        <f>IFERROR(IF(VLOOKUP(AEW$3,Touchpoints!$A:$B,2,FALSE)=0,"",VLOOKUP(AEW$3,Touchpoints!$A:$B,2,FALSE)),"")</f>
        <v/>
      </c>
      <c r="AEX2" s="2" t="str">
        <f>IFERROR(IF(VLOOKUP(AEX$3,Touchpoints!$A:$B,2,FALSE)=0,"",VLOOKUP(AEX$3,Touchpoints!$A:$B,2,FALSE)),"")</f>
        <v/>
      </c>
      <c r="AEY2" s="2" t="str">
        <f>IFERROR(IF(VLOOKUP(AEY$3,Touchpoints!$A:$B,2,FALSE)=0,"",VLOOKUP(AEY$3,Touchpoints!$A:$B,2,FALSE)),"")</f>
        <v/>
      </c>
      <c r="AEZ2" s="2" t="str">
        <f>IFERROR(IF(VLOOKUP(AEZ$3,Touchpoints!$A:$B,2,FALSE)=0,"",VLOOKUP(AEZ$3,Touchpoints!$A:$B,2,FALSE)),"")</f>
        <v/>
      </c>
      <c r="AFA2" s="2" t="str">
        <f>IFERROR(IF(VLOOKUP(AFA$3,Touchpoints!$A:$B,2,FALSE)=0,"",VLOOKUP(AFA$3,Touchpoints!$A:$B,2,FALSE)),"")</f>
        <v/>
      </c>
      <c r="AFB2" s="2" t="str">
        <f>IFERROR(IF(VLOOKUP(AFB$3,Touchpoints!$A:$B,2,FALSE)=0,"",VLOOKUP(AFB$3,Touchpoints!$A:$B,2,FALSE)),"")</f>
        <v/>
      </c>
      <c r="AFC2" s="2" t="str">
        <f>IFERROR(IF(VLOOKUP(AFC$3,Touchpoints!$A:$B,2,FALSE)=0,"",VLOOKUP(AFC$3,Touchpoints!$A:$B,2,FALSE)),"")</f>
        <v/>
      </c>
      <c r="AFD2" s="2" t="str">
        <f>IFERROR(IF(VLOOKUP(AFD$3,Touchpoints!$A:$B,2,FALSE)=0,"",VLOOKUP(AFD$3,Touchpoints!$A:$B,2,FALSE)),"")</f>
        <v/>
      </c>
      <c r="AFE2" s="2" t="str">
        <f>IFERROR(IF(VLOOKUP(AFE$3,Touchpoints!$A:$B,2,FALSE)=0,"",VLOOKUP(AFE$3,Touchpoints!$A:$B,2,FALSE)),"")</f>
        <v/>
      </c>
      <c r="AFF2" s="2" t="str">
        <f>IFERROR(IF(VLOOKUP(AFF$3,Touchpoints!$A:$B,2,FALSE)=0,"",VLOOKUP(AFF$3,Touchpoints!$A:$B,2,FALSE)),"")</f>
        <v/>
      </c>
      <c r="AFG2" s="2" t="str">
        <f>IFERROR(IF(VLOOKUP(AFG$3,Touchpoints!$A:$B,2,FALSE)=0,"",VLOOKUP(AFG$3,Touchpoints!$A:$B,2,FALSE)),"")</f>
        <v/>
      </c>
      <c r="AFH2" s="2" t="str">
        <f>IFERROR(IF(VLOOKUP(AFH$3,Touchpoints!$A:$B,2,FALSE)=0,"",VLOOKUP(AFH$3,Touchpoints!$A:$B,2,FALSE)),"")</f>
        <v/>
      </c>
      <c r="AFI2" s="2" t="str">
        <f>IFERROR(IF(VLOOKUP(AFI$3,Touchpoints!$A:$B,2,FALSE)=0,"",VLOOKUP(AFI$3,Touchpoints!$A:$B,2,FALSE)),"")</f>
        <v/>
      </c>
      <c r="AFJ2" s="2" t="str">
        <f>IFERROR(IF(VLOOKUP(AFJ$3,Touchpoints!$A:$B,2,FALSE)=0,"",VLOOKUP(AFJ$3,Touchpoints!$A:$B,2,FALSE)),"")</f>
        <v/>
      </c>
      <c r="AFK2" s="2" t="str">
        <f>IFERROR(IF(VLOOKUP(AFK$3,Touchpoints!$A:$B,2,FALSE)=0,"",VLOOKUP(AFK$3,Touchpoints!$A:$B,2,FALSE)),"")</f>
        <v/>
      </c>
      <c r="AFL2" s="2" t="str">
        <f>IFERROR(IF(VLOOKUP(AFL$3,Touchpoints!$A:$B,2,FALSE)=0,"",VLOOKUP(AFL$3,Touchpoints!$A:$B,2,FALSE)),"")</f>
        <v/>
      </c>
      <c r="AFM2" s="2" t="str">
        <f>IFERROR(IF(VLOOKUP(AFM$3,Touchpoints!$A:$B,2,FALSE)=0,"",VLOOKUP(AFM$3,Touchpoints!$A:$B,2,FALSE)),"")</f>
        <v/>
      </c>
      <c r="AFN2" s="2" t="str">
        <f>IFERROR(IF(VLOOKUP(AFN$3,Touchpoints!$A:$B,2,FALSE)=0,"",VLOOKUP(AFN$3,Touchpoints!$A:$B,2,FALSE)),"")</f>
        <v/>
      </c>
      <c r="AFO2" s="2" t="str">
        <f>IFERROR(IF(VLOOKUP(AFO$3,Touchpoints!$A:$B,2,FALSE)=0,"",VLOOKUP(AFO$3,Touchpoints!$A:$B,2,FALSE)),"")</f>
        <v/>
      </c>
      <c r="AFP2" s="2" t="str">
        <f>IFERROR(IF(VLOOKUP(AFP$3,Touchpoints!$A:$B,2,FALSE)=0,"",VLOOKUP(AFP$3,Touchpoints!$A:$B,2,FALSE)),"")</f>
        <v/>
      </c>
      <c r="AFQ2" s="2" t="str">
        <f>IFERROR(IF(VLOOKUP(AFQ$3,Touchpoints!$A:$B,2,FALSE)=0,"",VLOOKUP(AFQ$3,Touchpoints!$A:$B,2,FALSE)),"")</f>
        <v/>
      </c>
      <c r="AFR2" s="2" t="str">
        <f>IFERROR(IF(VLOOKUP(AFR$3,Touchpoints!$A:$B,2,FALSE)=0,"",VLOOKUP(AFR$3,Touchpoints!$A:$B,2,FALSE)),"")</f>
        <v/>
      </c>
      <c r="AFS2" s="2" t="str">
        <f>IFERROR(IF(VLOOKUP(AFS$3,Touchpoints!$A:$B,2,FALSE)=0,"",VLOOKUP(AFS$3,Touchpoints!$A:$B,2,FALSE)),"")</f>
        <v/>
      </c>
      <c r="AFT2" s="2" t="str">
        <f>IFERROR(IF(VLOOKUP(AFT$3,Touchpoints!$A:$B,2,FALSE)=0,"",VLOOKUP(AFT$3,Touchpoints!$A:$B,2,FALSE)),"")</f>
        <v/>
      </c>
      <c r="AFU2" s="2" t="str">
        <f>IFERROR(IF(VLOOKUP(AFU$3,Touchpoints!$A:$B,2,FALSE)=0,"",VLOOKUP(AFU$3,Touchpoints!$A:$B,2,FALSE)),"")</f>
        <v/>
      </c>
      <c r="AFV2" s="2" t="str">
        <f>IFERROR(IF(VLOOKUP(AFV$3,Touchpoints!$A:$B,2,FALSE)=0,"",VLOOKUP(AFV$3,Touchpoints!$A:$B,2,FALSE)),"")</f>
        <v/>
      </c>
      <c r="AFW2" s="2" t="str">
        <f>IFERROR(IF(VLOOKUP(AFW$3,Touchpoints!$A:$B,2,FALSE)=0,"",VLOOKUP(AFW$3,Touchpoints!$A:$B,2,FALSE)),"")</f>
        <v/>
      </c>
      <c r="AFX2" s="2" t="str">
        <f>IFERROR(IF(VLOOKUP(AFX$3,Touchpoints!$A:$B,2,FALSE)=0,"",VLOOKUP(AFX$3,Touchpoints!$A:$B,2,FALSE)),"")</f>
        <v/>
      </c>
      <c r="AFY2" s="2" t="str">
        <f>IFERROR(IF(VLOOKUP(AFY$3,Touchpoints!$A:$B,2,FALSE)=0,"",VLOOKUP(AFY$3,Touchpoints!$A:$B,2,FALSE)),"")</f>
        <v/>
      </c>
      <c r="AFZ2" s="2" t="str">
        <f>IFERROR(IF(VLOOKUP(AFZ$3,Touchpoints!$A:$B,2,FALSE)=0,"",VLOOKUP(AFZ$3,Touchpoints!$A:$B,2,FALSE)),"")</f>
        <v/>
      </c>
      <c r="AGA2" s="2" t="str">
        <f>IFERROR(IF(VLOOKUP(AGA$3,Touchpoints!$A:$B,2,FALSE)=0,"",VLOOKUP(AGA$3,Touchpoints!$A:$B,2,FALSE)),"")</f>
        <v/>
      </c>
      <c r="AGB2" s="2" t="str">
        <f>IFERROR(IF(VLOOKUP(AGB$3,Touchpoints!$A:$B,2,FALSE)=0,"",VLOOKUP(AGB$3,Touchpoints!$A:$B,2,FALSE)),"")</f>
        <v/>
      </c>
      <c r="AGC2" s="2" t="str">
        <f>IFERROR(IF(VLOOKUP(AGC$3,Touchpoints!$A:$B,2,FALSE)=0,"",VLOOKUP(AGC$3,Touchpoints!$A:$B,2,FALSE)),"")</f>
        <v/>
      </c>
      <c r="AGD2" s="2" t="str">
        <f>IFERROR(IF(VLOOKUP(AGD$3,Touchpoints!$A:$B,2,FALSE)=0,"",VLOOKUP(AGD$3,Touchpoints!$A:$B,2,FALSE)),"")</f>
        <v/>
      </c>
      <c r="AGE2" s="2" t="str">
        <f>IFERROR(IF(VLOOKUP(AGE$3,Touchpoints!$A:$B,2,FALSE)=0,"",VLOOKUP(AGE$3,Touchpoints!$A:$B,2,FALSE)),"")</f>
        <v/>
      </c>
      <c r="AGF2" s="2" t="str">
        <f>IFERROR(IF(VLOOKUP(AGF$3,Touchpoints!$A:$B,2,FALSE)=0,"",VLOOKUP(AGF$3,Touchpoints!$A:$B,2,FALSE)),"")</f>
        <v/>
      </c>
      <c r="AGG2" s="2" t="str">
        <f>IFERROR(IF(VLOOKUP(AGG$3,Touchpoints!$A:$B,2,FALSE)=0,"",VLOOKUP(AGG$3,Touchpoints!$A:$B,2,FALSE)),"")</f>
        <v/>
      </c>
      <c r="AGH2" s="2" t="str">
        <f>IFERROR(IF(VLOOKUP(AGH$3,Touchpoints!$A:$B,2,FALSE)=0,"",VLOOKUP(AGH$3,Touchpoints!$A:$B,2,FALSE)),"")</f>
        <v/>
      </c>
      <c r="AGI2" s="2" t="str">
        <f>IFERROR(IF(VLOOKUP(AGI$3,Touchpoints!$A:$B,2,FALSE)=0,"",VLOOKUP(AGI$3,Touchpoints!$A:$B,2,FALSE)),"")</f>
        <v/>
      </c>
      <c r="AGJ2" s="2" t="str">
        <f>IFERROR(IF(VLOOKUP(AGJ$3,Touchpoints!$A:$B,2,FALSE)=0,"",VLOOKUP(AGJ$3,Touchpoints!$A:$B,2,FALSE)),"")</f>
        <v/>
      </c>
      <c r="AGK2" s="2" t="str">
        <f>IFERROR(IF(VLOOKUP(AGK$3,Touchpoints!$A:$B,2,FALSE)=0,"",VLOOKUP(AGK$3,Touchpoints!$A:$B,2,FALSE)),"")</f>
        <v/>
      </c>
      <c r="AGL2" s="2" t="str">
        <f>IFERROR(IF(VLOOKUP(AGL$3,Touchpoints!$A:$B,2,FALSE)=0,"",VLOOKUP(AGL$3,Touchpoints!$A:$B,2,FALSE)),"")</f>
        <v/>
      </c>
      <c r="AGM2" s="2" t="str">
        <f>IFERROR(IF(VLOOKUP(AGM$3,Touchpoints!$A:$B,2,FALSE)=0,"",VLOOKUP(AGM$3,Touchpoints!$A:$B,2,FALSE)),"")</f>
        <v/>
      </c>
      <c r="AGN2" s="2" t="str">
        <f>IFERROR(IF(VLOOKUP(AGN$3,Touchpoints!$A:$B,2,FALSE)=0,"",VLOOKUP(AGN$3,Touchpoints!$A:$B,2,FALSE)),"")</f>
        <v/>
      </c>
      <c r="AGO2" s="2" t="str">
        <f>IFERROR(IF(VLOOKUP(AGO$3,Touchpoints!$A:$B,2,FALSE)=0,"",VLOOKUP(AGO$3,Touchpoints!$A:$B,2,FALSE)),"")</f>
        <v/>
      </c>
      <c r="AGP2" s="2" t="str">
        <f>IFERROR(IF(VLOOKUP(AGP$3,Touchpoints!$A:$B,2,FALSE)=0,"",VLOOKUP(AGP$3,Touchpoints!$A:$B,2,FALSE)),"")</f>
        <v/>
      </c>
      <c r="AGQ2" s="2" t="str">
        <f>IFERROR(IF(VLOOKUP(AGQ$3,Touchpoints!$A:$B,2,FALSE)=0,"",VLOOKUP(AGQ$3,Touchpoints!$A:$B,2,FALSE)),"")</f>
        <v/>
      </c>
      <c r="AGR2" s="2" t="str">
        <f>IFERROR(IF(VLOOKUP(AGR$3,Touchpoints!$A:$B,2,FALSE)=0,"",VLOOKUP(AGR$3,Touchpoints!$A:$B,2,FALSE)),"")</f>
        <v/>
      </c>
      <c r="AGS2" s="2" t="str">
        <f>IFERROR(IF(VLOOKUP(AGS$3,Touchpoints!$A:$B,2,FALSE)=0,"",VLOOKUP(AGS$3,Touchpoints!$A:$B,2,FALSE)),"")</f>
        <v/>
      </c>
      <c r="AGT2" s="2" t="str">
        <f>IFERROR(IF(VLOOKUP(AGT$3,Touchpoints!$A:$B,2,FALSE)=0,"",VLOOKUP(AGT$3,Touchpoints!$A:$B,2,FALSE)),"")</f>
        <v/>
      </c>
      <c r="AGU2" s="2" t="str">
        <f>IFERROR(IF(VLOOKUP(AGU$3,Touchpoints!$A:$B,2,FALSE)=0,"",VLOOKUP(AGU$3,Touchpoints!$A:$B,2,FALSE)),"")</f>
        <v/>
      </c>
      <c r="AGV2" s="2" t="str">
        <f>IFERROR(IF(VLOOKUP(AGV$3,Touchpoints!$A:$B,2,FALSE)=0,"",VLOOKUP(AGV$3,Touchpoints!$A:$B,2,FALSE)),"")</f>
        <v/>
      </c>
      <c r="AGW2" s="2" t="str">
        <f>IFERROR(IF(VLOOKUP(AGW$3,Touchpoints!$A:$B,2,FALSE)=0,"",VLOOKUP(AGW$3,Touchpoints!$A:$B,2,FALSE)),"")</f>
        <v/>
      </c>
      <c r="AGX2" s="2" t="str">
        <f>IFERROR(IF(VLOOKUP(AGX$3,Touchpoints!$A:$B,2,FALSE)=0,"",VLOOKUP(AGX$3,Touchpoints!$A:$B,2,FALSE)),"")</f>
        <v/>
      </c>
      <c r="AGY2" s="2" t="str">
        <f>IFERROR(IF(VLOOKUP(AGY$3,Touchpoints!$A:$B,2,FALSE)=0,"",VLOOKUP(AGY$3,Touchpoints!$A:$B,2,FALSE)),"")</f>
        <v/>
      </c>
      <c r="AGZ2" s="2" t="str">
        <f>IFERROR(IF(VLOOKUP(AGZ$3,Touchpoints!$A:$B,2,FALSE)=0,"",VLOOKUP(AGZ$3,Touchpoints!$A:$B,2,FALSE)),"")</f>
        <v/>
      </c>
      <c r="AHA2" s="2" t="str">
        <f>IFERROR(IF(VLOOKUP(AHA$3,Touchpoints!$A:$B,2,FALSE)=0,"",VLOOKUP(AHA$3,Touchpoints!$A:$B,2,FALSE)),"")</f>
        <v/>
      </c>
      <c r="AHB2" s="2" t="str">
        <f>IFERROR(IF(VLOOKUP(AHB$3,Touchpoints!$A:$B,2,FALSE)=0,"",VLOOKUP(AHB$3,Touchpoints!$A:$B,2,FALSE)),"")</f>
        <v/>
      </c>
      <c r="AHC2" s="2" t="str">
        <f>IFERROR(IF(VLOOKUP(AHC$3,Touchpoints!$A:$B,2,FALSE)=0,"",VLOOKUP(AHC$3,Touchpoints!$A:$B,2,FALSE)),"")</f>
        <v/>
      </c>
      <c r="AHD2" s="2" t="str">
        <f>IFERROR(IF(VLOOKUP(AHD$3,Touchpoints!$A:$B,2,FALSE)=0,"",VLOOKUP(AHD$3,Touchpoints!$A:$B,2,FALSE)),"")</f>
        <v/>
      </c>
      <c r="AHE2" s="2" t="str">
        <f>IFERROR(IF(VLOOKUP(AHE$3,Touchpoints!$A:$B,2,FALSE)=0,"",VLOOKUP(AHE$3,Touchpoints!$A:$B,2,FALSE)),"")</f>
        <v/>
      </c>
      <c r="AHF2" s="2" t="str">
        <f>IFERROR(IF(VLOOKUP(AHF$3,Touchpoints!$A:$B,2,FALSE)=0,"",VLOOKUP(AHF$3,Touchpoints!$A:$B,2,FALSE)),"")</f>
        <v/>
      </c>
      <c r="AHG2" s="2" t="str">
        <f>IFERROR(IF(VLOOKUP(AHG$3,Touchpoints!$A:$B,2,FALSE)=0,"",VLOOKUP(AHG$3,Touchpoints!$A:$B,2,FALSE)),"")</f>
        <v/>
      </c>
      <c r="AHH2" s="2" t="str">
        <f>IFERROR(IF(VLOOKUP(AHH$3,Touchpoints!$A:$B,2,FALSE)=0,"",VLOOKUP(AHH$3,Touchpoints!$A:$B,2,FALSE)),"")</f>
        <v/>
      </c>
      <c r="AHI2" s="2" t="str">
        <f>IFERROR(IF(VLOOKUP(AHI$3,Touchpoints!$A:$B,2,FALSE)=0,"",VLOOKUP(AHI$3,Touchpoints!$A:$B,2,FALSE)),"")</f>
        <v/>
      </c>
      <c r="AHJ2" s="2" t="str">
        <f>IFERROR(IF(VLOOKUP(AHJ$3,Touchpoints!$A:$B,2,FALSE)=0,"",VLOOKUP(AHJ$3,Touchpoints!$A:$B,2,FALSE)),"")</f>
        <v/>
      </c>
      <c r="AHK2" s="2" t="str">
        <f>IFERROR(IF(VLOOKUP(AHK$3,Touchpoints!$A:$B,2,FALSE)=0,"",VLOOKUP(AHK$3,Touchpoints!$A:$B,2,FALSE)),"")</f>
        <v/>
      </c>
      <c r="AHL2" s="2" t="str">
        <f>IFERROR(IF(VLOOKUP(AHL$3,Touchpoints!$A:$B,2,FALSE)=0,"",VLOOKUP(AHL$3,Touchpoints!$A:$B,2,FALSE)),"")</f>
        <v/>
      </c>
      <c r="AHM2" s="2" t="str">
        <f>IFERROR(IF(VLOOKUP(AHM$3,Touchpoints!$A:$B,2,FALSE)=0,"",VLOOKUP(AHM$3,Touchpoints!$A:$B,2,FALSE)),"")</f>
        <v/>
      </c>
      <c r="AHN2" s="2" t="str">
        <f>IFERROR(IF(VLOOKUP(AHN$3,Touchpoints!$A:$B,2,FALSE)=0,"",VLOOKUP(AHN$3,Touchpoints!$A:$B,2,FALSE)),"")</f>
        <v/>
      </c>
      <c r="AHO2" s="2" t="str">
        <f>IFERROR(IF(VLOOKUP(AHO$3,Touchpoints!$A:$B,2,FALSE)=0,"",VLOOKUP(AHO$3,Touchpoints!$A:$B,2,FALSE)),"")</f>
        <v/>
      </c>
      <c r="AHP2" s="2" t="str">
        <f>IFERROR(IF(VLOOKUP(AHP$3,Touchpoints!$A:$B,2,FALSE)=0,"",VLOOKUP(AHP$3,Touchpoints!$A:$B,2,FALSE)),"")</f>
        <v/>
      </c>
      <c r="AHQ2" s="2" t="str">
        <f>IFERROR(IF(VLOOKUP(AHQ$3,Touchpoints!$A:$B,2,FALSE)=0,"",VLOOKUP(AHQ$3,Touchpoints!$A:$B,2,FALSE)),"")</f>
        <v/>
      </c>
      <c r="AHR2" s="2" t="str">
        <f>IFERROR(IF(VLOOKUP(AHR$3,Touchpoints!$A:$B,2,FALSE)=0,"",VLOOKUP(AHR$3,Touchpoints!$A:$B,2,FALSE)),"")</f>
        <v/>
      </c>
      <c r="AHS2" s="2" t="str">
        <f>IFERROR(IF(VLOOKUP(AHS$3,Touchpoints!$A:$B,2,FALSE)=0,"",VLOOKUP(AHS$3,Touchpoints!$A:$B,2,FALSE)),"")</f>
        <v/>
      </c>
      <c r="AHT2" s="2" t="str">
        <f>IFERROR(IF(VLOOKUP(AHT$3,Touchpoints!$A:$B,2,FALSE)=0,"",VLOOKUP(AHT$3,Touchpoints!$A:$B,2,FALSE)),"")</f>
        <v/>
      </c>
      <c r="AHU2" s="2" t="str">
        <f>IFERROR(IF(VLOOKUP(AHU$3,Touchpoints!$A:$B,2,FALSE)=0,"",VLOOKUP(AHU$3,Touchpoints!$A:$B,2,FALSE)),"")</f>
        <v/>
      </c>
      <c r="AHV2" s="2" t="str">
        <f>IFERROR(IF(VLOOKUP(AHV$3,Touchpoints!$A:$B,2,FALSE)=0,"",VLOOKUP(AHV$3,Touchpoints!$A:$B,2,FALSE)),"")</f>
        <v/>
      </c>
      <c r="AHW2" s="2" t="str">
        <f>IFERROR(IF(VLOOKUP(AHW$3,Touchpoints!$A:$B,2,FALSE)=0,"",VLOOKUP(AHW$3,Touchpoints!$A:$B,2,FALSE)),"")</f>
        <v/>
      </c>
      <c r="AHX2" s="2" t="str">
        <f>IFERROR(IF(VLOOKUP(AHX$3,Touchpoints!$A:$B,2,FALSE)=0,"",VLOOKUP(AHX$3,Touchpoints!$A:$B,2,FALSE)),"")</f>
        <v/>
      </c>
      <c r="AHY2" s="2" t="str">
        <f>IFERROR(IF(VLOOKUP(AHY$3,Touchpoints!$A:$B,2,FALSE)=0,"",VLOOKUP(AHY$3,Touchpoints!$A:$B,2,FALSE)),"")</f>
        <v/>
      </c>
      <c r="AHZ2" s="2" t="str">
        <f>IFERROR(IF(VLOOKUP(AHZ$3,Touchpoints!$A:$B,2,FALSE)=0,"",VLOOKUP(AHZ$3,Touchpoints!$A:$B,2,FALSE)),"")</f>
        <v/>
      </c>
      <c r="AIA2" s="2" t="str">
        <f>IFERROR(IF(VLOOKUP(AIA$3,Touchpoints!$A:$B,2,FALSE)=0,"",VLOOKUP(AIA$3,Touchpoints!$A:$B,2,FALSE)),"")</f>
        <v/>
      </c>
      <c r="AIB2" s="2" t="str">
        <f>IFERROR(IF(VLOOKUP(AIB$3,Touchpoints!$A:$B,2,FALSE)=0,"",VLOOKUP(AIB$3,Touchpoints!$A:$B,2,FALSE)),"")</f>
        <v/>
      </c>
      <c r="AIC2" s="2" t="str">
        <f>IFERROR(IF(VLOOKUP(AIC$3,Touchpoints!$A:$B,2,FALSE)=0,"",VLOOKUP(AIC$3,Touchpoints!$A:$B,2,FALSE)),"")</f>
        <v/>
      </c>
      <c r="AID2" s="2" t="str">
        <f>IFERROR(IF(VLOOKUP(AID$3,Touchpoints!$A:$B,2,FALSE)=0,"",VLOOKUP(AID$3,Touchpoints!$A:$B,2,FALSE)),"")</f>
        <v/>
      </c>
      <c r="AIE2" s="2" t="str">
        <f>IFERROR(IF(VLOOKUP(AIE$3,Touchpoints!$A:$B,2,FALSE)=0,"",VLOOKUP(AIE$3,Touchpoints!$A:$B,2,FALSE)),"")</f>
        <v/>
      </c>
      <c r="AIF2" s="2" t="str">
        <f>IFERROR(IF(VLOOKUP(AIF$3,Touchpoints!$A:$B,2,FALSE)=0,"",VLOOKUP(AIF$3,Touchpoints!$A:$B,2,FALSE)),"")</f>
        <v/>
      </c>
      <c r="AIG2" s="2" t="str">
        <f>IFERROR(IF(VLOOKUP(AIG$3,Touchpoints!$A:$B,2,FALSE)=0,"",VLOOKUP(AIG$3,Touchpoints!$A:$B,2,FALSE)),"")</f>
        <v/>
      </c>
      <c r="AIH2" s="2" t="str">
        <f>IFERROR(IF(VLOOKUP(AIH$3,Touchpoints!$A:$B,2,FALSE)=0,"",VLOOKUP(AIH$3,Touchpoints!$A:$B,2,FALSE)),"")</f>
        <v/>
      </c>
      <c r="AII2" s="2" t="str">
        <f>IFERROR(IF(VLOOKUP(AII$3,Touchpoints!$A:$B,2,FALSE)=0,"",VLOOKUP(AII$3,Touchpoints!$A:$B,2,FALSE)),"")</f>
        <v/>
      </c>
      <c r="AIJ2" s="2" t="str">
        <f>IFERROR(IF(VLOOKUP(AIJ$3,Touchpoints!$A:$B,2,FALSE)=0,"",VLOOKUP(AIJ$3,Touchpoints!$A:$B,2,FALSE)),"")</f>
        <v/>
      </c>
      <c r="AIK2" s="2" t="str">
        <f>IFERROR(IF(VLOOKUP(AIK$3,Touchpoints!$A:$B,2,FALSE)=0,"",VLOOKUP(AIK$3,Touchpoints!$A:$B,2,FALSE)),"")</f>
        <v/>
      </c>
      <c r="AIL2" s="2" t="str">
        <f>IFERROR(IF(VLOOKUP(AIL$3,Touchpoints!$A:$B,2,FALSE)=0,"",VLOOKUP(AIL$3,Touchpoints!$A:$B,2,FALSE)),"")</f>
        <v/>
      </c>
      <c r="AIM2" s="2" t="str">
        <f>IFERROR(IF(VLOOKUP(AIM$3,Touchpoints!$A:$B,2,FALSE)=0,"",VLOOKUP(AIM$3,Touchpoints!$A:$B,2,FALSE)),"")</f>
        <v/>
      </c>
      <c r="AIN2" s="2" t="str">
        <f>IFERROR(IF(VLOOKUP(AIN$3,Touchpoints!$A:$B,2,FALSE)=0,"",VLOOKUP(AIN$3,Touchpoints!$A:$B,2,FALSE)),"")</f>
        <v/>
      </c>
      <c r="AIO2" s="2" t="str">
        <f>IFERROR(IF(VLOOKUP(AIO$3,Touchpoints!$A:$B,2,FALSE)=0,"",VLOOKUP(AIO$3,Touchpoints!$A:$B,2,FALSE)),"")</f>
        <v/>
      </c>
      <c r="AIP2" s="2" t="str">
        <f>IFERROR(IF(VLOOKUP(AIP$3,Touchpoints!$A:$B,2,FALSE)=0,"",VLOOKUP(AIP$3,Touchpoints!$A:$B,2,FALSE)),"")</f>
        <v/>
      </c>
      <c r="AIQ2" s="2" t="str">
        <f>IFERROR(IF(VLOOKUP(AIQ$3,Touchpoints!$A:$B,2,FALSE)=0,"",VLOOKUP(AIQ$3,Touchpoints!$A:$B,2,FALSE)),"")</f>
        <v/>
      </c>
      <c r="AIR2" s="2" t="str">
        <f>IFERROR(IF(VLOOKUP(AIR$3,Touchpoints!$A:$B,2,FALSE)=0,"",VLOOKUP(AIR$3,Touchpoints!$A:$B,2,FALSE)),"")</f>
        <v/>
      </c>
      <c r="AIS2" s="2" t="str">
        <f>IFERROR(IF(VLOOKUP(AIS$3,Touchpoints!$A:$B,2,FALSE)=0,"",VLOOKUP(AIS$3,Touchpoints!$A:$B,2,FALSE)),"")</f>
        <v/>
      </c>
      <c r="AIT2" s="2" t="str">
        <f>IFERROR(IF(VLOOKUP(AIT$3,Touchpoints!$A:$B,2,FALSE)=0,"",VLOOKUP(AIT$3,Touchpoints!$A:$B,2,FALSE)),"")</f>
        <v/>
      </c>
      <c r="AIU2" s="2" t="str">
        <f>IFERROR(IF(VLOOKUP(AIU$3,Touchpoints!$A:$B,2,FALSE)=0,"",VLOOKUP(AIU$3,Touchpoints!$A:$B,2,FALSE)),"")</f>
        <v/>
      </c>
      <c r="AIV2" s="2" t="str">
        <f>IFERROR(IF(VLOOKUP(AIV$3,Touchpoints!$A:$B,2,FALSE)=0,"",VLOOKUP(AIV$3,Touchpoints!$A:$B,2,FALSE)),"")</f>
        <v/>
      </c>
      <c r="AIW2" s="2" t="str">
        <f>IFERROR(IF(VLOOKUP(AIW$3,Touchpoints!$A:$B,2,FALSE)=0,"",VLOOKUP(AIW$3,Touchpoints!$A:$B,2,FALSE)),"")</f>
        <v/>
      </c>
      <c r="AIX2" s="2" t="str">
        <f>IFERROR(IF(VLOOKUP(AIX$3,Touchpoints!$A:$B,2,FALSE)=0,"",VLOOKUP(AIX$3,Touchpoints!$A:$B,2,FALSE)),"")</f>
        <v/>
      </c>
      <c r="AIY2" s="2" t="str">
        <f>IFERROR(IF(VLOOKUP(AIY$3,Touchpoints!$A:$B,2,FALSE)=0,"",VLOOKUP(AIY$3,Touchpoints!$A:$B,2,FALSE)),"")</f>
        <v/>
      </c>
      <c r="AIZ2" s="2" t="str">
        <f>IFERROR(IF(VLOOKUP(AIZ$3,Touchpoints!$A:$B,2,FALSE)=0,"",VLOOKUP(AIZ$3,Touchpoints!$A:$B,2,FALSE)),"")</f>
        <v/>
      </c>
      <c r="AJA2" s="2" t="str">
        <f>IFERROR(IF(VLOOKUP(AJA$3,Touchpoints!$A:$B,2,FALSE)=0,"",VLOOKUP(AJA$3,Touchpoints!$A:$B,2,FALSE)),"")</f>
        <v/>
      </c>
      <c r="AJB2" s="2" t="str">
        <f>IFERROR(IF(VLOOKUP(AJB$3,Touchpoints!$A:$B,2,FALSE)=0,"",VLOOKUP(AJB$3,Touchpoints!$A:$B,2,FALSE)),"")</f>
        <v/>
      </c>
      <c r="AJC2" s="2" t="str">
        <f>IFERROR(IF(VLOOKUP(AJC$3,Touchpoints!$A:$B,2,FALSE)=0,"",VLOOKUP(AJC$3,Touchpoints!$A:$B,2,FALSE)),"")</f>
        <v/>
      </c>
      <c r="AJD2" s="2" t="str">
        <f>IFERROR(IF(VLOOKUP(AJD$3,Touchpoints!$A:$B,2,FALSE)=0,"",VLOOKUP(AJD$3,Touchpoints!$A:$B,2,FALSE)),"")</f>
        <v/>
      </c>
      <c r="AJE2" s="2" t="str">
        <f>IFERROR(IF(VLOOKUP(AJE$3,Touchpoints!$A:$B,2,FALSE)=0,"",VLOOKUP(AJE$3,Touchpoints!$A:$B,2,FALSE)),"")</f>
        <v/>
      </c>
      <c r="AJF2" s="2" t="str">
        <f>IFERROR(IF(VLOOKUP(AJF$3,Touchpoints!$A:$B,2,FALSE)=0,"",VLOOKUP(AJF$3,Touchpoints!$A:$B,2,FALSE)),"")</f>
        <v/>
      </c>
      <c r="AJG2" s="2" t="str">
        <f>IFERROR(IF(VLOOKUP(AJG$3,Touchpoints!$A:$B,2,FALSE)=0,"",VLOOKUP(AJG$3,Touchpoints!$A:$B,2,FALSE)),"")</f>
        <v/>
      </c>
      <c r="AJH2" s="2" t="str">
        <f>IFERROR(IF(VLOOKUP(AJH$3,Touchpoints!$A:$B,2,FALSE)=0,"",VLOOKUP(AJH$3,Touchpoints!$A:$B,2,FALSE)),"")</f>
        <v/>
      </c>
      <c r="AJI2" s="2" t="str">
        <f>IFERROR(IF(VLOOKUP(AJI$3,Touchpoints!$A:$B,2,FALSE)=0,"",VLOOKUP(AJI$3,Touchpoints!$A:$B,2,FALSE)),"")</f>
        <v/>
      </c>
      <c r="AJJ2" s="2" t="str">
        <f>IFERROR(IF(VLOOKUP(AJJ$3,Touchpoints!$A:$B,2,FALSE)=0,"",VLOOKUP(AJJ$3,Touchpoints!$A:$B,2,FALSE)),"")</f>
        <v/>
      </c>
      <c r="AJK2" s="2" t="str">
        <f>IFERROR(IF(VLOOKUP(AJK$3,Touchpoints!$A:$B,2,FALSE)=0,"",VLOOKUP(AJK$3,Touchpoints!$A:$B,2,FALSE)),"")</f>
        <v/>
      </c>
      <c r="AJL2" s="2" t="str">
        <f>IFERROR(IF(VLOOKUP(AJL$3,Touchpoints!$A:$B,2,FALSE)=0,"",VLOOKUP(AJL$3,Touchpoints!$A:$B,2,FALSE)),"")</f>
        <v/>
      </c>
      <c r="AJM2" s="2" t="str">
        <f>IFERROR(IF(VLOOKUP(AJM$3,Touchpoints!$A:$B,2,FALSE)=0,"",VLOOKUP(AJM$3,Touchpoints!$A:$B,2,FALSE)),"")</f>
        <v/>
      </c>
      <c r="AJN2" s="2" t="str">
        <f>IFERROR(IF(VLOOKUP(AJN$3,Touchpoints!$A:$B,2,FALSE)=0,"",VLOOKUP(AJN$3,Touchpoints!$A:$B,2,FALSE)),"")</f>
        <v/>
      </c>
      <c r="AJO2" s="2" t="str">
        <f>IFERROR(IF(VLOOKUP(AJO$3,Touchpoints!$A:$B,2,FALSE)=0,"",VLOOKUP(AJO$3,Touchpoints!$A:$B,2,FALSE)),"")</f>
        <v/>
      </c>
      <c r="AJP2" s="2" t="str">
        <f>IFERROR(IF(VLOOKUP(AJP$3,Touchpoints!$A:$B,2,FALSE)=0,"",VLOOKUP(AJP$3,Touchpoints!$A:$B,2,FALSE)),"")</f>
        <v/>
      </c>
      <c r="AJQ2" s="2" t="str">
        <f>IFERROR(IF(VLOOKUP(AJQ$3,Touchpoints!$A:$B,2,FALSE)=0,"",VLOOKUP(AJQ$3,Touchpoints!$A:$B,2,FALSE)),"")</f>
        <v/>
      </c>
      <c r="AJR2" s="2" t="str">
        <f>IFERROR(IF(VLOOKUP(AJR$3,Touchpoints!$A:$B,2,FALSE)=0,"",VLOOKUP(AJR$3,Touchpoints!$A:$B,2,FALSE)),"")</f>
        <v/>
      </c>
      <c r="AJS2" s="2" t="str">
        <f>IFERROR(IF(VLOOKUP(AJS$3,Touchpoints!$A:$B,2,FALSE)=0,"",VLOOKUP(AJS$3,Touchpoints!$A:$B,2,FALSE)),"")</f>
        <v/>
      </c>
      <c r="AJT2" s="2" t="str">
        <f>IFERROR(IF(VLOOKUP(AJT$3,Touchpoints!$A:$B,2,FALSE)=0,"",VLOOKUP(AJT$3,Touchpoints!$A:$B,2,FALSE)),"")</f>
        <v/>
      </c>
      <c r="AJU2" s="2" t="str">
        <f>IFERROR(IF(VLOOKUP(AJU$3,Touchpoints!$A:$B,2,FALSE)=0,"",VLOOKUP(AJU$3,Touchpoints!$A:$B,2,FALSE)),"")</f>
        <v/>
      </c>
      <c r="AJV2" s="2" t="str">
        <f>IFERROR(IF(VLOOKUP(AJV$3,Touchpoints!$A:$B,2,FALSE)=0,"",VLOOKUP(AJV$3,Touchpoints!$A:$B,2,FALSE)),"")</f>
        <v/>
      </c>
      <c r="AJW2" s="2" t="str">
        <f>IFERROR(IF(VLOOKUP(AJW$3,Touchpoints!$A:$B,2,FALSE)=0,"",VLOOKUP(AJW$3,Touchpoints!$A:$B,2,FALSE)),"")</f>
        <v/>
      </c>
      <c r="AJX2" s="2" t="str">
        <f>IFERROR(IF(VLOOKUP(AJX$3,Touchpoints!$A:$B,2,FALSE)=0,"",VLOOKUP(AJX$3,Touchpoints!$A:$B,2,FALSE)),"")</f>
        <v/>
      </c>
      <c r="AJY2" s="2" t="str">
        <f>IFERROR(IF(VLOOKUP(AJY$3,Touchpoints!$A:$B,2,FALSE)=0,"",VLOOKUP(AJY$3,Touchpoints!$A:$B,2,FALSE)),"")</f>
        <v/>
      </c>
      <c r="AJZ2" s="2" t="str">
        <f>IFERROR(IF(VLOOKUP(AJZ$3,Touchpoints!$A:$B,2,FALSE)=0,"",VLOOKUP(AJZ$3,Touchpoints!$A:$B,2,FALSE)),"")</f>
        <v/>
      </c>
      <c r="AKA2" s="2" t="str">
        <f>IFERROR(IF(VLOOKUP(AKA$3,Touchpoints!$A:$B,2,FALSE)=0,"",VLOOKUP(AKA$3,Touchpoints!$A:$B,2,FALSE)),"")</f>
        <v/>
      </c>
      <c r="AKB2" s="2" t="str">
        <f>IFERROR(IF(VLOOKUP(AKB$3,Touchpoints!$A:$B,2,FALSE)=0,"",VLOOKUP(AKB$3,Touchpoints!$A:$B,2,FALSE)),"")</f>
        <v/>
      </c>
      <c r="AKC2" s="2" t="str">
        <f>IFERROR(IF(VLOOKUP(AKC$3,Touchpoints!$A:$B,2,FALSE)=0,"",VLOOKUP(AKC$3,Touchpoints!$A:$B,2,FALSE)),"")</f>
        <v/>
      </c>
      <c r="AKD2" s="2" t="str">
        <f>IFERROR(IF(VLOOKUP(AKD$3,Touchpoints!$A:$B,2,FALSE)=0,"",VLOOKUP(AKD$3,Touchpoints!$A:$B,2,FALSE)),"")</f>
        <v/>
      </c>
      <c r="AKE2" s="2" t="str">
        <f>IFERROR(IF(VLOOKUP(AKE$3,Touchpoints!$A:$B,2,FALSE)=0,"",VLOOKUP(AKE$3,Touchpoints!$A:$B,2,FALSE)),"")</f>
        <v/>
      </c>
      <c r="AKF2" s="2" t="str">
        <f>IFERROR(IF(VLOOKUP(AKF$3,Touchpoints!$A:$B,2,FALSE)=0,"",VLOOKUP(AKF$3,Touchpoints!$A:$B,2,FALSE)),"")</f>
        <v/>
      </c>
      <c r="AKG2" s="2" t="str">
        <f>IFERROR(IF(VLOOKUP(AKG$3,Touchpoints!$A:$B,2,FALSE)=0,"",VLOOKUP(AKG$3,Touchpoints!$A:$B,2,FALSE)),"")</f>
        <v/>
      </c>
      <c r="AKH2" s="2" t="str">
        <f>IFERROR(IF(VLOOKUP(AKH$3,Touchpoints!$A:$B,2,FALSE)=0,"",VLOOKUP(AKH$3,Touchpoints!$A:$B,2,FALSE)),"")</f>
        <v/>
      </c>
      <c r="AKI2" s="2" t="str">
        <f>IFERROR(IF(VLOOKUP(AKI$3,Touchpoints!$A:$B,2,FALSE)=0,"",VLOOKUP(AKI$3,Touchpoints!$A:$B,2,FALSE)),"")</f>
        <v/>
      </c>
      <c r="AKJ2" s="2" t="str">
        <f>IFERROR(IF(VLOOKUP(AKJ$3,Touchpoints!$A:$B,2,FALSE)=0,"",VLOOKUP(AKJ$3,Touchpoints!$A:$B,2,FALSE)),"")</f>
        <v/>
      </c>
      <c r="AKK2" s="2" t="str">
        <f>IFERROR(IF(VLOOKUP(AKK$3,Touchpoints!$A:$B,2,FALSE)=0,"",VLOOKUP(AKK$3,Touchpoints!$A:$B,2,FALSE)),"")</f>
        <v/>
      </c>
      <c r="AKL2" s="2" t="str">
        <f>IFERROR(IF(VLOOKUP(AKL$3,Touchpoints!$A:$B,2,FALSE)=0,"",VLOOKUP(AKL$3,Touchpoints!$A:$B,2,FALSE)),"")</f>
        <v/>
      </c>
      <c r="AKM2" s="2" t="str">
        <f>IFERROR(IF(VLOOKUP(AKM$3,Touchpoints!$A:$B,2,FALSE)=0,"",VLOOKUP(AKM$3,Touchpoints!$A:$B,2,FALSE)),"")</f>
        <v/>
      </c>
      <c r="AKN2" s="2" t="str">
        <f>IFERROR(IF(VLOOKUP(AKN$3,Touchpoints!$A:$B,2,FALSE)=0,"",VLOOKUP(AKN$3,Touchpoints!$A:$B,2,FALSE)),"")</f>
        <v/>
      </c>
      <c r="AKO2" s="2" t="str">
        <f>IFERROR(IF(VLOOKUP(AKO$3,Touchpoints!$A:$B,2,FALSE)=0,"",VLOOKUP(AKO$3,Touchpoints!$A:$B,2,FALSE)),"")</f>
        <v/>
      </c>
      <c r="AKP2" s="2" t="str">
        <f>IFERROR(IF(VLOOKUP(AKP$3,Touchpoints!$A:$B,2,FALSE)=0,"",VLOOKUP(AKP$3,Touchpoints!$A:$B,2,FALSE)),"")</f>
        <v/>
      </c>
      <c r="AKQ2" s="2" t="str">
        <f>IFERROR(IF(VLOOKUP(AKQ$3,Touchpoints!$A:$B,2,FALSE)=0,"",VLOOKUP(AKQ$3,Touchpoints!$A:$B,2,FALSE)),"")</f>
        <v/>
      </c>
      <c r="AKR2" s="2" t="str">
        <f>IFERROR(IF(VLOOKUP(AKR$3,Touchpoints!$A:$B,2,FALSE)=0,"",VLOOKUP(AKR$3,Touchpoints!$A:$B,2,FALSE)),"")</f>
        <v/>
      </c>
      <c r="AKS2" s="2" t="str">
        <f>IFERROR(IF(VLOOKUP(AKS$3,Touchpoints!$A:$B,2,FALSE)=0,"",VLOOKUP(AKS$3,Touchpoints!$A:$B,2,FALSE)),"")</f>
        <v/>
      </c>
      <c r="AKT2" s="2" t="str">
        <f>IFERROR(IF(VLOOKUP(AKT$3,Touchpoints!$A:$B,2,FALSE)=0,"",VLOOKUP(AKT$3,Touchpoints!$A:$B,2,FALSE)),"")</f>
        <v/>
      </c>
      <c r="AKU2" s="2" t="str">
        <f>IFERROR(IF(VLOOKUP(AKU$3,Touchpoints!$A:$B,2,FALSE)=0,"",VLOOKUP(AKU$3,Touchpoints!$A:$B,2,FALSE)),"")</f>
        <v/>
      </c>
      <c r="AKV2" s="2" t="str">
        <f>IFERROR(IF(VLOOKUP(AKV$3,Touchpoints!$A:$B,2,FALSE)=0,"",VLOOKUP(AKV$3,Touchpoints!$A:$B,2,FALSE)),"")</f>
        <v/>
      </c>
      <c r="AKW2" s="2" t="str">
        <f>IFERROR(IF(VLOOKUP(AKW$3,Touchpoints!$A:$B,2,FALSE)=0,"",VLOOKUP(AKW$3,Touchpoints!$A:$B,2,FALSE)),"")</f>
        <v/>
      </c>
      <c r="AKX2" s="2" t="str">
        <f>IFERROR(IF(VLOOKUP(AKX$3,Touchpoints!$A:$B,2,FALSE)=0,"",VLOOKUP(AKX$3,Touchpoints!$A:$B,2,FALSE)),"")</f>
        <v/>
      </c>
      <c r="AKY2" s="2" t="str">
        <f>IFERROR(IF(VLOOKUP(AKY$3,Touchpoints!$A:$B,2,FALSE)=0,"",VLOOKUP(AKY$3,Touchpoints!$A:$B,2,FALSE)),"")</f>
        <v/>
      </c>
      <c r="AKZ2" s="2" t="str">
        <f>IFERROR(IF(VLOOKUP(AKZ$3,Touchpoints!$A:$B,2,FALSE)=0,"",VLOOKUP(AKZ$3,Touchpoints!$A:$B,2,FALSE)),"")</f>
        <v/>
      </c>
      <c r="ALA2" s="2" t="str">
        <f>IFERROR(IF(VLOOKUP(ALA$3,Touchpoints!$A:$B,2,FALSE)=0,"",VLOOKUP(ALA$3,Touchpoints!$A:$B,2,FALSE)),"")</f>
        <v/>
      </c>
      <c r="ALB2" s="2" t="str">
        <f>IFERROR(IF(VLOOKUP(ALB$3,Touchpoints!$A:$B,2,FALSE)=0,"",VLOOKUP(ALB$3,Touchpoints!$A:$B,2,FALSE)),"")</f>
        <v/>
      </c>
      <c r="ALC2" s="2" t="str">
        <f>IFERROR(IF(VLOOKUP(ALC$3,Touchpoints!$A:$B,2,FALSE)=0,"",VLOOKUP(ALC$3,Touchpoints!$A:$B,2,FALSE)),"")</f>
        <v/>
      </c>
      <c r="ALD2" s="2" t="str">
        <f>IFERROR(IF(VLOOKUP(ALD$3,Touchpoints!$A:$B,2,FALSE)=0,"",VLOOKUP(ALD$3,Touchpoints!$A:$B,2,FALSE)),"")</f>
        <v/>
      </c>
      <c r="ALE2" s="2" t="str">
        <f>IFERROR(IF(VLOOKUP(ALE$3,Touchpoints!$A:$B,2,FALSE)=0,"",VLOOKUP(ALE$3,Touchpoints!$A:$B,2,FALSE)),"")</f>
        <v/>
      </c>
      <c r="ALF2" s="2" t="str">
        <f>IFERROR(IF(VLOOKUP(ALF$3,Touchpoints!$A:$B,2,FALSE)=0,"",VLOOKUP(ALF$3,Touchpoints!$A:$B,2,FALSE)),"")</f>
        <v/>
      </c>
      <c r="ALG2" s="2" t="str">
        <f>IFERROR(IF(VLOOKUP(ALG$3,Touchpoints!$A:$B,2,FALSE)=0,"",VLOOKUP(ALG$3,Touchpoints!$A:$B,2,FALSE)),"")</f>
        <v/>
      </c>
      <c r="ALH2" s="2" t="str">
        <f>IFERROR(IF(VLOOKUP(ALH$3,Touchpoints!$A:$B,2,FALSE)=0,"",VLOOKUP(ALH$3,Touchpoints!$A:$B,2,FALSE)),"")</f>
        <v/>
      </c>
      <c r="ALI2" s="2" t="str">
        <f>IFERROR(IF(VLOOKUP(ALI$3,Touchpoints!$A:$B,2,FALSE)=0,"",VLOOKUP(ALI$3,Touchpoints!$A:$B,2,FALSE)),"")</f>
        <v/>
      </c>
      <c r="ALJ2" s="2" t="str">
        <f>IFERROR(IF(VLOOKUP(ALJ$3,Touchpoints!$A:$B,2,FALSE)=0,"",VLOOKUP(ALJ$3,Touchpoints!$A:$B,2,FALSE)),"")</f>
        <v/>
      </c>
      <c r="ALK2" s="2" t="str">
        <f>IFERROR(IF(VLOOKUP(ALK$3,Touchpoints!$A:$B,2,FALSE)=0,"",VLOOKUP(ALK$3,Touchpoints!$A:$B,2,FALSE)),"")</f>
        <v/>
      </c>
      <c r="ALL2" s="2" t="str">
        <f>IFERROR(IF(VLOOKUP(ALL$3,Touchpoints!$A:$B,2,FALSE)=0,"",VLOOKUP(ALL$3,Touchpoints!$A:$B,2,FALSE)),"")</f>
        <v/>
      </c>
      <c r="ALM2" s="2" t="str">
        <f>IFERROR(IF(VLOOKUP(ALM$3,Touchpoints!$A:$B,2,FALSE)=0,"",VLOOKUP(ALM$3,Touchpoints!$A:$B,2,FALSE)),"")</f>
        <v/>
      </c>
      <c r="ALN2" s="2" t="str">
        <f>IFERROR(IF(VLOOKUP(ALN$3,Touchpoints!$A:$B,2,FALSE)=0,"",VLOOKUP(ALN$3,Touchpoints!$A:$B,2,FALSE)),"")</f>
        <v/>
      </c>
    </row>
    <row r="3" spans="1:1002" customFormat="1" hidden="1" x14ac:dyDescent="0.2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  <c r="BD3">
        <v>54</v>
      </c>
      <c r="BE3">
        <v>55</v>
      </c>
      <c r="BF3">
        <v>56</v>
      </c>
      <c r="BG3">
        <v>57</v>
      </c>
      <c r="BH3">
        <v>58</v>
      </c>
      <c r="BI3">
        <v>59</v>
      </c>
      <c r="BJ3">
        <v>60</v>
      </c>
      <c r="BK3">
        <v>61</v>
      </c>
      <c r="BL3">
        <v>62</v>
      </c>
      <c r="BM3">
        <v>63</v>
      </c>
      <c r="BN3">
        <v>64</v>
      </c>
      <c r="BO3">
        <v>65</v>
      </c>
      <c r="BP3">
        <v>66</v>
      </c>
      <c r="BQ3">
        <v>67</v>
      </c>
      <c r="BR3">
        <v>68</v>
      </c>
      <c r="BS3">
        <v>69</v>
      </c>
      <c r="BT3">
        <v>70</v>
      </c>
      <c r="BU3">
        <v>71</v>
      </c>
      <c r="BV3">
        <v>72</v>
      </c>
      <c r="BW3">
        <v>73</v>
      </c>
      <c r="BX3">
        <v>74</v>
      </c>
      <c r="BY3">
        <v>75</v>
      </c>
      <c r="BZ3">
        <v>76</v>
      </c>
      <c r="CA3">
        <v>77</v>
      </c>
      <c r="CB3">
        <v>78</v>
      </c>
      <c r="CC3">
        <v>79</v>
      </c>
      <c r="CD3">
        <v>80</v>
      </c>
      <c r="CE3">
        <v>81</v>
      </c>
      <c r="CF3">
        <v>82</v>
      </c>
      <c r="CG3">
        <v>83</v>
      </c>
      <c r="CH3">
        <v>84</v>
      </c>
      <c r="CI3">
        <v>85</v>
      </c>
      <c r="CJ3">
        <v>86</v>
      </c>
      <c r="CK3">
        <v>87</v>
      </c>
      <c r="CL3">
        <v>88</v>
      </c>
      <c r="CM3">
        <v>89</v>
      </c>
      <c r="CN3">
        <v>90</v>
      </c>
      <c r="CO3">
        <v>91</v>
      </c>
      <c r="CP3">
        <v>92</v>
      </c>
      <c r="CQ3">
        <v>93</v>
      </c>
      <c r="CR3">
        <v>94</v>
      </c>
      <c r="CS3">
        <v>95</v>
      </c>
      <c r="CT3">
        <v>96</v>
      </c>
      <c r="CU3">
        <v>97</v>
      </c>
      <c r="CV3">
        <v>98</v>
      </c>
      <c r="CW3">
        <v>99</v>
      </c>
      <c r="CX3">
        <v>100</v>
      </c>
      <c r="CY3">
        <v>101</v>
      </c>
      <c r="CZ3">
        <v>102</v>
      </c>
      <c r="DA3">
        <v>103</v>
      </c>
      <c r="DB3">
        <v>104</v>
      </c>
      <c r="DC3">
        <v>105</v>
      </c>
      <c r="DD3">
        <v>106</v>
      </c>
      <c r="DE3">
        <v>107</v>
      </c>
      <c r="DF3">
        <v>108</v>
      </c>
      <c r="DG3">
        <v>109</v>
      </c>
      <c r="DH3">
        <v>110</v>
      </c>
      <c r="DI3">
        <v>111</v>
      </c>
      <c r="DJ3">
        <v>112</v>
      </c>
      <c r="DK3">
        <v>113</v>
      </c>
      <c r="DL3">
        <v>114</v>
      </c>
      <c r="DM3">
        <v>115</v>
      </c>
      <c r="DN3">
        <v>116</v>
      </c>
      <c r="DO3">
        <v>117</v>
      </c>
      <c r="DP3">
        <v>118</v>
      </c>
      <c r="DQ3">
        <v>119</v>
      </c>
      <c r="DR3">
        <v>120</v>
      </c>
      <c r="DS3">
        <v>121</v>
      </c>
      <c r="DT3">
        <v>122</v>
      </c>
      <c r="DU3">
        <v>123</v>
      </c>
      <c r="DV3">
        <v>124</v>
      </c>
      <c r="DW3">
        <v>125</v>
      </c>
      <c r="DX3">
        <v>126</v>
      </c>
      <c r="DY3">
        <v>127</v>
      </c>
      <c r="DZ3">
        <v>128</v>
      </c>
      <c r="EA3">
        <v>129</v>
      </c>
      <c r="EB3">
        <v>130</v>
      </c>
      <c r="EC3">
        <v>131</v>
      </c>
      <c r="ED3">
        <v>132</v>
      </c>
      <c r="EE3">
        <v>133</v>
      </c>
      <c r="EF3">
        <v>134</v>
      </c>
      <c r="EG3">
        <v>135</v>
      </c>
      <c r="EH3">
        <v>136</v>
      </c>
      <c r="EI3">
        <v>137</v>
      </c>
      <c r="EJ3">
        <v>138</v>
      </c>
      <c r="EK3">
        <v>139</v>
      </c>
      <c r="EL3">
        <v>140</v>
      </c>
      <c r="EM3">
        <v>141</v>
      </c>
      <c r="EN3">
        <v>142</v>
      </c>
      <c r="EO3">
        <v>143</v>
      </c>
      <c r="EP3">
        <v>144</v>
      </c>
      <c r="EQ3">
        <v>145</v>
      </c>
      <c r="ER3">
        <v>146</v>
      </c>
      <c r="ES3">
        <v>147</v>
      </c>
      <c r="ET3">
        <v>148</v>
      </c>
      <c r="EU3">
        <v>149</v>
      </c>
      <c r="EV3">
        <v>150</v>
      </c>
      <c r="EW3">
        <v>151</v>
      </c>
      <c r="EX3">
        <v>152</v>
      </c>
      <c r="EY3">
        <v>153</v>
      </c>
      <c r="EZ3">
        <v>154</v>
      </c>
      <c r="FA3">
        <v>155</v>
      </c>
      <c r="FB3">
        <v>156</v>
      </c>
      <c r="FC3">
        <v>157</v>
      </c>
      <c r="FD3">
        <v>158</v>
      </c>
      <c r="FE3">
        <v>159</v>
      </c>
      <c r="FF3">
        <v>160</v>
      </c>
      <c r="FG3">
        <v>161</v>
      </c>
      <c r="FH3">
        <v>162</v>
      </c>
      <c r="FI3">
        <v>163</v>
      </c>
      <c r="FJ3">
        <v>164</v>
      </c>
      <c r="FK3">
        <v>165</v>
      </c>
      <c r="FL3">
        <v>166</v>
      </c>
      <c r="FM3">
        <v>167</v>
      </c>
      <c r="FN3">
        <v>168</v>
      </c>
      <c r="FO3">
        <v>169</v>
      </c>
      <c r="FP3">
        <v>170</v>
      </c>
      <c r="FQ3">
        <v>171</v>
      </c>
      <c r="FR3">
        <v>172</v>
      </c>
      <c r="FS3">
        <v>173</v>
      </c>
      <c r="FT3">
        <v>174</v>
      </c>
      <c r="FU3">
        <v>175</v>
      </c>
      <c r="FV3">
        <v>176</v>
      </c>
      <c r="FW3">
        <v>177</v>
      </c>
      <c r="FX3">
        <v>178</v>
      </c>
      <c r="FY3">
        <v>179</v>
      </c>
      <c r="FZ3">
        <v>180</v>
      </c>
      <c r="GA3">
        <v>181</v>
      </c>
      <c r="GB3">
        <v>182</v>
      </c>
      <c r="GC3">
        <v>183</v>
      </c>
      <c r="GD3">
        <v>184</v>
      </c>
      <c r="GE3">
        <v>185</v>
      </c>
      <c r="GF3">
        <v>186</v>
      </c>
      <c r="GG3">
        <v>187</v>
      </c>
      <c r="GH3">
        <v>188</v>
      </c>
      <c r="GI3">
        <v>189</v>
      </c>
      <c r="GJ3">
        <v>190</v>
      </c>
      <c r="GK3">
        <v>191</v>
      </c>
      <c r="GL3">
        <v>192</v>
      </c>
      <c r="GM3">
        <v>193</v>
      </c>
      <c r="GN3">
        <v>194</v>
      </c>
      <c r="GO3">
        <v>195</v>
      </c>
      <c r="GP3">
        <v>196</v>
      </c>
      <c r="GQ3">
        <v>197</v>
      </c>
      <c r="GR3">
        <v>198</v>
      </c>
      <c r="GS3">
        <v>199</v>
      </c>
      <c r="GT3">
        <v>200</v>
      </c>
      <c r="GU3">
        <v>201</v>
      </c>
      <c r="GV3">
        <v>202</v>
      </c>
      <c r="GW3">
        <v>203</v>
      </c>
      <c r="GX3">
        <v>204</v>
      </c>
      <c r="GY3">
        <v>205</v>
      </c>
      <c r="GZ3">
        <v>206</v>
      </c>
      <c r="HA3">
        <v>207</v>
      </c>
      <c r="HB3">
        <v>208</v>
      </c>
      <c r="HC3">
        <v>209</v>
      </c>
      <c r="HD3">
        <v>210</v>
      </c>
      <c r="HE3">
        <v>211</v>
      </c>
      <c r="HF3">
        <v>212</v>
      </c>
      <c r="HG3">
        <v>213</v>
      </c>
      <c r="HH3">
        <v>214</v>
      </c>
      <c r="HI3">
        <v>215</v>
      </c>
      <c r="HJ3">
        <v>216</v>
      </c>
      <c r="HK3">
        <v>217</v>
      </c>
      <c r="HL3">
        <v>218</v>
      </c>
      <c r="HM3">
        <v>219</v>
      </c>
      <c r="HN3">
        <v>220</v>
      </c>
      <c r="HO3">
        <v>221</v>
      </c>
      <c r="HP3">
        <v>222</v>
      </c>
      <c r="HQ3">
        <v>223</v>
      </c>
      <c r="HR3">
        <v>224</v>
      </c>
      <c r="HS3">
        <v>225</v>
      </c>
      <c r="HT3">
        <v>226</v>
      </c>
      <c r="HU3">
        <v>227</v>
      </c>
      <c r="HV3">
        <v>228</v>
      </c>
      <c r="HW3">
        <v>229</v>
      </c>
      <c r="HX3">
        <v>230</v>
      </c>
      <c r="HY3">
        <v>231</v>
      </c>
      <c r="HZ3">
        <v>232</v>
      </c>
      <c r="IA3">
        <v>233</v>
      </c>
      <c r="IB3">
        <v>234</v>
      </c>
      <c r="IC3">
        <v>235</v>
      </c>
      <c r="ID3">
        <v>236</v>
      </c>
      <c r="IE3">
        <v>237</v>
      </c>
      <c r="IF3">
        <v>238</v>
      </c>
      <c r="IG3">
        <v>239</v>
      </c>
      <c r="IH3">
        <v>240</v>
      </c>
      <c r="II3">
        <v>241</v>
      </c>
      <c r="IJ3">
        <v>242</v>
      </c>
      <c r="IK3">
        <v>243</v>
      </c>
      <c r="IL3">
        <v>244</v>
      </c>
      <c r="IM3">
        <v>245</v>
      </c>
      <c r="IN3">
        <v>246</v>
      </c>
      <c r="IO3">
        <v>247</v>
      </c>
      <c r="IP3">
        <v>248</v>
      </c>
      <c r="IQ3">
        <v>249</v>
      </c>
      <c r="IR3">
        <v>250</v>
      </c>
      <c r="IS3">
        <v>251</v>
      </c>
      <c r="IT3">
        <v>252</v>
      </c>
      <c r="IU3">
        <v>253</v>
      </c>
      <c r="IV3">
        <v>254</v>
      </c>
      <c r="IW3">
        <v>255</v>
      </c>
      <c r="IX3">
        <v>256</v>
      </c>
      <c r="IY3">
        <v>257</v>
      </c>
      <c r="IZ3">
        <v>258</v>
      </c>
      <c r="JA3">
        <v>259</v>
      </c>
      <c r="JB3">
        <v>260</v>
      </c>
      <c r="JC3">
        <v>261</v>
      </c>
      <c r="JD3">
        <v>262</v>
      </c>
      <c r="JE3">
        <v>263</v>
      </c>
      <c r="JF3">
        <v>264</v>
      </c>
      <c r="JG3">
        <v>265</v>
      </c>
      <c r="JH3">
        <v>266</v>
      </c>
      <c r="JI3">
        <v>267</v>
      </c>
      <c r="JJ3">
        <v>268</v>
      </c>
      <c r="JK3">
        <v>269</v>
      </c>
      <c r="JL3">
        <v>270</v>
      </c>
      <c r="JM3">
        <v>271</v>
      </c>
      <c r="JN3">
        <v>272</v>
      </c>
      <c r="JO3">
        <v>273</v>
      </c>
      <c r="JP3">
        <v>274</v>
      </c>
      <c r="JQ3">
        <v>275</v>
      </c>
      <c r="JR3">
        <v>276</v>
      </c>
      <c r="JS3">
        <v>277</v>
      </c>
      <c r="JT3">
        <v>278</v>
      </c>
      <c r="JU3">
        <v>279</v>
      </c>
      <c r="JV3">
        <v>280</v>
      </c>
      <c r="JW3">
        <v>281</v>
      </c>
      <c r="JX3">
        <v>282</v>
      </c>
      <c r="JY3">
        <v>283</v>
      </c>
      <c r="JZ3">
        <v>284</v>
      </c>
      <c r="KA3">
        <v>285</v>
      </c>
      <c r="KB3">
        <v>286</v>
      </c>
      <c r="KC3">
        <v>287</v>
      </c>
      <c r="KD3">
        <v>288</v>
      </c>
      <c r="KE3">
        <v>289</v>
      </c>
      <c r="KF3">
        <v>290</v>
      </c>
      <c r="KG3">
        <v>291</v>
      </c>
      <c r="KH3">
        <v>292</v>
      </c>
      <c r="KI3">
        <v>293</v>
      </c>
      <c r="KJ3">
        <v>294</v>
      </c>
      <c r="KK3">
        <v>295</v>
      </c>
      <c r="KL3">
        <v>296</v>
      </c>
      <c r="KM3">
        <v>297</v>
      </c>
      <c r="KN3">
        <v>298</v>
      </c>
      <c r="KO3">
        <v>299</v>
      </c>
      <c r="KP3">
        <v>300</v>
      </c>
      <c r="KQ3">
        <v>301</v>
      </c>
      <c r="KR3">
        <v>302</v>
      </c>
      <c r="KS3">
        <v>303</v>
      </c>
      <c r="KT3">
        <v>304</v>
      </c>
      <c r="KU3">
        <v>305</v>
      </c>
      <c r="KV3">
        <v>306</v>
      </c>
      <c r="KW3">
        <v>307</v>
      </c>
      <c r="KX3">
        <v>308</v>
      </c>
      <c r="KY3">
        <v>309</v>
      </c>
      <c r="KZ3">
        <v>310</v>
      </c>
      <c r="LA3">
        <v>311</v>
      </c>
      <c r="LB3">
        <v>312</v>
      </c>
      <c r="LC3">
        <v>313</v>
      </c>
      <c r="LD3">
        <v>314</v>
      </c>
      <c r="LE3">
        <v>315</v>
      </c>
      <c r="LF3">
        <v>316</v>
      </c>
      <c r="LG3">
        <v>317</v>
      </c>
      <c r="LH3">
        <v>318</v>
      </c>
      <c r="LI3">
        <v>319</v>
      </c>
      <c r="LJ3">
        <v>320</v>
      </c>
      <c r="LK3">
        <v>321</v>
      </c>
      <c r="LL3">
        <v>322</v>
      </c>
      <c r="LM3">
        <v>323</v>
      </c>
      <c r="LN3">
        <v>324</v>
      </c>
      <c r="LO3">
        <v>325</v>
      </c>
      <c r="LP3">
        <v>326</v>
      </c>
      <c r="LQ3">
        <v>327</v>
      </c>
      <c r="LR3">
        <v>328</v>
      </c>
      <c r="LS3">
        <v>329</v>
      </c>
      <c r="LT3">
        <v>330</v>
      </c>
      <c r="LU3">
        <v>331</v>
      </c>
      <c r="LV3">
        <v>332</v>
      </c>
      <c r="LW3">
        <v>333</v>
      </c>
      <c r="LX3">
        <v>334</v>
      </c>
      <c r="LY3">
        <v>335</v>
      </c>
      <c r="LZ3">
        <v>336</v>
      </c>
      <c r="MA3">
        <v>337</v>
      </c>
      <c r="MB3">
        <v>338</v>
      </c>
      <c r="MC3">
        <v>339</v>
      </c>
      <c r="MD3">
        <v>340</v>
      </c>
      <c r="ME3">
        <v>341</v>
      </c>
      <c r="MF3">
        <v>342</v>
      </c>
      <c r="MG3">
        <v>343</v>
      </c>
      <c r="MH3">
        <v>344</v>
      </c>
      <c r="MI3">
        <v>345</v>
      </c>
      <c r="MJ3">
        <v>346</v>
      </c>
      <c r="MK3">
        <v>347</v>
      </c>
      <c r="ML3">
        <v>348</v>
      </c>
      <c r="MM3">
        <v>349</v>
      </c>
      <c r="MN3">
        <v>350</v>
      </c>
      <c r="MO3">
        <v>351</v>
      </c>
      <c r="MP3">
        <v>352</v>
      </c>
      <c r="MQ3">
        <v>353</v>
      </c>
      <c r="MR3">
        <v>354</v>
      </c>
      <c r="MS3">
        <v>355</v>
      </c>
      <c r="MT3">
        <v>356</v>
      </c>
      <c r="MU3">
        <v>357</v>
      </c>
      <c r="MV3">
        <v>358</v>
      </c>
      <c r="MW3">
        <v>359</v>
      </c>
      <c r="MX3">
        <v>360</v>
      </c>
      <c r="MY3">
        <v>361</v>
      </c>
      <c r="MZ3">
        <v>362</v>
      </c>
      <c r="NA3">
        <v>363</v>
      </c>
      <c r="NB3">
        <v>364</v>
      </c>
      <c r="NC3">
        <v>365</v>
      </c>
      <c r="ND3">
        <v>366</v>
      </c>
      <c r="NE3">
        <v>367</v>
      </c>
      <c r="NF3">
        <v>368</v>
      </c>
      <c r="NG3">
        <v>369</v>
      </c>
      <c r="NH3">
        <v>370</v>
      </c>
      <c r="NI3">
        <v>371</v>
      </c>
      <c r="NJ3">
        <v>372</v>
      </c>
      <c r="NK3">
        <v>373</v>
      </c>
      <c r="NL3">
        <v>374</v>
      </c>
      <c r="NM3">
        <v>375</v>
      </c>
      <c r="NN3">
        <v>376</v>
      </c>
      <c r="NO3">
        <v>377</v>
      </c>
      <c r="NP3">
        <v>378</v>
      </c>
      <c r="NQ3">
        <v>379</v>
      </c>
      <c r="NR3">
        <v>380</v>
      </c>
      <c r="NS3">
        <v>381</v>
      </c>
      <c r="NT3">
        <v>382</v>
      </c>
      <c r="NU3">
        <v>383</v>
      </c>
      <c r="NV3">
        <v>384</v>
      </c>
      <c r="NW3">
        <v>385</v>
      </c>
      <c r="NX3">
        <v>386</v>
      </c>
      <c r="NY3">
        <v>387</v>
      </c>
      <c r="NZ3">
        <v>388</v>
      </c>
      <c r="OA3">
        <v>389</v>
      </c>
      <c r="OB3">
        <v>390</v>
      </c>
      <c r="OC3">
        <v>391</v>
      </c>
      <c r="OD3">
        <v>392</v>
      </c>
      <c r="OE3">
        <v>393</v>
      </c>
      <c r="OF3">
        <v>394</v>
      </c>
      <c r="OG3">
        <v>395</v>
      </c>
      <c r="OH3">
        <v>396</v>
      </c>
      <c r="OI3">
        <v>397</v>
      </c>
      <c r="OJ3">
        <v>398</v>
      </c>
      <c r="OK3">
        <v>399</v>
      </c>
      <c r="OL3">
        <v>400</v>
      </c>
      <c r="OM3">
        <v>401</v>
      </c>
      <c r="ON3">
        <v>402</v>
      </c>
      <c r="OO3">
        <v>403</v>
      </c>
      <c r="OP3">
        <v>404</v>
      </c>
      <c r="OQ3">
        <v>405</v>
      </c>
      <c r="OR3">
        <v>406</v>
      </c>
      <c r="OS3">
        <v>407</v>
      </c>
      <c r="OT3">
        <v>408</v>
      </c>
      <c r="OU3">
        <v>409</v>
      </c>
      <c r="OV3">
        <v>410</v>
      </c>
      <c r="OW3">
        <v>411</v>
      </c>
      <c r="OX3">
        <v>412</v>
      </c>
      <c r="OY3">
        <v>413</v>
      </c>
      <c r="OZ3">
        <v>414</v>
      </c>
      <c r="PA3">
        <v>415</v>
      </c>
      <c r="PB3">
        <v>416</v>
      </c>
      <c r="PC3">
        <v>417</v>
      </c>
      <c r="PD3">
        <v>418</v>
      </c>
      <c r="PE3">
        <v>419</v>
      </c>
      <c r="PF3">
        <v>420</v>
      </c>
      <c r="PG3">
        <v>421</v>
      </c>
      <c r="PH3">
        <v>422</v>
      </c>
      <c r="PI3">
        <v>423</v>
      </c>
      <c r="PJ3">
        <v>424</v>
      </c>
      <c r="PK3">
        <v>425</v>
      </c>
      <c r="PL3">
        <v>426</v>
      </c>
      <c r="PM3">
        <v>427</v>
      </c>
      <c r="PN3">
        <v>428</v>
      </c>
      <c r="PO3">
        <v>429</v>
      </c>
      <c r="PP3">
        <v>430</v>
      </c>
      <c r="PQ3">
        <v>431</v>
      </c>
      <c r="PR3">
        <v>432</v>
      </c>
      <c r="PS3">
        <v>433</v>
      </c>
      <c r="PT3">
        <v>434</v>
      </c>
      <c r="PU3">
        <v>435</v>
      </c>
      <c r="PV3">
        <v>436</v>
      </c>
      <c r="PW3">
        <v>437</v>
      </c>
      <c r="PX3">
        <v>438</v>
      </c>
      <c r="PY3">
        <v>439</v>
      </c>
      <c r="PZ3">
        <v>440</v>
      </c>
      <c r="QA3">
        <v>441</v>
      </c>
      <c r="QB3">
        <v>442</v>
      </c>
      <c r="QC3">
        <v>443</v>
      </c>
      <c r="QD3">
        <v>444</v>
      </c>
      <c r="QE3">
        <v>445</v>
      </c>
      <c r="QF3">
        <v>446</v>
      </c>
      <c r="QG3">
        <v>447</v>
      </c>
      <c r="QH3">
        <v>448</v>
      </c>
      <c r="QI3">
        <v>449</v>
      </c>
      <c r="QJ3">
        <v>450</v>
      </c>
      <c r="QK3">
        <v>451</v>
      </c>
      <c r="QL3">
        <v>452</v>
      </c>
      <c r="QM3">
        <v>453</v>
      </c>
      <c r="QN3">
        <v>454</v>
      </c>
      <c r="QO3">
        <v>455</v>
      </c>
      <c r="QP3">
        <v>456</v>
      </c>
      <c r="QQ3">
        <v>457</v>
      </c>
      <c r="QR3">
        <v>458</v>
      </c>
      <c r="QS3">
        <v>459</v>
      </c>
      <c r="QT3">
        <v>460</v>
      </c>
      <c r="QU3">
        <v>461</v>
      </c>
      <c r="QV3">
        <v>462</v>
      </c>
      <c r="QW3">
        <v>463</v>
      </c>
      <c r="QX3">
        <v>464</v>
      </c>
      <c r="QY3">
        <v>465</v>
      </c>
      <c r="QZ3">
        <v>466</v>
      </c>
      <c r="RA3">
        <v>467</v>
      </c>
      <c r="RB3">
        <v>468</v>
      </c>
      <c r="RC3">
        <v>469</v>
      </c>
      <c r="RD3">
        <v>470</v>
      </c>
      <c r="RE3">
        <v>471</v>
      </c>
      <c r="RF3">
        <v>472</v>
      </c>
      <c r="RG3">
        <v>473</v>
      </c>
      <c r="RH3">
        <v>474</v>
      </c>
      <c r="RI3">
        <v>475</v>
      </c>
      <c r="RJ3">
        <v>476</v>
      </c>
      <c r="RK3">
        <v>477</v>
      </c>
      <c r="RL3">
        <v>478</v>
      </c>
      <c r="RM3">
        <v>479</v>
      </c>
      <c r="RN3">
        <v>480</v>
      </c>
      <c r="RO3">
        <v>481</v>
      </c>
      <c r="RP3">
        <v>482</v>
      </c>
      <c r="RQ3">
        <v>483</v>
      </c>
      <c r="RR3">
        <v>484</v>
      </c>
      <c r="RS3">
        <v>485</v>
      </c>
      <c r="RT3">
        <v>486</v>
      </c>
      <c r="RU3">
        <v>487</v>
      </c>
      <c r="RV3">
        <v>488</v>
      </c>
      <c r="RW3">
        <v>489</v>
      </c>
      <c r="RX3">
        <v>490</v>
      </c>
      <c r="RY3">
        <v>491</v>
      </c>
      <c r="RZ3">
        <v>492</v>
      </c>
      <c r="SA3">
        <v>493</v>
      </c>
      <c r="SB3">
        <v>494</v>
      </c>
      <c r="SC3">
        <v>495</v>
      </c>
      <c r="SD3">
        <v>496</v>
      </c>
      <c r="SE3">
        <v>497</v>
      </c>
      <c r="SF3">
        <v>498</v>
      </c>
      <c r="SG3">
        <v>499</v>
      </c>
      <c r="SH3">
        <v>500</v>
      </c>
      <c r="SI3">
        <v>501</v>
      </c>
      <c r="SJ3">
        <v>502</v>
      </c>
      <c r="SK3">
        <v>503</v>
      </c>
      <c r="SL3">
        <v>504</v>
      </c>
      <c r="SM3">
        <v>505</v>
      </c>
      <c r="SN3">
        <v>506</v>
      </c>
      <c r="SO3">
        <v>507</v>
      </c>
      <c r="SP3">
        <v>508</v>
      </c>
      <c r="SQ3">
        <v>509</v>
      </c>
      <c r="SR3">
        <v>510</v>
      </c>
      <c r="SS3">
        <v>511</v>
      </c>
      <c r="ST3">
        <v>512</v>
      </c>
      <c r="SU3">
        <v>513</v>
      </c>
      <c r="SV3">
        <v>514</v>
      </c>
      <c r="SW3">
        <v>515</v>
      </c>
      <c r="SX3">
        <v>516</v>
      </c>
      <c r="SY3">
        <v>517</v>
      </c>
      <c r="SZ3">
        <v>518</v>
      </c>
      <c r="TA3">
        <v>519</v>
      </c>
      <c r="TB3">
        <v>520</v>
      </c>
      <c r="TC3">
        <v>521</v>
      </c>
      <c r="TD3">
        <v>522</v>
      </c>
      <c r="TE3">
        <v>523</v>
      </c>
      <c r="TF3">
        <v>524</v>
      </c>
      <c r="TG3">
        <v>525</v>
      </c>
      <c r="TH3">
        <v>526</v>
      </c>
      <c r="TI3">
        <v>527</v>
      </c>
      <c r="TJ3">
        <v>528</v>
      </c>
      <c r="TK3">
        <v>529</v>
      </c>
      <c r="TL3">
        <v>530</v>
      </c>
      <c r="TM3">
        <v>531</v>
      </c>
      <c r="TN3">
        <v>532</v>
      </c>
      <c r="TO3">
        <v>533</v>
      </c>
      <c r="TP3">
        <v>534</v>
      </c>
      <c r="TQ3">
        <v>535</v>
      </c>
      <c r="TR3">
        <v>536</v>
      </c>
      <c r="TS3">
        <v>537</v>
      </c>
      <c r="TT3">
        <v>538</v>
      </c>
      <c r="TU3">
        <v>539</v>
      </c>
      <c r="TV3">
        <v>540</v>
      </c>
      <c r="TW3">
        <v>541</v>
      </c>
      <c r="TX3">
        <v>542</v>
      </c>
      <c r="TY3">
        <v>543</v>
      </c>
      <c r="TZ3">
        <v>544</v>
      </c>
      <c r="UA3">
        <v>545</v>
      </c>
      <c r="UB3">
        <v>546</v>
      </c>
      <c r="UC3">
        <v>547</v>
      </c>
      <c r="UD3">
        <v>548</v>
      </c>
      <c r="UE3">
        <v>549</v>
      </c>
      <c r="UF3">
        <v>550</v>
      </c>
      <c r="UG3">
        <v>551</v>
      </c>
      <c r="UH3">
        <v>552</v>
      </c>
      <c r="UI3">
        <v>553</v>
      </c>
      <c r="UJ3">
        <v>554</v>
      </c>
      <c r="UK3">
        <v>555</v>
      </c>
      <c r="UL3">
        <v>556</v>
      </c>
      <c r="UM3">
        <v>557</v>
      </c>
      <c r="UN3">
        <v>558</v>
      </c>
      <c r="UO3">
        <v>559</v>
      </c>
      <c r="UP3">
        <v>560</v>
      </c>
      <c r="UQ3">
        <v>561</v>
      </c>
      <c r="UR3">
        <v>562</v>
      </c>
      <c r="US3">
        <v>563</v>
      </c>
      <c r="UT3">
        <v>564</v>
      </c>
      <c r="UU3">
        <v>565</v>
      </c>
      <c r="UV3">
        <v>566</v>
      </c>
      <c r="UW3">
        <v>567</v>
      </c>
      <c r="UX3">
        <v>568</v>
      </c>
      <c r="UY3">
        <v>569</v>
      </c>
      <c r="UZ3">
        <v>570</v>
      </c>
      <c r="VA3">
        <v>571</v>
      </c>
      <c r="VB3">
        <v>572</v>
      </c>
      <c r="VC3">
        <v>573</v>
      </c>
      <c r="VD3">
        <v>574</v>
      </c>
      <c r="VE3">
        <v>575</v>
      </c>
      <c r="VF3">
        <v>576</v>
      </c>
      <c r="VG3">
        <v>577</v>
      </c>
      <c r="VH3">
        <v>578</v>
      </c>
      <c r="VI3">
        <v>579</v>
      </c>
      <c r="VJ3">
        <v>580</v>
      </c>
      <c r="VK3">
        <v>581</v>
      </c>
      <c r="VL3">
        <v>582</v>
      </c>
      <c r="VM3">
        <v>583</v>
      </c>
      <c r="VN3">
        <v>584</v>
      </c>
      <c r="VO3">
        <v>585</v>
      </c>
      <c r="VP3">
        <v>586</v>
      </c>
      <c r="VQ3">
        <v>587</v>
      </c>
      <c r="VR3">
        <v>588</v>
      </c>
      <c r="VS3">
        <v>589</v>
      </c>
      <c r="VT3">
        <v>590</v>
      </c>
      <c r="VU3">
        <v>591</v>
      </c>
      <c r="VV3">
        <v>592</v>
      </c>
      <c r="VW3">
        <v>593</v>
      </c>
      <c r="VX3">
        <v>594</v>
      </c>
      <c r="VY3">
        <v>595</v>
      </c>
      <c r="VZ3">
        <v>596</v>
      </c>
      <c r="WA3">
        <v>597</v>
      </c>
      <c r="WB3">
        <v>598</v>
      </c>
      <c r="WC3">
        <v>599</v>
      </c>
      <c r="WD3">
        <v>600</v>
      </c>
      <c r="WE3">
        <v>601</v>
      </c>
      <c r="WF3">
        <v>602</v>
      </c>
      <c r="WG3">
        <v>603</v>
      </c>
      <c r="WH3">
        <v>604</v>
      </c>
      <c r="WI3">
        <v>605</v>
      </c>
      <c r="WJ3">
        <v>606</v>
      </c>
      <c r="WK3">
        <v>607</v>
      </c>
      <c r="WL3">
        <v>608</v>
      </c>
      <c r="WM3">
        <v>609</v>
      </c>
      <c r="WN3">
        <v>610</v>
      </c>
      <c r="WO3">
        <v>611</v>
      </c>
      <c r="WP3">
        <v>612</v>
      </c>
      <c r="WQ3">
        <v>613</v>
      </c>
      <c r="WR3">
        <v>614</v>
      </c>
      <c r="WS3">
        <v>615</v>
      </c>
      <c r="WT3">
        <v>616</v>
      </c>
      <c r="WU3">
        <v>617</v>
      </c>
      <c r="WV3">
        <v>618</v>
      </c>
      <c r="WW3">
        <v>619</v>
      </c>
      <c r="WX3">
        <v>620</v>
      </c>
      <c r="WY3">
        <v>621</v>
      </c>
      <c r="WZ3">
        <v>622</v>
      </c>
      <c r="XA3">
        <v>623</v>
      </c>
      <c r="XB3">
        <v>624</v>
      </c>
      <c r="XC3">
        <v>625</v>
      </c>
      <c r="XD3">
        <v>626</v>
      </c>
      <c r="XE3">
        <v>627</v>
      </c>
      <c r="XF3">
        <v>628</v>
      </c>
      <c r="XG3">
        <v>629</v>
      </c>
      <c r="XH3">
        <v>630</v>
      </c>
      <c r="XI3">
        <v>631</v>
      </c>
      <c r="XJ3">
        <v>632</v>
      </c>
      <c r="XK3">
        <v>633</v>
      </c>
      <c r="XL3">
        <v>634</v>
      </c>
      <c r="XM3">
        <v>635</v>
      </c>
      <c r="XN3">
        <v>636</v>
      </c>
      <c r="XO3">
        <v>637</v>
      </c>
      <c r="XP3">
        <v>638</v>
      </c>
      <c r="XQ3">
        <v>639</v>
      </c>
      <c r="XR3">
        <v>640</v>
      </c>
      <c r="XS3">
        <v>641</v>
      </c>
      <c r="XT3">
        <v>642</v>
      </c>
      <c r="XU3">
        <v>643</v>
      </c>
      <c r="XV3">
        <v>644</v>
      </c>
      <c r="XW3">
        <v>645</v>
      </c>
      <c r="XX3">
        <v>646</v>
      </c>
      <c r="XY3">
        <v>647</v>
      </c>
      <c r="XZ3">
        <v>648</v>
      </c>
      <c r="YA3">
        <v>649</v>
      </c>
      <c r="YB3">
        <v>650</v>
      </c>
      <c r="YC3">
        <v>651</v>
      </c>
      <c r="YD3">
        <v>652</v>
      </c>
      <c r="YE3">
        <v>653</v>
      </c>
      <c r="YF3">
        <v>654</v>
      </c>
      <c r="YG3">
        <v>655</v>
      </c>
      <c r="YH3">
        <v>656</v>
      </c>
      <c r="YI3">
        <v>657</v>
      </c>
      <c r="YJ3">
        <v>658</v>
      </c>
      <c r="YK3">
        <v>659</v>
      </c>
      <c r="YL3">
        <v>660</v>
      </c>
      <c r="YM3">
        <v>661</v>
      </c>
      <c r="YN3">
        <v>662</v>
      </c>
      <c r="YO3">
        <v>663</v>
      </c>
      <c r="YP3">
        <v>664</v>
      </c>
      <c r="YQ3">
        <v>665</v>
      </c>
      <c r="YR3">
        <v>666</v>
      </c>
      <c r="YS3">
        <v>667</v>
      </c>
      <c r="YT3">
        <v>668</v>
      </c>
      <c r="YU3">
        <v>669</v>
      </c>
      <c r="YV3">
        <v>670</v>
      </c>
      <c r="YW3">
        <v>671</v>
      </c>
      <c r="YX3">
        <v>672</v>
      </c>
      <c r="YY3">
        <v>673</v>
      </c>
      <c r="YZ3">
        <v>674</v>
      </c>
      <c r="ZA3">
        <v>675</v>
      </c>
      <c r="ZB3">
        <v>676</v>
      </c>
      <c r="ZC3">
        <v>677</v>
      </c>
      <c r="ZD3">
        <v>678</v>
      </c>
      <c r="ZE3">
        <v>679</v>
      </c>
      <c r="ZF3">
        <v>680</v>
      </c>
      <c r="ZG3">
        <v>681</v>
      </c>
      <c r="ZH3">
        <v>682</v>
      </c>
      <c r="ZI3">
        <v>683</v>
      </c>
      <c r="ZJ3">
        <v>684</v>
      </c>
      <c r="ZK3">
        <v>685</v>
      </c>
      <c r="ZL3">
        <v>686</v>
      </c>
      <c r="ZM3">
        <v>687</v>
      </c>
      <c r="ZN3">
        <v>688</v>
      </c>
      <c r="ZO3">
        <v>689</v>
      </c>
      <c r="ZP3">
        <v>690</v>
      </c>
      <c r="ZQ3">
        <v>691</v>
      </c>
      <c r="ZR3">
        <v>692</v>
      </c>
      <c r="ZS3">
        <v>693</v>
      </c>
      <c r="ZT3">
        <v>694</v>
      </c>
      <c r="ZU3">
        <v>695</v>
      </c>
      <c r="ZV3">
        <v>696</v>
      </c>
      <c r="ZW3">
        <v>697</v>
      </c>
      <c r="ZX3">
        <v>698</v>
      </c>
      <c r="ZY3">
        <v>699</v>
      </c>
      <c r="ZZ3">
        <v>700</v>
      </c>
      <c r="AAA3">
        <v>701</v>
      </c>
      <c r="AAB3">
        <v>702</v>
      </c>
      <c r="AAC3">
        <v>703</v>
      </c>
      <c r="AAD3">
        <v>704</v>
      </c>
      <c r="AAE3">
        <v>705</v>
      </c>
      <c r="AAF3">
        <v>706</v>
      </c>
      <c r="AAG3">
        <v>707</v>
      </c>
      <c r="AAH3">
        <v>708</v>
      </c>
      <c r="AAI3">
        <v>709</v>
      </c>
      <c r="AAJ3">
        <v>710</v>
      </c>
      <c r="AAK3">
        <v>711</v>
      </c>
      <c r="AAL3">
        <v>712</v>
      </c>
      <c r="AAM3">
        <v>713</v>
      </c>
      <c r="AAN3">
        <v>714</v>
      </c>
      <c r="AAO3">
        <v>715</v>
      </c>
      <c r="AAP3">
        <v>716</v>
      </c>
      <c r="AAQ3">
        <v>717</v>
      </c>
      <c r="AAR3">
        <v>718</v>
      </c>
      <c r="AAS3">
        <v>719</v>
      </c>
      <c r="AAT3">
        <v>720</v>
      </c>
      <c r="AAU3">
        <v>721</v>
      </c>
      <c r="AAV3">
        <v>722</v>
      </c>
      <c r="AAW3">
        <v>723</v>
      </c>
      <c r="AAX3">
        <v>724</v>
      </c>
      <c r="AAY3">
        <v>725</v>
      </c>
      <c r="AAZ3">
        <v>726</v>
      </c>
      <c r="ABA3">
        <v>727</v>
      </c>
      <c r="ABB3">
        <v>728</v>
      </c>
      <c r="ABC3">
        <v>729</v>
      </c>
      <c r="ABD3">
        <v>730</v>
      </c>
      <c r="ABE3">
        <v>731</v>
      </c>
      <c r="ABF3">
        <v>732</v>
      </c>
      <c r="ABG3">
        <v>733</v>
      </c>
      <c r="ABH3">
        <v>734</v>
      </c>
      <c r="ABI3">
        <v>735</v>
      </c>
      <c r="ABJ3">
        <v>736</v>
      </c>
      <c r="ABK3">
        <v>737</v>
      </c>
      <c r="ABL3">
        <v>738</v>
      </c>
      <c r="ABM3">
        <v>739</v>
      </c>
      <c r="ABN3">
        <v>740</v>
      </c>
      <c r="ABO3">
        <v>741</v>
      </c>
      <c r="ABP3">
        <v>742</v>
      </c>
      <c r="ABQ3">
        <v>743</v>
      </c>
      <c r="ABR3">
        <v>744</v>
      </c>
      <c r="ABS3">
        <v>745</v>
      </c>
      <c r="ABT3">
        <v>746</v>
      </c>
      <c r="ABU3">
        <v>747</v>
      </c>
      <c r="ABV3">
        <v>748</v>
      </c>
      <c r="ABW3">
        <v>749</v>
      </c>
      <c r="ABX3">
        <v>750</v>
      </c>
      <c r="ABY3">
        <v>751</v>
      </c>
      <c r="ABZ3">
        <v>752</v>
      </c>
      <c r="ACA3">
        <v>753</v>
      </c>
      <c r="ACB3">
        <v>754</v>
      </c>
      <c r="ACC3">
        <v>755</v>
      </c>
      <c r="ACD3">
        <v>756</v>
      </c>
      <c r="ACE3">
        <v>757</v>
      </c>
      <c r="ACF3">
        <v>758</v>
      </c>
      <c r="ACG3">
        <v>759</v>
      </c>
      <c r="ACH3">
        <v>760</v>
      </c>
      <c r="ACI3">
        <v>761</v>
      </c>
      <c r="ACJ3">
        <v>762</v>
      </c>
      <c r="ACK3">
        <v>763</v>
      </c>
      <c r="ACL3">
        <v>764</v>
      </c>
      <c r="ACM3">
        <v>765</v>
      </c>
      <c r="ACN3">
        <v>766</v>
      </c>
      <c r="ACO3">
        <v>767</v>
      </c>
      <c r="ACP3">
        <v>768</v>
      </c>
      <c r="ACQ3">
        <v>769</v>
      </c>
      <c r="ACR3">
        <v>770</v>
      </c>
      <c r="ACS3">
        <v>771</v>
      </c>
      <c r="ACT3">
        <v>772</v>
      </c>
      <c r="ACU3">
        <v>773</v>
      </c>
      <c r="ACV3">
        <v>774</v>
      </c>
      <c r="ACW3">
        <v>775</v>
      </c>
      <c r="ACX3">
        <v>776</v>
      </c>
      <c r="ACY3">
        <v>777</v>
      </c>
      <c r="ACZ3">
        <v>778</v>
      </c>
      <c r="ADA3">
        <v>779</v>
      </c>
      <c r="ADB3">
        <v>780</v>
      </c>
      <c r="ADC3">
        <v>781</v>
      </c>
      <c r="ADD3">
        <v>782</v>
      </c>
      <c r="ADE3">
        <v>783</v>
      </c>
      <c r="ADF3">
        <v>784</v>
      </c>
      <c r="ADG3">
        <v>785</v>
      </c>
      <c r="ADH3">
        <v>786</v>
      </c>
      <c r="ADI3">
        <v>787</v>
      </c>
      <c r="ADJ3">
        <v>788</v>
      </c>
      <c r="ADK3">
        <v>789</v>
      </c>
      <c r="ADL3">
        <v>790</v>
      </c>
      <c r="ADM3">
        <v>791</v>
      </c>
      <c r="ADN3">
        <v>792</v>
      </c>
      <c r="ADO3">
        <v>793</v>
      </c>
      <c r="ADP3">
        <v>794</v>
      </c>
      <c r="ADQ3">
        <v>795</v>
      </c>
      <c r="ADR3">
        <v>796</v>
      </c>
      <c r="ADS3">
        <v>797</v>
      </c>
      <c r="ADT3">
        <v>798</v>
      </c>
      <c r="ADU3">
        <v>799</v>
      </c>
      <c r="ADV3">
        <v>800</v>
      </c>
      <c r="ADW3">
        <v>801</v>
      </c>
      <c r="ADX3">
        <v>802</v>
      </c>
      <c r="ADY3">
        <v>803</v>
      </c>
      <c r="ADZ3">
        <v>804</v>
      </c>
      <c r="AEA3">
        <v>805</v>
      </c>
      <c r="AEB3">
        <v>806</v>
      </c>
      <c r="AEC3">
        <v>807</v>
      </c>
      <c r="AED3">
        <v>808</v>
      </c>
      <c r="AEE3">
        <v>809</v>
      </c>
      <c r="AEF3">
        <v>810</v>
      </c>
      <c r="AEG3">
        <v>811</v>
      </c>
      <c r="AEH3">
        <v>812</v>
      </c>
      <c r="AEI3">
        <v>813</v>
      </c>
      <c r="AEJ3">
        <v>814</v>
      </c>
      <c r="AEK3">
        <v>815</v>
      </c>
      <c r="AEL3">
        <v>816</v>
      </c>
      <c r="AEM3">
        <v>817</v>
      </c>
      <c r="AEN3">
        <v>818</v>
      </c>
      <c r="AEO3">
        <v>819</v>
      </c>
      <c r="AEP3">
        <v>820</v>
      </c>
      <c r="AEQ3">
        <v>821</v>
      </c>
      <c r="AER3">
        <v>822</v>
      </c>
      <c r="AES3">
        <v>823</v>
      </c>
      <c r="AET3">
        <v>824</v>
      </c>
      <c r="AEU3">
        <v>825</v>
      </c>
      <c r="AEV3">
        <v>826</v>
      </c>
      <c r="AEW3">
        <v>827</v>
      </c>
      <c r="AEX3">
        <v>828</v>
      </c>
      <c r="AEY3">
        <v>829</v>
      </c>
      <c r="AEZ3">
        <v>830</v>
      </c>
      <c r="AFA3">
        <v>831</v>
      </c>
      <c r="AFB3">
        <v>832</v>
      </c>
      <c r="AFC3">
        <v>833</v>
      </c>
      <c r="AFD3">
        <v>834</v>
      </c>
      <c r="AFE3">
        <v>835</v>
      </c>
      <c r="AFF3">
        <v>836</v>
      </c>
      <c r="AFG3">
        <v>837</v>
      </c>
      <c r="AFH3">
        <v>838</v>
      </c>
      <c r="AFI3">
        <v>839</v>
      </c>
      <c r="AFJ3">
        <v>840</v>
      </c>
      <c r="AFK3">
        <v>841</v>
      </c>
      <c r="AFL3">
        <v>842</v>
      </c>
      <c r="AFM3">
        <v>843</v>
      </c>
      <c r="AFN3">
        <v>844</v>
      </c>
      <c r="AFO3">
        <v>845</v>
      </c>
      <c r="AFP3">
        <v>846</v>
      </c>
      <c r="AFQ3">
        <v>847</v>
      </c>
      <c r="AFR3">
        <v>848</v>
      </c>
      <c r="AFS3">
        <v>849</v>
      </c>
      <c r="AFT3">
        <v>850</v>
      </c>
      <c r="AFU3">
        <v>851</v>
      </c>
      <c r="AFV3">
        <v>852</v>
      </c>
      <c r="AFW3">
        <v>853</v>
      </c>
      <c r="AFX3">
        <v>854</v>
      </c>
      <c r="AFY3">
        <v>855</v>
      </c>
      <c r="AFZ3">
        <v>856</v>
      </c>
      <c r="AGA3">
        <v>857</v>
      </c>
      <c r="AGB3">
        <v>858</v>
      </c>
      <c r="AGC3">
        <v>859</v>
      </c>
      <c r="AGD3">
        <v>860</v>
      </c>
      <c r="AGE3">
        <v>861</v>
      </c>
      <c r="AGF3">
        <v>862</v>
      </c>
      <c r="AGG3">
        <v>863</v>
      </c>
      <c r="AGH3">
        <v>864</v>
      </c>
      <c r="AGI3">
        <v>865</v>
      </c>
      <c r="AGJ3">
        <v>866</v>
      </c>
      <c r="AGK3">
        <v>867</v>
      </c>
      <c r="AGL3">
        <v>868</v>
      </c>
      <c r="AGM3">
        <v>869</v>
      </c>
      <c r="AGN3">
        <v>870</v>
      </c>
      <c r="AGO3">
        <v>871</v>
      </c>
      <c r="AGP3">
        <v>872</v>
      </c>
      <c r="AGQ3">
        <v>873</v>
      </c>
      <c r="AGR3">
        <v>874</v>
      </c>
      <c r="AGS3">
        <v>875</v>
      </c>
      <c r="AGT3">
        <v>876</v>
      </c>
      <c r="AGU3">
        <v>877</v>
      </c>
      <c r="AGV3">
        <v>878</v>
      </c>
      <c r="AGW3">
        <v>879</v>
      </c>
      <c r="AGX3">
        <v>880</v>
      </c>
      <c r="AGY3">
        <v>881</v>
      </c>
      <c r="AGZ3">
        <v>882</v>
      </c>
      <c r="AHA3">
        <v>883</v>
      </c>
      <c r="AHB3">
        <v>884</v>
      </c>
      <c r="AHC3">
        <v>885</v>
      </c>
      <c r="AHD3">
        <v>886</v>
      </c>
      <c r="AHE3">
        <v>887</v>
      </c>
      <c r="AHF3">
        <v>888</v>
      </c>
      <c r="AHG3">
        <v>889</v>
      </c>
      <c r="AHH3">
        <v>890</v>
      </c>
      <c r="AHI3">
        <v>891</v>
      </c>
      <c r="AHJ3">
        <v>892</v>
      </c>
      <c r="AHK3">
        <v>893</v>
      </c>
      <c r="AHL3">
        <v>894</v>
      </c>
      <c r="AHM3">
        <v>895</v>
      </c>
      <c r="AHN3">
        <v>896</v>
      </c>
      <c r="AHO3">
        <v>897</v>
      </c>
      <c r="AHP3">
        <v>898</v>
      </c>
      <c r="AHQ3">
        <v>899</v>
      </c>
      <c r="AHR3">
        <v>900</v>
      </c>
      <c r="AHS3">
        <v>901</v>
      </c>
      <c r="AHT3">
        <v>902</v>
      </c>
      <c r="AHU3">
        <v>903</v>
      </c>
      <c r="AHV3">
        <v>904</v>
      </c>
      <c r="AHW3">
        <v>905</v>
      </c>
      <c r="AHX3">
        <v>906</v>
      </c>
      <c r="AHY3">
        <v>907</v>
      </c>
      <c r="AHZ3">
        <v>908</v>
      </c>
      <c r="AIA3">
        <v>909</v>
      </c>
      <c r="AIB3">
        <v>910</v>
      </c>
      <c r="AIC3">
        <v>911</v>
      </c>
      <c r="AID3">
        <v>912</v>
      </c>
      <c r="AIE3">
        <v>913</v>
      </c>
      <c r="AIF3">
        <v>914</v>
      </c>
      <c r="AIG3">
        <v>915</v>
      </c>
      <c r="AIH3">
        <v>916</v>
      </c>
      <c r="AII3">
        <v>917</v>
      </c>
      <c r="AIJ3">
        <v>918</v>
      </c>
      <c r="AIK3">
        <v>919</v>
      </c>
      <c r="AIL3">
        <v>920</v>
      </c>
      <c r="AIM3">
        <v>921</v>
      </c>
      <c r="AIN3">
        <v>922</v>
      </c>
      <c r="AIO3">
        <v>923</v>
      </c>
      <c r="AIP3">
        <v>924</v>
      </c>
      <c r="AIQ3">
        <v>925</v>
      </c>
      <c r="AIR3">
        <v>926</v>
      </c>
      <c r="AIS3">
        <v>927</v>
      </c>
      <c r="AIT3">
        <v>928</v>
      </c>
      <c r="AIU3">
        <v>929</v>
      </c>
      <c r="AIV3">
        <v>930</v>
      </c>
      <c r="AIW3">
        <v>931</v>
      </c>
      <c r="AIX3">
        <v>932</v>
      </c>
      <c r="AIY3">
        <v>933</v>
      </c>
      <c r="AIZ3">
        <v>934</v>
      </c>
      <c r="AJA3">
        <v>935</v>
      </c>
      <c r="AJB3">
        <v>936</v>
      </c>
      <c r="AJC3">
        <v>937</v>
      </c>
      <c r="AJD3">
        <v>938</v>
      </c>
      <c r="AJE3">
        <v>939</v>
      </c>
      <c r="AJF3">
        <v>940</v>
      </c>
      <c r="AJG3">
        <v>941</v>
      </c>
      <c r="AJH3">
        <v>942</v>
      </c>
      <c r="AJI3">
        <v>943</v>
      </c>
      <c r="AJJ3">
        <v>944</v>
      </c>
      <c r="AJK3">
        <v>945</v>
      </c>
      <c r="AJL3">
        <v>946</v>
      </c>
      <c r="AJM3">
        <v>947</v>
      </c>
      <c r="AJN3">
        <v>948</v>
      </c>
      <c r="AJO3">
        <v>949</v>
      </c>
      <c r="AJP3">
        <v>950</v>
      </c>
      <c r="AJQ3">
        <v>951</v>
      </c>
      <c r="AJR3">
        <v>952</v>
      </c>
      <c r="AJS3">
        <v>953</v>
      </c>
      <c r="AJT3">
        <v>954</v>
      </c>
      <c r="AJU3">
        <v>955</v>
      </c>
      <c r="AJV3">
        <v>956</v>
      </c>
      <c r="AJW3">
        <v>957</v>
      </c>
      <c r="AJX3">
        <v>958</v>
      </c>
      <c r="AJY3">
        <v>959</v>
      </c>
      <c r="AJZ3">
        <v>960</v>
      </c>
      <c r="AKA3">
        <v>961</v>
      </c>
      <c r="AKB3">
        <v>962</v>
      </c>
      <c r="AKC3">
        <v>963</v>
      </c>
      <c r="AKD3">
        <v>964</v>
      </c>
      <c r="AKE3">
        <v>965</v>
      </c>
      <c r="AKF3">
        <v>966</v>
      </c>
      <c r="AKG3">
        <v>967</v>
      </c>
      <c r="AKH3">
        <v>968</v>
      </c>
      <c r="AKI3">
        <v>969</v>
      </c>
      <c r="AKJ3">
        <v>970</v>
      </c>
      <c r="AKK3">
        <v>971</v>
      </c>
      <c r="AKL3">
        <v>972</v>
      </c>
      <c r="AKM3">
        <v>973</v>
      </c>
      <c r="AKN3">
        <v>974</v>
      </c>
      <c r="AKO3">
        <v>975</v>
      </c>
      <c r="AKP3">
        <v>976</v>
      </c>
      <c r="AKQ3">
        <v>977</v>
      </c>
      <c r="AKR3">
        <v>978</v>
      </c>
      <c r="AKS3">
        <v>979</v>
      </c>
      <c r="AKT3">
        <v>980</v>
      </c>
      <c r="AKU3">
        <v>981</v>
      </c>
      <c r="AKV3">
        <v>982</v>
      </c>
      <c r="AKW3">
        <v>983</v>
      </c>
      <c r="AKX3">
        <v>984</v>
      </c>
      <c r="AKY3">
        <v>985</v>
      </c>
      <c r="AKZ3">
        <v>986</v>
      </c>
      <c r="ALA3">
        <v>987</v>
      </c>
      <c r="ALB3">
        <v>988</v>
      </c>
      <c r="ALC3">
        <v>989</v>
      </c>
      <c r="ALD3">
        <v>990</v>
      </c>
      <c r="ALE3">
        <v>991</v>
      </c>
      <c r="ALF3">
        <v>992</v>
      </c>
      <c r="ALG3">
        <v>993</v>
      </c>
      <c r="ALH3">
        <v>994</v>
      </c>
      <c r="ALI3">
        <v>995</v>
      </c>
      <c r="ALJ3">
        <v>996</v>
      </c>
      <c r="ALK3">
        <v>997</v>
      </c>
      <c r="ALL3">
        <v>998</v>
      </c>
      <c r="ALM3">
        <v>999</v>
      </c>
      <c r="ALN3">
        <v>1000</v>
      </c>
    </row>
    <row r="4" spans="1:1002" x14ac:dyDescent="0.2">
      <c r="A4" t="str">
        <f>IFERROR(IF(ROW(A3)&lt;4,Dashboard!$A$2,IF(COUNTIF($A$3:A3,A3)&lt;COUNTA(Dashboard!$B:$B)-1, A3,IF(OR(A3="",INDEX(Dashboard!$A:$A,MATCH(A3,Dashboard!$A:$A,0)+1)=0),"",INDEX(Dashboard!$A:$A,MATCH(A3,Dashboard!$A:$A,0)+1)))),"")</f>
        <v>IRA</v>
      </c>
      <c r="B4" t="str">
        <f>IFERROR(IF(A4="","",IF(A4&lt;&gt;A3,Dashboard!$B$2,INDEX(Dashboard!$B:$B,MATCH(Source!B3,Dashboard!$B:$B,0)+1))),"")</f>
        <v>Public Web</v>
      </c>
      <c r="C4" s="6" t="s">
        <v>77</v>
      </c>
      <c r="D4" s="6" t="s">
        <v>78</v>
      </c>
      <c r="E4" s="6" t="s">
        <v>79</v>
      </c>
      <c r="F4" s="6" t="s">
        <v>78</v>
      </c>
      <c r="G4" s="6" t="s">
        <v>80</v>
      </c>
      <c r="H4" s="6" t="s">
        <v>80</v>
      </c>
      <c r="I4" s="6" t="s">
        <v>83</v>
      </c>
      <c r="J4" s="6" t="s">
        <v>84</v>
      </c>
      <c r="K4" s="6" t="s">
        <v>115</v>
      </c>
      <c r="L4" s="6" t="s">
        <v>17</v>
      </c>
      <c r="M4" s="6" t="s">
        <v>88</v>
      </c>
      <c r="N4" s="6" t="s">
        <v>88</v>
      </c>
      <c r="O4" s="6" t="s">
        <v>90</v>
      </c>
      <c r="P4" s="6" t="s">
        <v>115</v>
      </c>
      <c r="Q4" s="6" t="s">
        <v>115</v>
      </c>
      <c r="R4" s="6" t="s">
        <v>17</v>
      </c>
      <c r="S4" s="6" t="s">
        <v>93</v>
      </c>
      <c r="T4" s="6" t="s">
        <v>85</v>
      </c>
      <c r="U4" s="6" t="s">
        <v>90</v>
      </c>
      <c r="V4" s="6" t="s">
        <v>83</v>
      </c>
      <c r="W4" s="6" t="s">
        <v>83</v>
      </c>
      <c r="X4" s="6" t="s">
        <v>95</v>
      </c>
      <c r="Y4" s="6" t="s">
        <v>95</v>
      </c>
      <c r="Z4" s="6" t="s">
        <v>95</v>
      </c>
      <c r="AA4" s="6" t="s">
        <v>95</v>
      </c>
      <c r="AC4" s="6" t="s">
        <v>97</v>
      </c>
      <c r="AG4" s="6" t="s">
        <v>108</v>
      </c>
      <c r="AI4" s="6" t="s">
        <v>108</v>
      </c>
      <c r="AJ4" s="6" t="s">
        <v>108</v>
      </c>
      <c r="AK4" s="6" t="s">
        <v>108</v>
      </c>
      <c r="AL4" s="6" t="s">
        <v>108</v>
      </c>
      <c r="AM4" s="6" t="s">
        <v>79</v>
      </c>
      <c r="AN4" s="6" t="s">
        <v>108</v>
      </c>
      <c r="AO4" s="6" t="s">
        <v>108</v>
      </c>
      <c r="AQ4" s="6" t="s">
        <v>108</v>
      </c>
      <c r="AR4" s="6" t="s">
        <v>82</v>
      </c>
      <c r="AS4" s="6" t="s">
        <v>112</v>
      </c>
      <c r="AT4" s="6" t="s">
        <v>82</v>
      </c>
      <c r="AU4" s="6" t="s">
        <v>103</v>
      </c>
      <c r="AY4" s="6" t="s">
        <v>81</v>
      </c>
      <c r="BB4" s="6" t="s">
        <v>108</v>
      </c>
      <c r="BC4" s="6" t="s">
        <v>108</v>
      </c>
      <c r="BI4" s="6" t="s">
        <v>108</v>
      </c>
      <c r="BK4" s="6" t="s">
        <v>16</v>
      </c>
      <c r="BM4" s="6" t="s">
        <v>108</v>
      </c>
      <c r="BN4" s="6" t="s">
        <v>16</v>
      </c>
      <c r="BR4" s="6" t="s">
        <v>108</v>
      </c>
      <c r="BS4" s="6" t="s">
        <v>108</v>
      </c>
      <c r="BT4" s="6" t="s">
        <v>108</v>
      </c>
      <c r="BY4" s="6" t="s">
        <v>108</v>
      </c>
      <c r="BZ4" s="6" t="s">
        <v>108</v>
      </c>
      <c r="CA4" s="6" t="s">
        <v>108</v>
      </c>
      <c r="CD4" s="6" t="s">
        <v>108</v>
      </c>
      <c r="CE4" s="6" t="s">
        <v>108</v>
      </c>
      <c r="CG4" s="6" t="s">
        <v>108</v>
      </c>
      <c r="CR4" s="6" t="s">
        <v>131</v>
      </c>
      <c r="CS4" s="6" t="s">
        <v>131</v>
      </c>
    </row>
    <row r="5" spans="1:1002" x14ac:dyDescent="0.2">
      <c r="A5" t="str">
        <f>IFERROR(IF(ROW(A4)&lt;4,Dashboard!$A$2,IF(COUNTIF($A$3:A4,A4)&lt;COUNTA(Dashboard!$B:$B)-1, A4,IF(OR(A4="",INDEX(Dashboard!$A:$A,MATCH(A4,Dashboard!$A:$A,0)+1)=0),"",INDEX(Dashboard!$A:$A,MATCH(A4,Dashboard!$A:$A,0)+1)))),"")</f>
        <v>IRA</v>
      </c>
      <c r="B5" t="str">
        <f>IFERROR(IF(A5="","",IF(A5&lt;&gt;A4,Dashboard!$B$2,INDEX(Dashboard!$B:$B,MATCH(Source!B4,Dashboard!$B:$B,0)+1))),"")</f>
        <v>Phone</v>
      </c>
      <c r="D5" s="6" t="s">
        <v>30</v>
      </c>
      <c r="F5" s="6" t="s">
        <v>30</v>
      </c>
      <c r="G5" s="6" t="s">
        <v>30</v>
      </c>
      <c r="I5" s="6" t="s">
        <v>82</v>
      </c>
      <c r="J5" s="6" t="s">
        <v>30</v>
      </c>
      <c r="K5" s="6" t="s">
        <v>110</v>
      </c>
      <c r="L5" s="6" t="s">
        <v>86</v>
      </c>
      <c r="M5" s="6" t="s">
        <v>89</v>
      </c>
      <c r="N5" s="6" t="s">
        <v>89</v>
      </c>
      <c r="O5" s="6" t="s">
        <v>91</v>
      </c>
      <c r="P5" s="6" t="s">
        <v>110</v>
      </c>
      <c r="Q5" s="6" t="s">
        <v>110</v>
      </c>
      <c r="R5" s="6" t="s">
        <v>92</v>
      </c>
      <c r="U5" s="6" t="s">
        <v>91</v>
      </c>
      <c r="V5" s="6" t="s">
        <v>94</v>
      </c>
      <c r="W5" s="6" t="s">
        <v>15</v>
      </c>
      <c r="Y5" s="6" t="s">
        <v>91</v>
      </c>
      <c r="Z5" s="6" t="s">
        <v>91</v>
      </c>
      <c r="AA5" s="6" t="s">
        <v>27</v>
      </c>
      <c r="AC5" s="6" t="s">
        <v>75</v>
      </c>
      <c r="AE5" s="6" t="s">
        <v>16</v>
      </c>
      <c r="AF5" s="6" t="s">
        <v>15</v>
      </c>
      <c r="AG5" s="6" t="s">
        <v>109</v>
      </c>
      <c r="AH5" s="6" t="s">
        <v>89</v>
      </c>
      <c r="AI5" s="6" t="s">
        <v>110</v>
      </c>
      <c r="AJ5" s="6" t="s">
        <v>110</v>
      </c>
      <c r="AK5" s="6" t="s">
        <v>110</v>
      </c>
      <c r="AL5" s="6" t="s">
        <v>110</v>
      </c>
      <c r="AN5" s="6" t="s">
        <v>108</v>
      </c>
      <c r="AO5" s="6" t="s">
        <v>108</v>
      </c>
      <c r="AP5" s="6" t="s">
        <v>94</v>
      </c>
      <c r="AQ5" s="6" t="s">
        <v>113</v>
      </c>
      <c r="AS5" s="6" t="s">
        <v>108</v>
      </c>
      <c r="AU5" s="6" t="s">
        <v>104</v>
      </c>
      <c r="AX5" s="6" t="s">
        <v>81</v>
      </c>
      <c r="AY5" s="6" t="s">
        <v>27</v>
      </c>
      <c r="AZ5" s="6" t="s">
        <v>81</v>
      </c>
      <c r="BA5" s="6" t="s">
        <v>104</v>
      </c>
      <c r="BB5" s="6" t="s">
        <v>119</v>
      </c>
      <c r="BC5" s="6" t="s">
        <v>119</v>
      </c>
      <c r="BD5" s="6" t="s">
        <v>81</v>
      </c>
      <c r="BE5" s="6" t="s">
        <v>94</v>
      </c>
      <c r="BF5" s="6" t="s">
        <v>99</v>
      </c>
      <c r="BG5" s="6" t="s">
        <v>99</v>
      </c>
      <c r="BH5" s="6" t="s">
        <v>99</v>
      </c>
      <c r="BI5" s="6" t="s">
        <v>109</v>
      </c>
      <c r="BK5" s="6" t="s">
        <v>89</v>
      </c>
      <c r="BL5" s="6" t="s">
        <v>94</v>
      </c>
      <c r="BM5" s="6" t="s">
        <v>121</v>
      </c>
      <c r="BN5" s="6" t="s">
        <v>122</v>
      </c>
      <c r="BP5" s="6" t="s">
        <v>123</v>
      </c>
      <c r="BQ5" s="6" t="s">
        <v>116</v>
      </c>
      <c r="BR5" s="6" t="s">
        <v>119</v>
      </c>
      <c r="BS5" s="6" t="s">
        <v>119</v>
      </c>
      <c r="BT5" s="6" t="s">
        <v>119</v>
      </c>
      <c r="BU5" s="6" t="s">
        <v>124</v>
      </c>
      <c r="BV5" s="6" t="s">
        <v>124</v>
      </c>
      <c r="BW5" s="6" t="s">
        <v>126</v>
      </c>
      <c r="BX5" s="6" t="s">
        <v>125</v>
      </c>
      <c r="BY5" s="6" t="s">
        <v>119</v>
      </c>
      <c r="BZ5" s="6" t="s">
        <v>119</v>
      </c>
      <c r="CA5" s="6" t="s">
        <v>119</v>
      </c>
      <c r="CB5" s="6" t="s">
        <v>123</v>
      </c>
      <c r="CC5" s="6" t="s">
        <v>125</v>
      </c>
      <c r="CD5" s="6" t="s">
        <v>127</v>
      </c>
      <c r="CE5" s="6" t="s">
        <v>127</v>
      </c>
      <c r="CF5" s="6" t="s">
        <v>80</v>
      </c>
      <c r="CG5" s="6" t="s">
        <v>127</v>
      </c>
      <c r="CH5" s="6" t="s">
        <v>16</v>
      </c>
      <c r="CI5" s="6" t="s">
        <v>128</v>
      </c>
      <c r="CJ5" s="6" t="s">
        <v>80</v>
      </c>
      <c r="CK5" s="6" t="s">
        <v>128</v>
      </c>
      <c r="CL5" s="6" t="s">
        <v>80</v>
      </c>
      <c r="CM5" s="6" t="s">
        <v>128</v>
      </c>
      <c r="CN5" s="6" t="s">
        <v>80</v>
      </c>
      <c r="CO5" s="6" t="s">
        <v>123</v>
      </c>
      <c r="CP5" s="6" t="s">
        <v>79</v>
      </c>
      <c r="CQ5" s="6" t="s">
        <v>76</v>
      </c>
      <c r="CT5" s="6" t="s">
        <v>101</v>
      </c>
      <c r="CU5" s="6" t="s">
        <v>131</v>
      </c>
      <c r="CV5" s="6" t="s">
        <v>128</v>
      </c>
      <c r="CW5" s="6" t="s">
        <v>99</v>
      </c>
      <c r="CX5" s="6" t="s">
        <v>82</v>
      </c>
      <c r="CY5" s="6" t="s">
        <v>80</v>
      </c>
      <c r="CZ5" s="6" t="s">
        <v>94</v>
      </c>
      <c r="DA5" s="6" t="s">
        <v>94</v>
      </c>
      <c r="DB5" s="6" t="s">
        <v>94</v>
      </c>
    </row>
    <row r="6" spans="1:1002" x14ac:dyDescent="0.2">
      <c r="A6" t="str">
        <f>IFERROR(IF(ROW(A5)&lt;4,Dashboard!$A$2,IF(COUNTIF($A$3:A5,A5)&lt;COUNTA(Dashboard!$B:$B)-1, A5,IF(OR(A5="",INDEX(Dashboard!$A:$A,MATCH(A5,Dashboard!$A:$A,0)+1)=0),"",INDEX(Dashboard!$A:$A,MATCH(A5,Dashboard!$A:$A,0)+1)))),"")</f>
        <v>IRA</v>
      </c>
      <c r="B6" t="str">
        <f>IFERROR(IF(A6="","",IF(A6&lt;&gt;A5,Dashboard!$B$2,INDEX(Dashboard!$B:$B,MATCH(Source!B5,Dashboard!$B:$B,0)+1))),"")</f>
        <v>Mail</v>
      </c>
      <c r="C6" s="6" t="s">
        <v>75</v>
      </c>
      <c r="K6" s="6" t="s">
        <v>108</v>
      </c>
      <c r="P6" s="6" t="s">
        <v>108</v>
      </c>
      <c r="Q6" s="6" t="s">
        <v>108</v>
      </c>
      <c r="T6" s="6" t="s">
        <v>92</v>
      </c>
      <c r="W6" s="6" t="s">
        <v>89</v>
      </c>
      <c r="X6" s="6" t="s">
        <v>91</v>
      </c>
      <c r="AB6" s="6" t="s">
        <v>96</v>
      </c>
      <c r="AD6" s="6" t="s">
        <v>82</v>
      </c>
      <c r="AE6" s="6" t="s">
        <v>99</v>
      </c>
      <c r="AF6" s="6" t="s">
        <v>91</v>
      </c>
      <c r="AG6" s="6" t="s">
        <v>110</v>
      </c>
      <c r="AI6" s="6" t="s">
        <v>108</v>
      </c>
      <c r="AJ6" s="6" t="s">
        <v>108</v>
      </c>
      <c r="AK6" s="6" t="s">
        <v>108</v>
      </c>
      <c r="AL6" s="6" t="s">
        <v>108</v>
      </c>
      <c r="AN6" s="6" t="s">
        <v>108</v>
      </c>
      <c r="AO6" s="6" t="s">
        <v>108</v>
      </c>
      <c r="AQ6" s="6" t="s">
        <v>108</v>
      </c>
      <c r="AS6" s="6" t="s">
        <v>108</v>
      </c>
      <c r="AV6" s="6" t="s">
        <v>26</v>
      </c>
      <c r="AW6" s="6" t="s">
        <v>76</v>
      </c>
      <c r="AX6" s="6" t="s">
        <v>116</v>
      </c>
      <c r="AY6" s="6" t="s">
        <v>15</v>
      </c>
      <c r="AZ6" s="6" t="s">
        <v>99</v>
      </c>
      <c r="BA6" s="6" t="s">
        <v>92</v>
      </c>
      <c r="BB6" s="6" t="s">
        <v>108</v>
      </c>
      <c r="BC6" s="6" t="s">
        <v>108</v>
      </c>
      <c r="BD6" s="6" t="s">
        <v>82</v>
      </c>
      <c r="BH6" s="6" t="s">
        <v>99</v>
      </c>
      <c r="BI6" s="6" t="s">
        <v>110</v>
      </c>
      <c r="BJ6" s="6" t="s">
        <v>82</v>
      </c>
      <c r="BK6" s="6" t="s">
        <v>89</v>
      </c>
      <c r="BL6" s="6" t="s">
        <v>16</v>
      </c>
      <c r="BM6" s="6" t="s">
        <v>108</v>
      </c>
      <c r="BN6" s="6" t="s">
        <v>16</v>
      </c>
      <c r="BR6" s="6" t="s">
        <v>108</v>
      </c>
      <c r="BS6" s="6" t="s">
        <v>108</v>
      </c>
      <c r="BT6" s="6" t="s">
        <v>108</v>
      </c>
      <c r="BY6" s="6" t="s">
        <v>108</v>
      </c>
      <c r="BZ6" s="6" t="s">
        <v>108</v>
      </c>
      <c r="CA6" s="6" t="s">
        <v>108</v>
      </c>
      <c r="CD6" s="6" t="s">
        <v>108</v>
      </c>
      <c r="CE6" s="6" t="s">
        <v>108</v>
      </c>
      <c r="CG6" s="6" t="s">
        <v>108</v>
      </c>
      <c r="CH6" s="6" t="s">
        <v>82</v>
      </c>
      <c r="CO6" s="6" t="s">
        <v>16</v>
      </c>
      <c r="CP6" s="6" t="s">
        <v>30</v>
      </c>
      <c r="CV6" s="6" t="s">
        <v>16</v>
      </c>
      <c r="CW6" s="6" t="s">
        <v>81</v>
      </c>
      <c r="DB6" s="6" t="s">
        <v>16</v>
      </c>
    </row>
    <row r="7" spans="1:1002" x14ac:dyDescent="0.2">
      <c r="A7" t="str">
        <f>IFERROR(IF(ROW(A6)&lt;4,Dashboard!$A$2,IF(COUNTIF($A$3:A6,A6)&lt;COUNTA(Dashboard!$B:$B)-1, A6,IF(OR(A6="",INDEX(Dashboard!$A:$A,MATCH(A6,Dashboard!$A:$A,0)+1)=0),"",INDEX(Dashboard!$A:$A,MATCH(A6,Dashboard!$A:$A,0)+1)))),"")</f>
        <v>IRA</v>
      </c>
      <c r="B7" t="str">
        <f>IFERROR(IF(A7="","",IF(A7&lt;&gt;A6,Dashboard!$B$2,INDEX(Dashboard!$B:$B,MATCH(Source!B6,Dashboard!$B:$B,0)+1))),"")</f>
        <v>Mobile</v>
      </c>
      <c r="D7" s="6" t="s">
        <v>75</v>
      </c>
      <c r="F7" s="6" t="s">
        <v>75</v>
      </c>
      <c r="G7" s="6" t="s">
        <v>16</v>
      </c>
      <c r="H7" s="6" t="s">
        <v>81</v>
      </c>
      <c r="K7" s="6" t="s">
        <v>108</v>
      </c>
      <c r="M7" s="6" t="s">
        <v>16</v>
      </c>
      <c r="P7" s="6" t="s">
        <v>108</v>
      </c>
      <c r="Q7" s="6" t="s">
        <v>108</v>
      </c>
      <c r="S7" s="6" t="s">
        <v>16</v>
      </c>
      <c r="AG7" s="6" t="s">
        <v>108</v>
      </c>
      <c r="AI7" s="6" t="s">
        <v>108</v>
      </c>
      <c r="AJ7" s="6" t="s">
        <v>108</v>
      </c>
      <c r="AK7" s="6" t="s">
        <v>108</v>
      </c>
      <c r="AL7" s="6" t="s">
        <v>108</v>
      </c>
      <c r="AM7" s="6" t="s">
        <v>75</v>
      </c>
      <c r="AN7" s="6" t="s">
        <v>112</v>
      </c>
      <c r="AO7" s="6" t="s">
        <v>112</v>
      </c>
      <c r="AQ7" s="6" t="s">
        <v>108</v>
      </c>
      <c r="AS7" s="6" t="s">
        <v>108</v>
      </c>
      <c r="AV7" s="6" t="s">
        <v>83</v>
      </c>
      <c r="AW7" s="6" t="s">
        <v>75</v>
      </c>
      <c r="AX7" s="6" t="s">
        <v>75</v>
      </c>
      <c r="BB7" s="6" t="s">
        <v>108</v>
      </c>
      <c r="BC7" s="6" t="s">
        <v>108</v>
      </c>
      <c r="BD7" s="6" t="s">
        <v>75</v>
      </c>
      <c r="BI7" s="6" t="s">
        <v>108</v>
      </c>
      <c r="BM7" s="6" t="s">
        <v>108</v>
      </c>
      <c r="BN7" s="6" t="s">
        <v>16</v>
      </c>
      <c r="BO7" s="6" t="s">
        <v>81</v>
      </c>
      <c r="BR7" s="6" t="s">
        <v>108</v>
      </c>
      <c r="BS7" s="6" t="s">
        <v>108</v>
      </c>
      <c r="BT7" s="6" t="s">
        <v>108</v>
      </c>
      <c r="BY7" s="6" t="s">
        <v>108</v>
      </c>
      <c r="BZ7" s="6" t="s">
        <v>108</v>
      </c>
      <c r="CA7" s="6" t="s">
        <v>108</v>
      </c>
      <c r="CD7" s="6" t="s">
        <v>108</v>
      </c>
      <c r="CE7" s="6" t="s">
        <v>108</v>
      </c>
      <c r="CG7" s="6" t="s">
        <v>108</v>
      </c>
      <c r="CH7" s="6" t="s">
        <v>81</v>
      </c>
      <c r="CO7" s="6" t="s">
        <v>81</v>
      </c>
    </row>
    <row r="8" spans="1:1002" x14ac:dyDescent="0.2">
      <c r="A8" t="str">
        <f>IFERROR(IF(ROW(A7)&lt;4,Dashboard!$A$2,IF(COUNTIF($A$3:A7,A7)&lt;COUNTA(Dashboard!$B:$B)-1, A7,IF(OR(A7="",INDEX(Dashboard!$A:$A,MATCH(A7,Dashboard!$A:$A,0)+1)=0),"",INDEX(Dashboard!$A:$A,MATCH(A7,Dashboard!$A:$A,0)+1)))),"")</f>
        <v>IRA</v>
      </c>
      <c r="B8" t="str">
        <f>IFERROR(IF(A8="","",IF(A8&lt;&gt;A7,Dashboard!$B$2,INDEX(Dashboard!$B:$B,MATCH(Source!B7,Dashboard!$B:$B,0)+1))),"")</f>
        <v>IVR</v>
      </c>
      <c r="D8" s="6" t="s">
        <v>75</v>
      </c>
      <c r="F8" s="6" t="s">
        <v>75</v>
      </c>
      <c r="G8" s="6" t="s">
        <v>81</v>
      </c>
      <c r="K8" s="6" t="s">
        <v>108</v>
      </c>
      <c r="L8" s="6" t="s">
        <v>81</v>
      </c>
      <c r="P8" s="6" t="s">
        <v>108</v>
      </c>
      <c r="Q8" s="6" t="s">
        <v>108</v>
      </c>
      <c r="AG8" s="6" t="s">
        <v>108</v>
      </c>
      <c r="AH8" s="6" t="s">
        <v>75</v>
      </c>
      <c r="AI8" s="6" t="s">
        <v>108</v>
      </c>
      <c r="AJ8" s="6" t="s">
        <v>108</v>
      </c>
      <c r="AK8" s="6" t="s">
        <v>108</v>
      </c>
      <c r="AL8" s="6" t="s">
        <v>108</v>
      </c>
      <c r="AN8" s="6" t="s">
        <v>108</v>
      </c>
      <c r="AO8" s="6" t="s">
        <v>108</v>
      </c>
      <c r="AQ8" s="6" t="s">
        <v>108</v>
      </c>
      <c r="AS8" s="6" t="s">
        <v>108</v>
      </c>
      <c r="AX8" s="6" t="s">
        <v>30</v>
      </c>
      <c r="BB8" s="6" t="s">
        <v>108</v>
      </c>
      <c r="BC8" s="6" t="s">
        <v>108</v>
      </c>
      <c r="BD8" s="6" t="s">
        <v>30</v>
      </c>
      <c r="BI8" s="6" t="s">
        <v>108</v>
      </c>
      <c r="BM8" s="6" t="s">
        <v>108</v>
      </c>
      <c r="BO8" s="6" t="s">
        <v>129</v>
      </c>
      <c r="BR8" s="6" t="s">
        <v>108</v>
      </c>
      <c r="BS8" s="6" t="s">
        <v>108</v>
      </c>
      <c r="BT8" s="6" t="s">
        <v>108</v>
      </c>
      <c r="BU8" s="6" t="s">
        <v>75</v>
      </c>
      <c r="BV8" s="6" t="s">
        <v>75</v>
      </c>
      <c r="BY8" s="6" t="s">
        <v>108</v>
      </c>
      <c r="BZ8" s="6" t="s">
        <v>108</v>
      </c>
      <c r="CA8" s="6" t="s">
        <v>108</v>
      </c>
      <c r="CD8" s="6" t="s">
        <v>108</v>
      </c>
      <c r="CE8" s="6" t="s">
        <v>108</v>
      </c>
      <c r="CG8" s="6" t="s">
        <v>108</v>
      </c>
      <c r="CQ8" s="6" t="s">
        <v>75</v>
      </c>
    </row>
    <row r="9" spans="1:1002" x14ac:dyDescent="0.2">
      <c r="A9" t="str">
        <f>IFERROR(IF(ROW(A8)&lt;4,Dashboard!$A$2,IF(COUNTIF($A$3:A8,A8)&lt;COUNTA(Dashboard!$B:$B)-1, A8,IF(OR(A8="",INDEX(Dashboard!$A:$A,MATCH(A8,Dashboard!$A:$A,0)+1)=0),"",INDEX(Dashboard!$A:$A,MATCH(A8,Dashboard!$A:$A,0)+1)))),"")</f>
        <v>IRA</v>
      </c>
      <c r="B9" t="str">
        <f>IFERROR(IF(A9="","",IF(A9&lt;&gt;A8,Dashboard!$B$2,INDEX(Dashboard!$B:$B,MATCH(Source!B8,Dashboard!$B:$B,0)+1))),"")</f>
        <v>Account Center</v>
      </c>
      <c r="I9" s="6" t="s">
        <v>81</v>
      </c>
      <c r="K9" s="6" t="s">
        <v>108</v>
      </c>
      <c r="P9" s="6" t="s">
        <v>108</v>
      </c>
      <c r="Q9" s="6" t="s">
        <v>108</v>
      </c>
      <c r="AD9" s="6" t="s">
        <v>98</v>
      </c>
      <c r="AE9" s="6" t="s">
        <v>83</v>
      </c>
      <c r="AF9" s="6" t="s">
        <v>100</v>
      </c>
      <c r="AG9" s="6" t="s">
        <v>111</v>
      </c>
      <c r="AH9" s="6" t="s">
        <v>98</v>
      </c>
      <c r="AI9" s="6" t="s">
        <v>111</v>
      </c>
      <c r="AJ9" s="6" t="s">
        <v>111</v>
      </c>
      <c r="AK9" s="6" t="s">
        <v>111</v>
      </c>
      <c r="AL9" s="6" t="s">
        <v>111</v>
      </c>
      <c r="AN9" s="6" t="s">
        <v>111</v>
      </c>
      <c r="AO9" s="6" t="s">
        <v>111</v>
      </c>
      <c r="AP9" s="6" t="s">
        <v>102</v>
      </c>
      <c r="AQ9" s="6" t="s">
        <v>111</v>
      </c>
      <c r="AR9" s="6" t="s">
        <v>98</v>
      </c>
      <c r="AS9" s="6" t="s">
        <v>111</v>
      </c>
      <c r="AT9" s="6" t="s">
        <v>98</v>
      </c>
      <c r="AU9" s="6" t="s">
        <v>102</v>
      </c>
      <c r="AW9" s="6" t="s">
        <v>117</v>
      </c>
      <c r="AX9" s="6" t="s">
        <v>98</v>
      </c>
      <c r="AY9" s="6" t="s">
        <v>100</v>
      </c>
      <c r="AZ9" s="6" t="s">
        <v>102</v>
      </c>
      <c r="BA9" s="6" t="s">
        <v>83</v>
      </c>
      <c r="BB9" s="6" t="s">
        <v>118</v>
      </c>
      <c r="BC9" s="6" t="s">
        <v>118</v>
      </c>
      <c r="BD9" s="6" t="s">
        <v>98</v>
      </c>
      <c r="BE9" s="6" t="s">
        <v>83</v>
      </c>
      <c r="BF9" s="6" t="s">
        <v>100</v>
      </c>
      <c r="BG9" s="6" t="s">
        <v>83</v>
      </c>
      <c r="BH9" s="6" t="s">
        <v>83</v>
      </c>
      <c r="BI9" s="6" t="s">
        <v>118</v>
      </c>
      <c r="BJ9" s="6" t="s">
        <v>98</v>
      </c>
      <c r="BK9" s="6" t="s">
        <v>120</v>
      </c>
      <c r="BL9" s="6" t="s">
        <v>83</v>
      </c>
      <c r="BM9" s="6" t="s">
        <v>111</v>
      </c>
      <c r="BN9" s="6" t="s">
        <v>102</v>
      </c>
      <c r="BO9" s="6" t="s">
        <v>28</v>
      </c>
      <c r="BP9" s="6" t="s">
        <v>130</v>
      </c>
      <c r="BQ9" s="6" t="s">
        <v>102</v>
      </c>
      <c r="BR9" s="6" t="s">
        <v>118</v>
      </c>
      <c r="BS9" s="6" t="s">
        <v>118</v>
      </c>
      <c r="BT9" s="6" t="s">
        <v>118</v>
      </c>
      <c r="BU9" s="6" t="s">
        <v>98</v>
      </c>
      <c r="BV9" s="6" t="s">
        <v>98</v>
      </c>
      <c r="BY9" s="6" t="s">
        <v>118</v>
      </c>
      <c r="BZ9" s="6" t="s">
        <v>118</v>
      </c>
      <c r="CA9" s="6" t="s">
        <v>118</v>
      </c>
      <c r="CB9" s="6" t="s">
        <v>100</v>
      </c>
      <c r="CD9" s="6" t="s">
        <v>108</v>
      </c>
      <c r="CE9" s="6" t="s">
        <v>108</v>
      </c>
      <c r="CG9" s="6" t="s">
        <v>108</v>
      </c>
      <c r="CH9" s="6" t="s">
        <v>130</v>
      </c>
      <c r="CM9" s="6" t="s">
        <v>81</v>
      </c>
      <c r="CO9" s="6" t="s">
        <v>130</v>
      </c>
      <c r="CQ9" s="6" t="s">
        <v>132</v>
      </c>
      <c r="CT9" s="6" t="s">
        <v>83</v>
      </c>
      <c r="CW9" s="6" t="s">
        <v>83</v>
      </c>
      <c r="CX9" s="6" t="s">
        <v>83</v>
      </c>
      <c r="CY9" s="6" t="s">
        <v>81</v>
      </c>
      <c r="CZ9" s="6" t="s">
        <v>83</v>
      </c>
      <c r="DA9" s="6" t="s">
        <v>102</v>
      </c>
      <c r="DB9" s="6" t="s">
        <v>102</v>
      </c>
    </row>
    <row r="10" spans="1:1002" x14ac:dyDescent="0.2">
      <c r="A10" t="str">
        <f>IFERROR(IF(ROW(A9)&lt;4,Dashboard!$A$2,IF(COUNTIF($A$3:A9,A9)&lt;COUNTA(Dashboard!$B:$B)-1, A9,IF(OR(A9="",INDEX(Dashboard!$A:$A,MATCH(A9,Dashboard!$A:$A,0)+1)=0),"",INDEX(Dashboard!$A:$A,MATCH(A9,Dashboard!$A:$A,0)+1)))),"")</f>
        <v>IRA</v>
      </c>
      <c r="B10" t="str">
        <f>IFERROR(IF(A10="","",IF(A10&lt;&gt;A9,Dashboard!$B$2,INDEX(Dashboard!$B:$B,MATCH(Source!B9,Dashboard!$B:$B,0)+1))),"")</f>
        <v>ATM</v>
      </c>
      <c r="K10" s="6" t="s">
        <v>108</v>
      </c>
      <c r="L10" s="6" t="s">
        <v>81</v>
      </c>
      <c r="P10" s="6" t="s">
        <v>108</v>
      </c>
      <c r="Q10" s="6" t="s">
        <v>108</v>
      </c>
      <c r="AG10" s="6" t="s">
        <v>108</v>
      </c>
      <c r="AI10" s="6" t="s">
        <v>108</v>
      </c>
      <c r="AJ10" s="6" t="s">
        <v>108</v>
      </c>
      <c r="AK10" s="6" t="s">
        <v>108</v>
      </c>
      <c r="AL10" s="6" t="s">
        <v>108</v>
      </c>
      <c r="AN10" s="6" t="s">
        <v>108</v>
      </c>
      <c r="AO10" s="6" t="s">
        <v>108</v>
      </c>
      <c r="AQ10" s="6" t="s">
        <v>108</v>
      </c>
      <c r="AS10" s="6" t="s">
        <v>108</v>
      </c>
      <c r="BB10" s="6" t="s">
        <v>108</v>
      </c>
      <c r="BC10" s="6" t="s">
        <v>108</v>
      </c>
      <c r="BI10" s="6" t="s">
        <v>108</v>
      </c>
      <c r="BM10" s="6" t="s">
        <v>108</v>
      </c>
      <c r="BR10" s="6" t="s">
        <v>108</v>
      </c>
      <c r="BS10" s="6" t="s">
        <v>108</v>
      </c>
      <c r="BT10" s="6" t="s">
        <v>108</v>
      </c>
      <c r="BY10" s="6" t="s">
        <v>108</v>
      </c>
      <c r="BZ10" s="6" t="s">
        <v>108</v>
      </c>
      <c r="CA10" s="6" t="s">
        <v>108</v>
      </c>
      <c r="CD10" s="6" t="s">
        <v>108</v>
      </c>
      <c r="CE10" s="6" t="s">
        <v>108</v>
      </c>
      <c r="CG10" s="6" t="s">
        <v>108</v>
      </c>
    </row>
    <row r="11" spans="1:1002" x14ac:dyDescent="0.2">
      <c r="A11" t="str">
        <f>IFERROR(IF(ROW(A10)&lt;4,Dashboard!$A$2,IF(COUNTIF($A$3:A10,A10)&lt;COUNTA(Dashboard!$B:$B)-1, A10,IF(OR(A10="",INDEX(Dashboard!$A:$A,MATCH(A10,Dashboard!$A:$A,0)+1)=0),"",INDEX(Dashboard!$A:$A,MATCH(A10,Dashboard!$A:$A,0)+1)))),"")</f>
        <v>IRA</v>
      </c>
      <c r="B11" t="str">
        <f>IFERROR(IF(A11="","",IF(A11&lt;&gt;A10,Dashboard!$B$2,INDEX(Dashboard!$B:$B,MATCH(Source!B10,Dashboard!$B:$B,0)+1))),"")</f>
        <v>Other</v>
      </c>
      <c r="C11" s="6" t="s">
        <v>13</v>
      </c>
      <c r="K11" s="6" t="s">
        <v>108</v>
      </c>
      <c r="P11" s="6" t="s">
        <v>108</v>
      </c>
      <c r="Q11" s="6" t="s">
        <v>108</v>
      </c>
      <c r="AG11" s="6" t="s">
        <v>108</v>
      </c>
      <c r="AH11" s="6" t="s">
        <v>76</v>
      </c>
      <c r="AI11" s="6" t="s">
        <v>109</v>
      </c>
      <c r="AJ11" s="6" t="s">
        <v>109</v>
      </c>
      <c r="AK11" s="6" t="s">
        <v>109</v>
      </c>
      <c r="AL11" s="6" t="s">
        <v>109</v>
      </c>
      <c r="AN11" s="6" t="s">
        <v>108</v>
      </c>
      <c r="AO11" s="6" t="s">
        <v>108</v>
      </c>
      <c r="AQ11" s="6" t="s">
        <v>108</v>
      </c>
      <c r="AS11" s="6" t="s">
        <v>108</v>
      </c>
      <c r="AU11" s="6" t="s">
        <v>16</v>
      </c>
      <c r="AV11" s="6" t="s">
        <v>76</v>
      </c>
      <c r="BA11" s="6" t="s">
        <v>75</v>
      </c>
      <c r="BB11" s="6" t="s">
        <v>108</v>
      </c>
      <c r="BC11" s="6" t="s">
        <v>108</v>
      </c>
      <c r="BI11" s="6" t="s">
        <v>108</v>
      </c>
      <c r="BM11" s="6" t="s">
        <v>108</v>
      </c>
      <c r="BR11" s="6" t="s">
        <v>108</v>
      </c>
      <c r="BS11" s="6" t="s">
        <v>108</v>
      </c>
      <c r="BT11" s="6" t="s">
        <v>108</v>
      </c>
      <c r="BY11" s="6" t="s">
        <v>108</v>
      </c>
      <c r="BZ11" s="6" t="s">
        <v>108</v>
      </c>
      <c r="CA11" s="6" t="s">
        <v>108</v>
      </c>
      <c r="CD11" s="6" t="s">
        <v>108</v>
      </c>
      <c r="CE11" s="6" t="s">
        <v>108</v>
      </c>
      <c r="CG11" s="6" t="s">
        <v>108</v>
      </c>
    </row>
    <row r="12" spans="1:1002" x14ac:dyDescent="0.2">
      <c r="A12" t="str">
        <f>IFERROR(IF(ROW(A11)&lt;4,Dashboard!$A$2,IF(COUNTIF($A$3:A11,A11)&lt;COUNTA(Dashboard!$B:$B)-1, A11,IF(OR(A11="",INDEX(Dashboard!$A:$A,MATCH(A11,Dashboard!$A:$A,0)+1)=0),"",INDEX(Dashboard!$A:$A,MATCH(A11,Dashboard!$A:$A,0)+1)))),"")</f>
        <v>Checking</v>
      </c>
      <c r="B12" t="str">
        <f>IFERROR(IF(A12="","",IF(A12&lt;&gt;A11,Dashboard!$B$2,INDEX(Dashboard!$B:$B,MATCH(Source!B11,Dashboard!$B:$B,0)+1))),"")</f>
        <v>Public Web</v>
      </c>
      <c r="C12" s="6" t="s">
        <v>76</v>
      </c>
      <c r="D12" s="6" t="s">
        <v>85</v>
      </c>
      <c r="E12" s="6" t="s">
        <v>85</v>
      </c>
      <c r="F12" s="6" t="s">
        <v>85</v>
      </c>
      <c r="G12" s="6" t="s">
        <v>85</v>
      </c>
      <c r="H12" s="6" t="s">
        <v>85</v>
      </c>
      <c r="I12" s="6" t="s">
        <v>83</v>
      </c>
      <c r="J12" s="6" t="s">
        <v>85</v>
      </c>
      <c r="K12" s="6" t="s">
        <v>16</v>
      </c>
      <c r="L12" s="6" t="s">
        <v>83</v>
      </c>
      <c r="M12" s="6" t="s">
        <v>85</v>
      </c>
      <c r="N12" s="6" t="s">
        <v>85</v>
      </c>
      <c r="O12" s="6" t="s">
        <v>85</v>
      </c>
      <c r="P12" s="6" t="s">
        <v>115</v>
      </c>
      <c r="Q12" s="6" t="s">
        <v>115</v>
      </c>
      <c r="R12" s="6" t="s">
        <v>115</v>
      </c>
      <c r="S12" s="6" t="s">
        <v>85</v>
      </c>
      <c r="T12" s="6" t="s">
        <v>85</v>
      </c>
      <c r="U12" s="6" t="s">
        <v>85</v>
      </c>
      <c r="V12" s="6" t="s">
        <v>83</v>
      </c>
      <c r="W12" s="6" t="s">
        <v>85</v>
      </c>
      <c r="X12" s="6" t="s">
        <v>85</v>
      </c>
      <c r="Y12" s="6" t="s">
        <v>85</v>
      </c>
      <c r="Z12" s="6" t="s">
        <v>85</v>
      </c>
      <c r="AA12" s="6" t="s">
        <v>85</v>
      </c>
      <c r="AB12" s="6" t="s">
        <v>76</v>
      </c>
      <c r="AC12" s="6" t="s">
        <v>108</v>
      </c>
      <c r="AD12" s="6" t="s">
        <v>108</v>
      </c>
      <c r="AE12" s="6" t="s">
        <v>108</v>
      </c>
      <c r="AF12" s="6" t="s">
        <v>108</v>
      </c>
      <c r="AM12" s="6" t="s">
        <v>79</v>
      </c>
      <c r="AP12" s="6" t="s">
        <v>108</v>
      </c>
      <c r="AQ12" s="6" t="s">
        <v>108</v>
      </c>
      <c r="AR12" s="6" t="s">
        <v>75</v>
      </c>
      <c r="AS12" s="6" t="s">
        <v>108</v>
      </c>
      <c r="AT12" s="6" t="s">
        <v>75</v>
      </c>
      <c r="AY12" s="6" t="s">
        <v>14</v>
      </c>
      <c r="BF12" s="6" t="s">
        <v>108</v>
      </c>
      <c r="BI12" s="6" t="s">
        <v>108</v>
      </c>
      <c r="BK12" s="6" t="s">
        <v>81</v>
      </c>
      <c r="BM12" s="6" t="s">
        <v>14</v>
      </c>
      <c r="BN12" s="6" t="s">
        <v>103</v>
      </c>
      <c r="BU12" s="6" t="s">
        <v>108</v>
      </c>
      <c r="BV12" s="6" t="s">
        <v>108</v>
      </c>
      <c r="BW12" s="6" t="s">
        <v>108</v>
      </c>
      <c r="BX12" s="6" t="s">
        <v>108</v>
      </c>
      <c r="CB12" s="6" t="s">
        <v>108</v>
      </c>
      <c r="CC12" s="6" t="s">
        <v>108</v>
      </c>
      <c r="CD12" s="6" t="s">
        <v>108</v>
      </c>
      <c r="CJ12" s="6" t="s">
        <v>108</v>
      </c>
      <c r="CK12" s="6" t="s">
        <v>108</v>
      </c>
      <c r="CQ12" s="6" t="s">
        <v>99</v>
      </c>
      <c r="CR12" s="6" t="s">
        <v>99</v>
      </c>
      <c r="CS12" s="6" t="s">
        <v>80</v>
      </c>
      <c r="CT12" s="6" t="s">
        <v>81</v>
      </c>
    </row>
    <row r="13" spans="1:1002" x14ac:dyDescent="0.2">
      <c r="A13" t="str">
        <f>IFERROR(IF(ROW(A12)&lt;4,Dashboard!$A$2,IF(COUNTIF($A$3:A12,A12)&lt;COUNTA(Dashboard!$B:$B)-1, A12,IF(OR(A12="",INDEX(Dashboard!$A:$A,MATCH(A12,Dashboard!$A:$A,0)+1)=0),"",INDEX(Dashboard!$A:$A,MATCH(A12,Dashboard!$A:$A,0)+1)))),"")</f>
        <v>Checking</v>
      </c>
      <c r="B13" t="str">
        <f>IFERROR(IF(A13="","",IF(A13&lt;&gt;A12,Dashboard!$B$2,INDEX(Dashboard!$B:$B,MATCH(Source!B12,Dashboard!$B:$B,0)+1))),"")</f>
        <v>Phone</v>
      </c>
      <c r="D13" s="6" t="s">
        <v>103</v>
      </c>
      <c r="I13" s="6" t="s">
        <v>124</v>
      </c>
      <c r="J13" s="6" t="s">
        <v>135</v>
      </c>
      <c r="K13" s="6" t="s">
        <v>16</v>
      </c>
      <c r="P13" s="6" t="s">
        <v>108</v>
      </c>
      <c r="Q13" s="6" t="s">
        <v>108</v>
      </c>
      <c r="R13" s="6" t="s">
        <v>108</v>
      </c>
      <c r="V13" s="6" t="s">
        <v>124</v>
      </c>
      <c r="W13" s="6" t="s">
        <v>92</v>
      </c>
      <c r="X13" s="6" t="s">
        <v>103</v>
      </c>
      <c r="Y13" s="6" t="s">
        <v>92</v>
      </c>
      <c r="AC13" s="6" t="s">
        <v>108</v>
      </c>
      <c r="AD13" s="6" t="s">
        <v>108</v>
      </c>
      <c r="AE13" s="6" t="s">
        <v>108</v>
      </c>
      <c r="AF13" s="6" t="s">
        <v>108</v>
      </c>
      <c r="AH13" s="6" t="s">
        <v>16</v>
      </c>
      <c r="AI13" s="6" t="s">
        <v>91</v>
      </c>
      <c r="AK13" s="6" t="s">
        <v>16</v>
      </c>
      <c r="AL13" s="6" t="s">
        <v>16</v>
      </c>
      <c r="AP13" s="6" t="s">
        <v>108</v>
      </c>
      <c r="AQ13" s="6" t="s">
        <v>108</v>
      </c>
      <c r="AS13" s="6" t="s">
        <v>108</v>
      </c>
      <c r="AU13" s="6" t="s">
        <v>103</v>
      </c>
      <c r="AX13" s="6" t="s">
        <v>16</v>
      </c>
      <c r="BA13" s="6" t="s">
        <v>81</v>
      </c>
      <c r="BD13" s="6" t="s">
        <v>16</v>
      </c>
      <c r="BE13" s="6" t="s">
        <v>94</v>
      </c>
      <c r="BF13" s="6" t="s">
        <v>121</v>
      </c>
      <c r="BH13" s="6" t="s">
        <v>91</v>
      </c>
      <c r="BI13" s="6" t="s">
        <v>139</v>
      </c>
      <c r="BK13" s="6" t="s">
        <v>81</v>
      </c>
      <c r="BL13" s="6" t="s">
        <v>94</v>
      </c>
      <c r="BN13" s="6" t="s">
        <v>92</v>
      </c>
      <c r="BP13" s="6" t="s">
        <v>91</v>
      </c>
      <c r="BQ13" s="6" t="s">
        <v>16</v>
      </c>
      <c r="BR13" s="6" t="s">
        <v>89</v>
      </c>
      <c r="BS13" s="6" t="s">
        <v>103</v>
      </c>
      <c r="BT13" s="6" t="s">
        <v>103</v>
      </c>
      <c r="BU13" s="6" t="s">
        <v>108</v>
      </c>
      <c r="BV13" s="6" t="s">
        <v>108</v>
      </c>
      <c r="BW13" s="6" t="s">
        <v>108</v>
      </c>
      <c r="BX13" s="6" t="s">
        <v>108</v>
      </c>
      <c r="BZ13" s="6" t="s">
        <v>81</v>
      </c>
      <c r="CA13" s="6" t="s">
        <v>81</v>
      </c>
      <c r="CB13" s="6" t="s">
        <v>108</v>
      </c>
      <c r="CC13" s="6" t="s">
        <v>108</v>
      </c>
      <c r="CD13" s="6" t="s">
        <v>108</v>
      </c>
      <c r="CI13" s="6" t="s">
        <v>91</v>
      </c>
      <c r="CJ13" s="6" t="s">
        <v>139</v>
      </c>
      <c r="CK13" s="6" t="s">
        <v>139</v>
      </c>
      <c r="CL13" s="6" t="s">
        <v>80</v>
      </c>
      <c r="CM13" s="6" t="s">
        <v>147</v>
      </c>
      <c r="CN13" s="6" t="s">
        <v>80</v>
      </c>
      <c r="CO13" s="6" t="s">
        <v>92</v>
      </c>
      <c r="CP13" s="6" t="s">
        <v>94</v>
      </c>
      <c r="CQ13" s="6" t="s">
        <v>75</v>
      </c>
      <c r="CT13" s="6" t="s">
        <v>16</v>
      </c>
      <c r="CU13" s="6" t="s">
        <v>91</v>
      </c>
      <c r="CV13" s="6" t="s">
        <v>147</v>
      </c>
      <c r="CW13" s="6" t="s">
        <v>26</v>
      </c>
      <c r="CZ13" s="6" t="s">
        <v>128</v>
      </c>
      <c r="DA13" s="6" t="s">
        <v>147</v>
      </c>
      <c r="DB13" s="6" t="s">
        <v>16</v>
      </c>
    </row>
    <row r="14" spans="1:1002" x14ac:dyDescent="0.2">
      <c r="A14" t="str">
        <f>IFERROR(IF(ROW(A13)&lt;4,Dashboard!$A$2,IF(COUNTIF($A$3:A13,A13)&lt;COUNTA(Dashboard!$B:$B)-1, A13,IF(OR(A13="",INDEX(Dashboard!$A:$A,MATCH(A13,Dashboard!$A:$A,0)+1)=0),"",INDEX(Dashboard!$A:$A,MATCH(A13,Dashboard!$A:$A,0)+1)))),"")</f>
        <v>Checking</v>
      </c>
      <c r="B14" t="str">
        <f>IFERROR(IF(A14="","",IF(A14&lt;&gt;A13,Dashboard!$B$2,INDEX(Dashboard!$B:$B,MATCH(Source!B13,Dashboard!$B:$B,0)+1))),"")</f>
        <v>Mail</v>
      </c>
      <c r="C14" s="6" t="s">
        <v>30</v>
      </c>
      <c r="P14" s="6" t="s">
        <v>108</v>
      </c>
      <c r="Q14" s="6" t="s">
        <v>108</v>
      </c>
      <c r="R14" s="6" t="s">
        <v>108</v>
      </c>
      <c r="AB14" s="6" t="s">
        <v>137</v>
      </c>
      <c r="AC14" s="6" t="s">
        <v>108</v>
      </c>
      <c r="AD14" s="6" t="s">
        <v>108</v>
      </c>
      <c r="AE14" s="6" t="s">
        <v>108</v>
      </c>
      <c r="AF14" s="6" t="s">
        <v>108</v>
      </c>
      <c r="AJ14" s="6" t="s">
        <v>128</v>
      </c>
      <c r="AP14" s="6" t="s">
        <v>108</v>
      </c>
      <c r="AQ14" s="6" t="s">
        <v>108</v>
      </c>
      <c r="AS14" s="6" t="s">
        <v>108</v>
      </c>
      <c r="AV14" s="6" t="s">
        <v>16</v>
      </c>
      <c r="BF14" s="6" t="s">
        <v>108</v>
      </c>
      <c r="BI14" s="6" t="s">
        <v>108</v>
      </c>
      <c r="BJ14" s="6" t="s">
        <v>81</v>
      </c>
      <c r="BK14" s="6" t="s">
        <v>81</v>
      </c>
      <c r="BL14" s="6" t="s">
        <v>16</v>
      </c>
      <c r="CF14" s="6" t="s">
        <v>91</v>
      </c>
      <c r="CG14" s="6" t="s">
        <v>91</v>
      </c>
      <c r="CK14" s="6" t="s">
        <v>108</v>
      </c>
      <c r="CO14" s="6" t="s">
        <v>16</v>
      </c>
      <c r="CP14" s="6" t="s">
        <v>16</v>
      </c>
      <c r="CU14" s="6" t="s">
        <v>16</v>
      </c>
      <c r="CV14" s="6" t="s">
        <v>16</v>
      </c>
      <c r="CX14" s="6" t="s">
        <v>149</v>
      </c>
    </row>
    <row r="15" spans="1:1002" x14ac:dyDescent="0.2">
      <c r="A15" t="str">
        <f>IFERROR(IF(ROW(A14)&lt;4,Dashboard!$A$2,IF(COUNTIF($A$3:A14,A14)&lt;COUNTA(Dashboard!$B:$B)-1, A14,IF(OR(A14="",INDEX(Dashboard!$A:$A,MATCH(A14,Dashboard!$A:$A,0)+1)=0),"",INDEX(Dashboard!$A:$A,MATCH(A14,Dashboard!$A:$A,0)+1)))),"")</f>
        <v>Checking</v>
      </c>
      <c r="B15" t="str">
        <f>IFERROR(IF(A15="","",IF(A15&lt;&gt;A14,Dashboard!$B$2,INDEX(Dashboard!$B:$B,MATCH(Source!B14,Dashboard!$B:$B,0)+1))),"")</f>
        <v>Mobile</v>
      </c>
      <c r="K15" s="6" t="s">
        <v>134</v>
      </c>
      <c r="P15" s="6" t="s">
        <v>108</v>
      </c>
      <c r="Q15" s="6" t="s">
        <v>108</v>
      </c>
      <c r="R15" s="6" t="s">
        <v>108</v>
      </c>
      <c r="AC15" s="6" t="s">
        <v>108</v>
      </c>
      <c r="AD15" s="6" t="s">
        <v>108</v>
      </c>
      <c r="AE15" s="6" t="s">
        <v>108</v>
      </c>
      <c r="AF15" s="6" t="s">
        <v>108</v>
      </c>
      <c r="AG15" s="6" t="s">
        <v>14</v>
      </c>
      <c r="AH15" s="6" t="s">
        <v>16</v>
      </c>
      <c r="AK15" s="6" t="s">
        <v>95</v>
      </c>
      <c r="AL15" s="6" t="s">
        <v>95</v>
      </c>
      <c r="AN15" s="6" t="s">
        <v>30</v>
      </c>
      <c r="AO15" s="6" t="s">
        <v>75</v>
      </c>
      <c r="AP15" s="6" t="s">
        <v>108</v>
      </c>
      <c r="AQ15" s="6" t="s">
        <v>108</v>
      </c>
      <c r="AS15" s="6" t="s">
        <v>108</v>
      </c>
      <c r="AT15" s="6" t="s">
        <v>75</v>
      </c>
      <c r="AU15" s="6" t="s">
        <v>16</v>
      </c>
      <c r="AV15" s="6" t="s">
        <v>143</v>
      </c>
      <c r="AW15" s="6" t="s">
        <v>133</v>
      </c>
      <c r="AX15" s="6" t="s">
        <v>29</v>
      </c>
      <c r="BA15" s="6" t="s">
        <v>30</v>
      </c>
      <c r="BC15" s="6" t="s">
        <v>81</v>
      </c>
      <c r="BD15" s="6" t="s">
        <v>14</v>
      </c>
      <c r="BF15" s="6" t="s">
        <v>108</v>
      </c>
      <c r="BI15" s="6" t="s">
        <v>108</v>
      </c>
      <c r="BJ15" s="6" t="s">
        <v>81</v>
      </c>
      <c r="BL15" s="6" t="s">
        <v>16</v>
      </c>
      <c r="BM15" s="6" t="s">
        <v>84</v>
      </c>
      <c r="BN15" s="6" t="s">
        <v>103</v>
      </c>
      <c r="BO15" s="6" t="s">
        <v>14</v>
      </c>
      <c r="BQ15" s="6" t="s">
        <v>81</v>
      </c>
      <c r="CE15" s="6" t="s">
        <v>81</v>
      </c>
      <c r="CH15" s="6" t="s">
        <v>30</v>
      </c>
      <c r="CK15" s="6" t="s">
        <v>108</v>
      </c>
      <c r="CO15" s="6" t="s">
        <v>81</v>
      </c>
      <c r="CQ15" s="6" t="s">
        <v>81</v>
      </c>
      <c r="CR15" s="6" t="s">
        <v>81</v>
      </c>
      <c r="CT15" s="6" t="s">
        <v>75</v>
      </c>
    </row>
    <row r="16" spans="1:1002" x14ac:dyDescent="0.2">
      <c r="A16" t="str">
        <f>IFERROR(IF(ROW(A15)&lt;4,Dashboard!$A$2,IF(COUNTIF($A$3:A15,A15)&lt;COUNTA(Dashboard!$B:$B)-1, A15,IF(OR(A15="",INDEX(Dashboard!$A:$A,MATCH(A15,Dashboard!$A:$A,0)+1)=0),"",INDEX(Dashboard!$A:$A,MATCH(A15,Dashboard!$A:$A,0)+1)))),"")</f>
        <v>Checking</v>
      </c>
      <c r="B16" t="str">
        <f>IFERROR(IF(A16="","",IF(A16&lt;&gt;A15,Dashboard!$B$2,INDEX(Dashboard!$B:$B,MATCH(Source!B15,Dashboard!$B:$B,0)+1))),"")</f>
        <v>IVR</v>
      </c>
      <c r="P16" s="6" t="s">
        <v>108</v>
      </c>
      <c r="Q16" s="6" t="s">
        <v>108</v>
      </c>
      <c r="R16" s="6" t="s">
        <v>108</v>
      </c>
      <c r="AC16" s="6" t="s">
        <v>108</v>
      </c>
      <c r="AD16" s="6" t="s">
        <v>108</v>
      </c>
      <c r="AE16" s="6" t="s">
        <v>108</v>
      </c>
      <c r="AF16" s="6" t="s">
        <v>108</v>
      </c>
      <c r="AH16" s="6" t="s">
        <v>16</v>
      </c>
      <c r="AK16" s="6" t="s">
        <v>103</v>
      </c>
      <c r="AL16" s="6" t="s">
        <v>16</v>
      </c>
      <c r="AP16" s="6" t="s">
        <v>108</v>
      </c>
      <c r="AQ16" s="6" t="s">
        <v>108</v>
      </c>
      <c r="AS16" s="6" t="s">
        <v>108</v>
      </c>
      <c r="AX16" s="6" t="s">
        <v>16</v>
      </c>
      <c r="BD16" s="6" t="s">
        <v>81</v>
      </c>
      <c r="BF16" s="6" t="s">
        <v>108</v>
      </c>
      <c r="BI16" s="6" t="s">
        <v>108</v>
      </c>
      <c r="BO16" s="6" t="s">
        <v>75</v>
      </c>
      <c r="BS16" s="6" t="s">
        <v>89</v>
      </c>
      <c r="BT16" s="6" t="s">
        <v>26</v>
      </c>
      <c r="BU16" s="6" t="s">
        <v>139</v>
      </c>
      <c r="BV16" s="6" t="s">
        <v>139</v>
      </c>
      <c r="BW16" s="6" t="s">
        <v>139</v>
      </c>
      <c r="BX16" s="6" t="s">
        <v>139</v>
      </c>
      <c r="CB16" s="6" t="s">
        <v>108</v>
      </c>
      <c r="CC16" s="6" t="s">
        <v>108</v>
      </c>
      <c r="CD16" s="6" t="s">
        <v>108</v>
      </c>
      <c r="CK16" s="6" t="s">
        <v>108</v>
      </c>
      <c r="CQ16" s="6" t="s">
        <v>81</v>
      </c>
      <c r="CR16" s="6" t="s">
        <v>81</v>
      </c>
    </row>
    <row r="17" spans="1:106" x14ac:dyDescent="0.2">
      <c r="A17" t="str">
        <f>IFERROR(IF(ROW(A16)&lt;4,Dashboard!$A$2,IF(COUNTIF($A$3:A16,A16)&lt;COUNTA(Dashboard!$B:$B)-1, A16,IF(OR(A16="",INDEX(Dashboard!$A:$A,MATCH(A16,Dashboard!$A:$A,0)+1)=0),"",INDEX(Dashboard!$A:$A,MATCH(A16,Dashboard!$A:$A,0)+1)))),"")</f>
        <v>Checking</v>
      </c>
      <c r="B17" t="str">
        <f>IFERROR(IF(A17="","",IF(A17&lt;&gt;A16,Dashboard!$B$2,INDEX(Dashboard!$B:$B,MATCH(Source!B16,Dashboard!$B:$B,0)+1))),"")</f>
        <v>Account Center</v>
      </c>
      <c r="D17" s="6" t="s">
        <v>89</v>
      </c>
      <c r="E17" s="6" t="s">
        <v>135</v>
      </c>
      <c r="F17" s="6" t="s">
        <v>27</v>
      </c>
      <c r="G17" s="6" t="s">
        <v>135</v>
      </c>
      <c r="H17" s="6" t="s">
        <v>92</v>
      </c>
      <c r="I17" s="6" t="s">
        <v>81</v>
      </c>
      <c r="J17" s="6" t="s">
        <v>14</v>
      </c>
      <c r="K17" s="6" t="s">
        <v>103</v>
      </c>
      <c r="L17" s="6" t="s">
        <v>136</v>
      </c>
      <c r="M17" s="6" t="s">
        <v>89</v>
      </c>
      <c r="N17" s="6" t="s">
        <v>138</v>
      </c>
      <c r="O17" s="6" t="s">
        <v>27</v>
      </c>
      <c r="P17" s="6" t="s">
        <v>139</v>
      </c>
      <c r="Q17" s="6" t="s">
        <v>139</v>
      </c>
      <c r="R17" s="6" t="s">
        <v>139</v>
      </c>
      <c r="S17" s="6" t="s">
        <v>26</v>
      </c>
      <c r="T17" s="6" t="s">
        <v>89</v>
      </c>
      <c r="U17" s="6" t="s">
        <v>89</v>
      </c>
      <c r="V17" s="6" t="s">
        <v>81</v>
      </c>
      <c r="X17" s="6" t="s">
        <v>26</v>
      </c>
      <c r="AA17" s="6" t="s">
        <v>27</v>
      </c>
      <c r="AC17" s="6" t="s">
        <v>127</v>
      </c>
      <c r="AD17" s="6" t="s">
        <v>127</v>
      </c>
      <c r="AE17" s="6" t="s">
        <v>127</v>
      </c>
      <c r="AF17" s="6" t="s">
        <v>127</v>
      </c>
      <c r="AG17" s="6" t="s">
        <v>140</v>
      </c>
      <c r="AH17" s="6" t="s">
        <v>141</v>
      </c>
      <c r="AI17" s="6" t="s">
        <v>120</v>
      </c>
      <c r="AK17" s="6" t="s">
        <v>27</v>
      </c>
      <c r="AL17" s="6" t="s">
        <v>91</v>
      </c>
      <c r="AN17" s="6" t="s">
        <v>25</v>
      </c>
      <c r="AO17" s="6" t="s">
        <v>25</v>
      </c>
      <c r="AP17" s="6" t="s">
        <v>127</v>
      </c>
      <c r="AQ17" s="6" t="s">
        <v>127</v>
      </c>
      <c r="AR17" s="6" t="s">
        <v>79</v>
      </c>
      <c r="AS17" s="6" t="s">
        <v>127</v>
      </c>
      <c r="AT17" s="6" t="s">
        <v>79</v>
      </c>
      <c r="AU17" s="6" t="s">
        <v>142</v>
      </c>
      <c r="AW17" s="6" t="s">
        <v>117</v>
      </c>
      <c r="AX17" s="6" t="s">
        <v>80</v>
      </c>
      <c r="AY17" s="6" t="s">
        <v>88</v>
      </c>
      <c r="AZ17" s="6" t="s">
        <v>88</v>
      </c>
      <c r="BA17" s="6" t="s">
        <v>79</v>
      </c>
      <c r="BC17" s="6" t="s">
        <v>80</v>
      </c>
      <c r="BD17" s="6" t="s">
        <v>80</v>
      </c>
      <c r="BE17" s="6" t="s">
        <v>83</v>
      </c>
      <c r="BF17" s="6" t="s">
        <v>118</v>
      </c>
      <c r="BH17" s="6" t="s">
        <v>83</v>
      </c>
      <c r="BI17" s="6" t="s">
        <v>118</v>
      </c>
      <c r="BJ17" s="6" t="s">
        <v>80</v>
      </c>
      <c r="BK17" s="6" t="s">
        <v>80</v>
      </c>
      <c r="BL17" s="6" t="s">
        <v>102</v>
      </c>
      <c r="BN17" s="6" t="s">
        <v>90</v>
      </c>
      <c r="BO17" s="6" t="s">
        <v>96</v>
      </c>
      <c r="BP17" s="6" t="s">
        <v>85</v>
      </c>
      <c r="BQ17" s="6" t="s">
        <v>96</v>
      </c>
      <c r="BR17" s="6" t="s">
        <v>144</v>
      </c>
      <c r="BS17" s="6" t="s">
        <v>145</v>
      </c>
      <c r="BT17" s="6" t="s">
        <v>145</v>
      </c>
      <c r="BU17" s="6" t="s">
        <v>146</v>
      </c>
      <c r="BV17" s="6" t="s">
        <v>146</v>
      </c>
      <c r="BW17" s="6" t="s">
        <v>146</v>
      </c>
      <c r="BX17" s="6" t="s">
        <v>146</v>
      </c>
      <c r="BY17" s="6" t="s">
        <v>80</v>
      </c>
      <c r="BZ17" s="6" t="s">
        <v>79</v>
      </c>
      <c r="CA17" s="6" t="s">
        <v>79</v>
      </c>
      <c r="CB17" s="6" t="s">
        <v>127</v>
      </c>
      <c r="CC17" s="6" t="s">
        <v>127</v>
      </c>
      <c r="CD17" s="6" t="s">
        <v>127</v>
      </c>
      <c r="CE17" s="6" t="s">
        <v>80</v>
      </c>
      <c r="CF17" s="6" t="s">
        <v>85</v>
      </c>
      <c r="CG17" s="6" t="s">
        <v>85</v>
      </c>
      <c r="CH17" s="6" t="s">
        <v>79</v>
      </c>
      <c r="CI17" s="6" t="s">
        <v>85</v>
      </c>
      <c r="CJ17" s="6" t="s">
        <v>85</v>
      </c>
      <c r="CK17" s="6" t="s">
        <v>95</v>
      </c>
      <c r="CM17" s="6" t="s">
        <v>76</v>
      </c>
      <c r="CO17" s="6" t="s">
        <v>88</v>
      </c>
      <c r="CP17" s="6" t="s">
        <v>83</v>
      </c>
      <c r="CQ17" s="6" t="s">
        <v>148</v>
      </c>
      <c r="CR17" s="6" t="s">
        <v>148</v>
      </c>
      <c r="CT17" s="6" t="s">
        <v>79</v>
      </c>
      <c r="CU17" s="6" t="s">
        <v>144</v>
      </c>
      <c r="CV17" s="6" t="s">
        <v>76</v>
      </c>
      <c r="CW17" s="6" t="s">
        <v>85</v>
      </c>
      <c r="CX17" s="6" t="s">
        <v>76</v>
      </c>
      <c r="CY17" s="6" t="s">
        <v>128</v>
      </c>
      <c r="DA17" s="6" t="s">
        <v>76</v>
      </c>
      <c r="DB17" s="6" t="s">
        <v>128</v>
      </c>
    </row>
    <row r="18" spans="1:106" x14ac:dyDescent="0.2">
      <c r="A18" t="str">
        <f>IFERROR(IF(ROW(A17)&lt;4,Dashboard!$A$2,IF(COUNTIF($A$3:A17,A17)&lt;COUNTA(Dashboard!$B:$B)-1, A17,IF(OR(A17="",INDEX(Dashboard!$A:$A,MATCH(A17,Dashboard!$A:$A,0)+1)=0),"",INDEX(Dashboard!$A:$A,MATCH(A17,Dashboard!$A:$A,0)+1)))),"")</f>
        <v>Checking</v>
      </c>
      <c r="B18" t="str">
        <f>IFERROR(IF(A18="","",IF(A18&lt;&gt;A17,Dashboard!$B$2,INDEX(Dashboard!$B:$B,MATCH(Source!B17,Dashboard!$B:$B,0)+1))),"")</f>
        <v>ATM</v>
      </c>
      <c r="P18" s="6" t="s">
        <v>108</v>
      </c>
      <c r="Q18" s="6" t="s">
        <v>108</v>
      </c>
      <c r="R18" s="6" t="s">
        <v>108</v>
      </c>
      <c r="AC18" s="6" t="s">
        <v>108</v>
      </c>
      <c r="AD18" s="6" t="s">
        <v>108</v>
      </c>
      <c r="AE18" s="6" t="s">
        <v>108</v>
      </c>
      <c r="AF18" s="6" t="s">
        <v>108</v>
      </c>
      <c r="AP18" s="6" t="s">
        <v>108</v>
      </c>
      <c r="AQ18" s="6" t="s">
        <v>108</v>
      </c>
      <c r="AS18" s="6" t="s">
        <v>108</v>
      </c>
      <c r="BF18" s="6" t="s">
        <v>108</v>
      </c>
      <c r="BG18" s="6" t="s">
        <v>80</v>
      </c>
      <c r="BI18" s="6" t="s">
        <v>108</v>
      </c>
    </row>
    <row r="19" spans="1:106" x14ac:dyDescent="0.2">
      <c r="A19" t="str">
        <f>IFERROR(IF(ROW(A18)&lt;4,Dashboard!$A$2,IF(COUNTIF($A$3:A18,A18)&lt;COUNTA(Dashboard!$B:$B)-1, A18,IF(OR(A18="",INDEX(Dashboard!$A:$A,MATCH(A18,Dashboard!$A:$A,0)+1)=0),"",INDEX(Dashboard!$A:$A,MATCH(A18,Dashboard!$A:$A,0)+1)))),"")</f>
        <v>Checking</v>
      </c>
      <c r="B19" t="str">
        <f>IFERROR(IF(A19="","",IF(A19&lt;&gt;A18,Dashboard!$B$2,INDEX(Dashboard!$B:$B,MATCH(Source!B18,Dashboard!$B:$B,0)+1))),"")</f>
        <v>Other</v>
      </c>
      <c r="C19" s="6" t="s">
        <v>117</v>
      </c>
      <c r="P19" s="6" t="s">
        <v>108</v>
      </c>
      <c r="Q19" s="6" t="s">
        <v>108</v>
      </c>
      <c r="R19" s="6" t="s">
        <v>108</v>
      </c>
      <c r="Z19" s="6" t="s">
        <v>89</v>
      </c>
      <c r="AC19" s="6" t="s">
        <v>108</v>
      </c>
      <c r="AD19" s="6" t="s">
        <v>108</v>
      </c>
      <c r="AE19" s="6" t="s">
        <v>108</v>
      </c>
      <c r="AF19" s="6" t="s">
        <v>108</v>
      </c>
      <c r="AP19" s="6" t="s">
        <v>108</v>
      </c>
      <c r="AQ19" s="6" t="s">
        <v>108</v>
      </c>
      <c r="AS19" s="6" t="s">
        <v>108</v>
      </c>
      <c r="AY19" s="6" t="s">
        <v>27</v>
      </c>
      <c r="AZ19" s="6" t="s">
        <v>27</v>
      </c>
      <c r="BB19" s="6" t="s">
        <v>80</v>
      </c>
      <c r="BC19" s="6" t="s">
        <v>30</v>
      </c>
      <c r="BF19" s="6" t="s">
        <v>108</v>
      </c>
      <c r="BG19" s="6" t="s">
        <v>30</v>
      </c>
      <c r="BI19" s="6" t="s">
        <v>108</v>
      </c>
    </row>
    <row r="20" spans="1:106" x14ac:dyDescent="0.2">
      <c r="A20" t="str">
        <f>IFERROR(IF(ROW(A19)&lt;4,Dashboard!$A$2,IF(COUNTIF($A$3:A19,A19)&lt;COUNTA(Dashboard!$B:$B)-1, A19,IF(OR(A19="",INDEX(Dashboard!$A:$A,MATCH(A19,Dashboard!$A:$A,0)+1)=0),"",INDEX(Dashboard!$A:$A,MATCH(A19,Dashboard!$A:$A,0)+1)))),"")</f>
        <v>Savings</v>
      </c>
      <c r="B20" t="str">
        <f>IFERROR(IF(A20="","",IF(A20&lt;&gt;A19,Dashboard!$B$2,INDEX(Dashboard!$B:$B,MATCH(Source!B19,Dashboard!$B:$B,0)+1))),"")</f>
        <v>Public Web</v>
      </c>
      <c r="C20" s="6" t="s">
        <v>76</v>
      </c>
      <c r="D20" s="6" t="s">
        <v>79</v>
      </c>
      <c r="E20" s="6" t="s">
        <v>78</v>
      </c>
      <c r="F20" s="6" t="s">
        <v>78</v>
      </c>
      <c r="G20" s="6" t="s">
        <v>80</v>
      </c>
      <c r="H20" s="6" t="s">
        <v>84</v>
      </c>
      <c r="I20" s="6" t="s">
        <v>83</v>
      </c>
      <c r="J20" s="6" t="s">
        <v>84</v>
      </c>
      <c r="K20" s="6" t="s">
        <v>127</v>
      </c>
      <c r="L20" s="6" t="s">
        <v>16</v>
      </c>
      <c r="M20" s="6" t="s">
        <v>80</v>
      </c>
      <c r="N20" s="6" t="s">
        <v>78</v>
      </c>
      <c r="O20" s="6" t="s">
        <v>84</v>
      </c>
      <c r="P20" s="6" t="s">
        <v>78</v>
      </c>
      <c r="Q20" s="6" t="s">
        <v>127</v>
      </c>
      <c r="R20" s="6" t="s">
        <v>127</v>
      </c>
      <c r="S20" s="6" t="s">
        <v>84</v>
      </c>
      <c r="T20" s="6" t="s">
        <v>95</v>
      </c>
      <c r="U20" s="6" t="s">
        <v>142</v>
      </c>
      <c r="V20" s="6" t="s">
        <v>100</v>
      </c>
      <c r="X20" s="6" t="s">
        <v>80</v>
      </c>
      <c r="Y20" s="6" t="s">
        <v>85</v>
      </c>
      <c r="AA20" s="6" t="s">
        <v>16</v>
      </c>
      <c r="AC20" s="6" t="s">
        <v>79</v>
      </c>
      <c r="AD20" s="6" t="s">
        <v>127</v>
      </c>
      <c r="AJ20" s="6" t="s">
        <v>108</v>
      </c>
      <c r="AK20" s="6" t="s">
        <v>108</v>
      </c>
      <c r="AL20" s="6" t="s">
        <v>108</v>
      </c>
      <c r="AM20" s="6" t="s">
        <v>79</v>
      </c>
      <c r="AO20" s="6" t="s">
        <v>108</v>
      </c>
      <c r="AP20" s="6" t="s">
        <v>108</v>
      </c>
      <c r="AR20" s="6" t="s">
        <v>30</v>
      </c>
      <c r="AS20" s="6" t="s">
        <v>79</v>
      </c>
      <c r="AT20" s="6" t="s">
        <v>30</v>
      </c>
      <c r="AU20" s="6" t="s">
        <v>16</v>
      </c>
      <c r="AY20" s="6" t="s">
        <v>80</v>
      </c>
      <c r="BB20" s="6" t="s">
        <v>108</v>
      </c>
      <c r="BC20" s="6" t="s">
        <v>108</v>
      </c>
      <c r="BF20" s="6" t="s">
        <v>108</v>
      </c>
      <c r="BI20" s="6" t="s">
        <v>108</v>
      </c>
      <c r="BK20" s="6" t="s">
        <v>14</v>
      </c>
      <c r="BM20" s="6" t="s">
        <v>108</v>
      </c>
      <c r="BR20" s="6" t="s">
        <v>108</v>
      </c>
      <c r="BS20" s="6" t="s">
        <v>108</v>
      </c>
      <c r="BT20" s="6" t="s">
        <v>108</v>
      </c>
      <c r="BU20" s="6" t="s">
        <v>79</v>
      </c>
      <c r="BV20" s="6" t="s">
        <v>108</v>
      </c>
      <c r="BW20" s="6" t="s">
        <v>108</v>
      </c>
      <c r="BX20" s="6" t="s">
        <v>108</v>
      </c>
      <c r="BY20" s="6" t="s">
        <v>108</v>
      </c>
      <c r="BZ20" s="6" t="s">
        <v>75</v>
      </c>
      <c r="CQ20" s="6" t="s">
        <v>79</v>
      </c>
      <c r="CR20" s="6" t="s">
        <v>85</v>
      </c>
      <c r="CS20" s="6" t="s">
        <v>80</v>
      </c>
      <c r="CT20" s="6" t="s">
        <v>75</v>
      </c>
    </row>
    <row r="21" spans="1:106" x14ac:dyDescent="0.2">
      <c r="A21" t="str">
        <f>IFERROR(IF(ROW(A20)&lt;4,Dashboard!$A$2,IF(COUNTIF($A$3:A20,A20)&lt;COUNTA(Dashboard!$B:$B)-1, A20,IF(OR(A20="",INDEX(Dashboard!$A:$A,MATCH(A20,Dashboard!$A:$A,0)+1)=0),"",INDEX(Dashboard!$A:$A,MATCH(A20,Dashboard!$A:$A,0)+1)))),"")</f>
        <v>Savings</v>
      </c>
      <c r="B21" t="str">
        <f>IFERROR(IF(A21="","",IF(A21&lt;&gt;A20,Dashboard!$B$2,INDEX(Dashboard!$B:$B,MATCH(Source!B20,Dashboard!$B:$B,0)+1))),"")</f>
        <v>Phone</v>
      </c>
      <c r="I21" s="6" t="s">
        <v>124</v>
      </c>
      <c r="K21" s="6" t="s">
        <v>108</v>
      </c>
      <c r="L21" s="6" t="s">
        <v>150</v>
      </c>
      <c r="M21" s="6" t="s">
        <v>81</v>
      </c>
      <c r="O21" s="6" t="s">
        <v>14</v>
      </c>
      <c r="P21" s="6" t="s">
        <v>81</v>
      </c>
      <c r="Q21" s="6" t="s">
        <v>108</v>
      </c>
      <c r="R21" s="6" t="s">
        <v>108</v>
      </c>
      <c r="U21" s="6" t="s">
        <v>16</v>
      </c>
      <c r="V21" s="6" t="s">
        <v>136</v>
      </c>
      <c r="W21" s="6" t="s">
        <v>84</v>
      </c>
      <c r="X21" s="6" t="s">
        <v>14</v>
      </c>
      <c r="Y21" s="6" t="s">
        <v>89</v>
      </c>
      <c r="AA21" s="6" t="s">
        <v>150</v>
      </c>
      <c r="AC21" s="6" t="s">
        <v>75</v>
      </c>
      <c r="AD21" s="6" t="s">
        <v>108</v>
      </c>
      <c r="AF21" s="6" t="s">
        <v>89</v>
      </c>
      <c r="AG21" s="6" t="s">
        <v>135</v>
      </c>
      <c r="AH21" s="6" t="s">
        <v>135</v>
      </c>
      <c r="AI21" s="6" t="s">
        <v>26</v>
      </c>
      <c r="AJ21" s="6" t="s">
        <v>139</v>
      </c>
      <c r="AK21" s="6" t="s">
        <v>139</v>
      </c>
      <c r="AL21" s="6" t="s">
        <v>139</v>
      </c>
      <c r="AU21" s="6" t="s">
        <v>103</v>
      </c>
      <c r="AX21" s="6" t="s">
        <v>75</v>
      </c>
      <c r="AY21" s="6" t="s">
        <v>81</v>
      </c>
      <c r="AZ21" s="6" t="s">
        <v>75</v>
      </c>
      <c r="BA21" s="6" t="s">
        <v>16</v>
      </c>
      <c r="BB21" s="6" t="s">
        <v>108</v>
      </c>
      <c r="BC21" s="6" t="s">
        <v>108</v>
      </c>
      <c r="BD21" s="6" t="s">
        <v>81</v>
      </c>
      <c r="BE21" s="6" t="s">
        <v>94</v>
      </c>
      <c r="BF21" s="6" t="s">
        <v>121</v>
      </c>
      <c r="BH21" s="6" t="s">
        <v>89</v>
      </c>
      <c r="BI21" s="6" t="s">
        <v>139</v>
      </c>
      <c r="BK21" s="6" t="s">
        <v>103</v>
      </c>
      <c r="BL21" s="6" t="s">
        <v>94</v>
      </c>
      <c r="BM21" s="6" t="s">
        <v>121</v>
      </c>
      <c r="BN21" s="6" t="s">
        <v>91</v>
      </c>
      <c r="BP21" s="6" t="s">
        <v>27</v>
      </c>
      <c r="BQ21" s="6" t="s">
        <v>14</v>
      </c>
      <c r="BR21" s="6" t="s">
        <v>108</v>
      </c>
      <c r="BS21" s="6" t="s">
        <v>108</v>
      </c>
      <c r="BT21" s="6" t="s">
        <v>108</v>
      </c>
      <c r="BU21" s="6" t="s">
        <v>81</v>
      </c>
      <c r="BV21" s="6" t="s">
        <v>108</v>
      </c>
      <c r="BW21" s="6" t="s">
        <v>108</v>
      </c>
      <c r="BX21" s="6" t="s">
        <v>108</v>
      </c>
      <c r="BY21" s="6" t="s">
        <v>108</v>
      </c>
      <c r="CC21" s="6" t="s">
        <v>89</v>
      </c>
      <c r="CD21" s="6" t="s">
        <v>75</v>
      </c>
      <c r="CI21" s="6" t="s">
        <v>91</v>
      </c>
      <c r="CJ21" s="6" t="s">
        <v>149</v>
      </c>
      <c r="CK21" s="6" t="s">
        <v>154</v>
      </c>
      <c r="CL21" s="6" t="s">
        <v>155</v>
      </c>
      <c r="CM21" s="6" t="s">
        <v>91</v>
      </c>
      <c r="CN21" s="6" t="s">
        <v>156</v>
      </c>
      <c r="CO21" s="6" t="s">
        <v>27</v>
      </c>
      <c r="CP21" s="6" t="s">
        <v>94</v>
      </c>
      <c r="CQ21" s="6" t="s">
        <v>81</v>
      </c>
      <c r="CT21" s="6" t="s">
        <v>14</v>
      </c>
      <c r="CU21" s="6" t="s">
        <v>157</v>
      </c>
      <c r="CV21" s="6" t="s">
        <v>157</v>
      </c>
      <c r="CW21" s="6" t="s">
        <v>89</v>
      </c>
      <c r="CZ21" s="6" t="s">
        <v>91</v>
      </c>
      <c r="DA21" s="6" t="s">
        <v>89</v>
      </c>
      <c r="DB21" s="6" t="s">
        <v>91</v>
      </c>
    </row>
    <row r="22" spans="1:106" x14ac:dyDescent="0.2">
      <c r="A22" t="str">
        <f>IFERROR(IF(ROW(A21)&lt;4,Dashboard!$A$2,IF(COUNTIF($A$3:A21,A21)&lt;COUNTA(Dashboard!$B:$B)-1, A21,IF(OR(A21="",INDEX(Dashboard!$A:$A,MATCH(A21,Dashboard!$A:$A,0)+1)=0),"",INDEX(Dashboard!$A:$A,MATCH(A21,Dashboard!$A:$A,0)+1)))),"")</f>
        <v>Savings</v>
      </c>
      <c r="B22" t="str">
        <f>IFERROR(IF(A22="","",IF(A22&lt;&gt;A21,Dashboard!$B$2,INDEX(Dashboard!$B:$B,MATCH(Source!B21,Dashboard!$B:$B,0)+1))),"")</f>
        <v>Mail</v>
      </c>
      <c r="K22" s="6" t="s">
        <v>108</v>
      </c>
      <c r="Q22" s="6" t="s">
        <v>108</v>
      </c>
      <c r="R22" s="6" t="s">
        <v>108</v>
      </c>
      <c r="T22" s="6" t="s">
        <v>27</v>
      </c>
      <c r="U22" s="6" t="s">
        <v>16</v>
      </c>
      <c r="X22" s="6" t="s">
        <v>14</v>
      </c>
      <c r="Z22" s="6" t="s">
        <v>14</v>
      </c>
      <c r="AB22" s="6" t="s">
        <v>79</v>
      </c>
      <c r="AD22" s="6" t="s">
        <v>108</v>
      </c>
      <c r="AE22" s="6" t="s">
        <v>89</v>
      </c>
      <c r="AF22" s="6" t="s">
        <v>14</v>
      </c>
      <c r="AV22" s="6" t="s">
        <v>27</v>
      </c>
      <c r="AX22" s="6" t="s">
        <v>30</v>
      </c>
      <c r="AY22" s="6" t="s">
        <v>16</v>
      </c>
      <c r="AZ22" s="6" t="s">
        <v>30</v>
      </c>
      <c r="BB22" s="6" t="s">
        <v>108</v>
      </c>
      <c r="BC22" s="6" t="s">
        <v>108</v>
      </c>
      <c r="BD22" s="6" t="s">
        <v>30</v>
      </c>
      <c r="BF22" s="6" t="s">
        <v>108</v>
      </c>
      <c r="BI22" s="6" t="s">
        <v>108</v>
      </c>
      <c r="BJ22" s="6" t="s">
        <v>89</v>
      </c>
      <c r="BK22" s="6" t="s">
        <v>92</v>
      </c>
      <c r="BL22" s="6" t="s">
        <v>16</v>
      </c>
      <c r="BM22" s="6" t="s">
        <v>108</v>
      </c>
      <c r="BR22" s="6" t="s">
        <v>108</v>
      </c>
      <c r="BS22" s="6" t="s">
        <v>108</v>
      </c>
      <c r="BT22" s="6" t="s">
        <v>108</v>
      </c>
      <c r="BV22" s="6" t="s">
        <v>108</v>
      </c>
      <c r="BW22" s="6" t="s">
        <v>108</v>
      </c>
      <c r="BX22" s="6" t="s">
        <v>108</v>
      </c>
      <c r="BY22" s="6" t="s">
        <v>108</v>
      </c>
      <c r="CF22" s="6" t="s">
        <v>91</v>
      </c>
      <c r="CG22" s="6" t="s">
        <v>91</v>
      </c>
      <c r="CH22" s="6" t="s">
        <v>30</v>
      </c>
      <c r="CO22" s="6" t="s">
        <v>16</v>
      </c>
      <c r="CP22" s="6" t="s">
        <v>16</v>
      </c>
      <c r="CU22" s="6" t="s">
        <v>16</v>
      </c>
      <c r="CV22" s="6" t="s">
        <v>16</v>
      </c>
      <c r="CX22" s="6" t="s">
        <v>156</v>
      </c>
    </row>
    <row r="23" spans="1:106" x14ac:dyDescent="0.2">
      <c r="A23" t="str">
        <f>IFERROR(IF(ROW(A22)&lt;4,Dashboard!$A$2,IF(COUNTIF($A$3:A22,A22)&lt;COUNTA(Dashboard!$B:$B)-1, A22,IF(OR(A22="",INDEX(Dashboard!$A:$A,MATCH(A22,Dashboard!$A:$A,0)+1)=0),"",INDEX(Dashboard!$A:$A,MATCH(A22,Dashboard!$A:$A,0)+1)))),"")</f>
        <v>Savings</v>
      </c>
      <c r="B23" t="str">
        <f>IFERROR(IF(A23="","",IF(A23&lt;&gt;A22,Dashboard!$B$2,INDEX(Dashboard!$B:$B,MATCH(Source!B22,Dashboard!$B:$B,0)+1))),"")</f>
        <v>Mobile</v>
      </c>
      <c r="D23" s="6" t="s">
        <v>16</v>
      </c>
      <c r="F23" s="6" t="s">
        <v>16</v>
      </c>
      <c r="K23" s="6" t="s">
        <v>108</v>
      </c>
      <c r="Q23" s="6" t="s">
        <v>108</v>
      </c>
      <c r="R23" s="6" t="s">
        <v>108</v>
      </c>
      <c r="S23" s="6" t="s">
        <v>16</v>
      </c>
      <c r="AD23" s="6" t="s">
        <v>108</v>
      </c>
      <c r="AF23" s="6" t="s">
        <v>81</v>
      </c>
      <c r="AH23" s="6" t="s">
        <v>16</v>
      </c>
      <c r="AN23" s="6" t="s">
        <v>30</v>
      </c>
      <c r="AT23" s="6" t="s">
        <v>75</v>
      </c>
      <c r="AU23" s="6" t="s">
        <v>16</v>
      </c>
      <c r="AV23" s="6" t="s">
        <v>88</v>
      </c>
      <c r="AW23" s="6" t="s">
        <v>75</v>
      </c>
      <c r="AX23" s="6" t="s">
        <v>75</v>
      </c>
      <c r="BA23" s="6" t="s">
        <v>14</v>
      </c>
      <c r="BB23" s="6" t="s">
        <v>108</v>
      </c>
      <c r="BC23" s="6" t="s">
        <v>108</v>
      </c>
      <c r="BD23" s="6" t="s">
        <v>75</v>
      </c>
      <c r="BF23" s="6" t="s">
        <v>108</v>
      </c>
      <c r="BI23" s="6" t="s">
        <v>108</v>
      </c>
      <c r="BJ23" s="6" t="s">
        <v>14</v>
      </c>
      <c r="BM23" s="6" t="s">
        <v>108</v>
      </c>
      <c r="BN23" s="6" t="s">
        <v>16</v>
      </c>
      <c r="BO23" s="6" t="s">
        <v>81</v>
      </c>
      <c r="BR23" s="6" t="s">
        <v>108</v>
      </c>
      <c r="BS23" s="6" t="s">
        <v>108</v>
      </c>
      <c r="BT23" s="6" t="s">
        <v>108</v>
      </c>
      <c r="BV23" s="6" t="s">
        <v>108</v>
      </c>
      <c r="BW23" s="6" t="s">
        <v>108</v>
      </c>
      <c r="BX23" s="6" t="s">
        <v>108</v>
      </c>
      <c r="BY23" s="6" t="s">
        <v>108</v>
      </c>
      <c r="CA23" s="6" t="s">
        <v>75</v>
      </c>
      <c r="CH23" s="6" t="s">
        <v>75</v>
      </c>
      <c r="CO23" s="6" t="s">
        <v>81</v>
      </c>
      <c r="CR23" s="6" t="s">
        <v>81</v>
      </c>
      <c r="CT23" s="6" t="s">
        <v>75</v>
      </c>
    </row>
    <row r="24" spans="1:106" x14ac:dyDescent="0.2">
      <c r="A24" t="str">
        <f>IFERROR(IF(ROW(A23)&lt;4,Dashboard!$A$2,IF(COUNTIF($A$3:A23,A23)&lt;COUNTA(Dashboard!$B:$B)-1, A23,IF(OR(A23="",INDEX(Dashboard!$A:$A,MATCH(A23,Dashboard!$A:$A,0)+1)=0),"",INDEX(Dashboard!$A:$A,MATCH(A23,Dashboard!$A:$A,0)+1)))),"")</f>
        <v>Savings</v>
      </c>
      <c r="B24" t="str">
        <f>IFERROR(IF(A24="","",IF(A24&lt;&gt;A23,Dashboard!$B$2,INDEX(Dashboard!$B:$B,MATCH(Source!B23,Dashboard!$B:$B,0)+1))),"")</f>
        <v>IVR</v>
      </c>
      <c r="F24" s="6" t="s">
        <v>75</v>
      </c>
      <c r="K24" s="6" t="s">
        <v>108</v>
      </c>
      <c r="Q24" s="6" t="s">
        <v>108</v>
      </c>
      <c r="R24" s="6" t="s">
        <v>108</v>
      </c>
      <c r="AD24" s="6" t="s">
        <v>108</v>
      </c>
      <c r="AX24" s="6" t="s">
        <v>75</v>
      </c>
      <c r="BB24" s="6" t="s">
        <v>108</v>
      </c>
      <c r="BC24" s="6" t="s">
        <v>108</v>
      </c>
      <c r="BF24" s="6" t="s">
        <v>108</v>
      </c>
      <c r="BI24" s="6" t="s">
        <v>108</v>
      </c>
      <c r="BM24" s="6" t="s">
        <v>108</v>
      </c>
      <c r="BO24" s="6" t="s">
        <v>30</v>
      </c>
      <c r="BR24" s="6" t="s">
        <v>108</v>
      </c>
      <c r="BS24" s="6" t="s">
        <v>108</v>
      </c>
      <c r="BT24" s="6" t="s">
        <v>108</v>
      </c>
      <c r="BV24" s="6" t="s">
        <v>108</v>
      </c>
      <c r="BW24" s="6" t="s">
        <v>108</v>
      </c>
      <c r="BX24" s="6" t="s">
        <v>108</v>
      </c>
      <c r="BY24" s="6" t="s">
        <v>108</v>
      </c>
      <c r="CQ24" s="6" t="s">
        <v>81</v>
      </c>
    </row>
    <row r="25" spans="1:106" x14ac:dyDescent="0.2">
      <c r="A25" t="str">
        <f>IFERROR(IF(ROW(A24)&lt;4,Dashboard!$A$2,IF(COUNTIF($A$3:A24,A24)&lt;COUNTA(Dashboard!$B:$B)-1, A24,IF(OR(A24="",INDEX(Dashboard!$A:$A,MATCH(A24,Dashboard!$A:$A,0)+1)=0),"",INDEX(Dashboard!$A:$A,MATCH(A24,Dashboard!$A:$A,0)+1)))),"")</f>
        <v>Savings</v>
      </c>
      <c r="B25" t="str">
        <f>IFERROR(IF(A25="","",IF(A25&lt;&gt;A24,Dashboard!$B$2,INDEX(Dashboard!$B:$B,MATCH(Source!B24,Dashboard!$B:$B,0)+1))),"")</f>
        <v>Account Center</v>
      </c>
      <c r="H25" s="6" t="s">
        <v>16</v>
      </c>
      <c r="J25" s="6" t="s">
        <v>16</v>
      </c>
      <c r="K25" s="6" t="s">
        <v>108</v>
      </c>
      <c r="L25" s="6" t="s">
        <v>148</v>
      </c>
      <c r="P25" s="6" t="s">
        <v>16</v>
      </c>
      <c r="Q25" s="6" t="s">
        <v>108</v>
      </c>
      <c r="R25" s="6" t="s">
        <v>108</v>
      </c>
      <c r="AA25" s="6" t="s">
        <v>16</v>
      </c>
      <c r="AD25" s="6" t="s">
        <v>108</v>
      </c>
      <c r="AE25" s="6" t="s">
        <v>145</v>
      </c>
      <c r="AF25" s="6" t="s">
        <v>144</v>
      </c>
      <c r="AG25" s="6" t="s">
        <v>85</v>
      </c>
      <c r="AH25" s="6" t="s">
        <v>152</v>
      </c>
      <c r="AI25" s="6" t="s">
        <v>85</v>
      </c>
      <c r="AJ25" s="6" t="s">
        <v>146</v>
      </c>
      <c r="AK25" s="6" t="s">
        <v>146</v>
      </c>
      <c r="AL25" s="6" t="s">
        <v>146</v>
      </c>
      <c r="AN25" s="6" t="s">
        <v>79</v>
      </c>
      <c r="AO25" s="6" t="s">
        <v>127</v>
      </c>
      <c r="AP25" s="6" t="s">
        <v>127</v>
      </c>
      <c r="AQ25" s="6" t="s">
        <v>79</v>
      </c>
      <c r="AR25" s="6" t="s">
        <v>78</v>
      </c>
      <c r="AT25" s="6" t="s">
        <v>78</v>
      </c>
      <c r="AU25" s="6" t="s">
        <v>128</v>
      </c>
      <c r="AW25" s="6" t="s">
        <v>79</v>
      </c>
      <c r="AX25" s="6" t="s">
        <v>78</v>
      </c>
      <c r="AY25" s="6" t="s">
        <v>14</v>
      </c>
      <c r="AZ25" s="6" t="s">
        <v>79</v>
      </c>
      <c r="BA25" s="6" t="s">
        <v>80</v>
      </c>
      <c r="BB25" s="6" t="s">
        <v>127</v>
      </c>
      <c r="BC25" s="6" t="s">
        <v>127</v>
      </c>
      <c r="BD25" s="6" t="s">
        <v>79</v>
      </c>
      <c r="BE25" s="6" t="s">
        <v>83</v>
      </c>
      <c r="BF25" s="6" t="s">
        <v>118</v>
      </c>
      <c r="BG25" s="6" t="s">
        <v>83</v>
      </c>
      <c r="BH25" s="6" t="s">
        <v>85</v>
      </c>
      <c r="BI25" s="6" t="s">
        <v>146</v>
      </c>
      <c r="BJ25" s="6" t="s">
        <v>88</v>
      </c>
      <c r="BK25" s="6" t="s">
        <v>88</v>
      </c>
      <c r="BL25" s="6" t="s">
        <v>102</v>
      </c>
      <c r="BM25" s="6" t="s">
        <v>118</v>
      </c>
      <c r="BN25" s="6" t="s">
        <v>90</v>
      </c>
      <c r="BO25" s="6" t="s">
        <v>79</v>
      </c>
      <c r="BP25" s="6" t="s">
        <v>153</v>
      </c>
      <c r="BQ25" s="6" t="s">
        <v>79</v>
      </c>
      <c r="BR25" s="6" t="s">
        <v>127</v>
      </c>
      <c r="BS25" s="6" t="s">
        <v>127</v>
      </c>
      <c r="BT25" s="6" t="s">
        <v>127</v>
      </c>
      <c r="BV25" s="6" t="s">
        <v>127</v>
      </c>
      <c r="BW25" s="6" t="s">
        <v>127</v>
      </c>
      <c r="BX25" s="6" t="s">
        <v>127</v>
      </c>
      <c r="BY25" s="6" t="s">
        <v>127</v>
      </c>
      <c r="BZ25" s="6" t="s">
        <v>79</v>
      </c>
      <c r="CA25" s="6" t="s">
        <v>79</v>
      </c>
      <c r="CB25" s="6" t="s">
        <v>131</v>
      </c>
      <c r="CC25" s="6" t="s">
        <v>85</v>
      </c>
      <c r="CD25" s="6" t="s">
        <v>79</v>
      </c>
      <c r="CE25" s="6" t="s">
        <v>131</v>
      </c>
      <c r="CF25" s="6" t="s">
        <v>85</v>
      </c>
      <c r="CG25" s="6" t="s">
        <v>85</v>
      </c>
      <c r="CH25" s="6" t="s">
        <v>79</v>
      </c>
      <c r="CI25" s="6" t="s">
        <v>85</v>
      </c>
      <c r="CJ25" s="6" t="s">
        <v>76</v>
      </c>
      <c r="CK25" s="6" t="s">
        <v>76</v>
      </c>
      <c r="CM25" s="6" t="s">
        <v>144</v>
      </c>
      <c r="CO25" s="6" t="s">
        <v>88</v>
      </c>
      <c r="CP25" s="6" t="s">
        <v>83</v>
      </c>
      <c r="CR25" s="6" t="s">
        <v>89</v>
      </c>
      <c r="CT25" s="6" t="s">
        <v>79</v>
      </c>
      <c r="CU25" s="6" t="s">
        <v>29</v>
      </c>
      <c r="CV25" s="6" t="s">
        <v>29</v>
      </c>
      <c r="CW25" s="6" t="s">
        <v>95</v>
      </c>
      <c r="CY25" s="6" t="s">
        <v>156</v>
      </c>
      <c r="CZ25" s="6" t="s">
        <v>95</v>
      </c>
      <c r="DA25" s="6" t="s">
        <v>95</v>
      </c>
      <c r="DB25" s="6" t="s">
        <v>120</v>
      </c>
    </row>
    <row r="26" spans="1:106" x14ac:dyDescent="0.2">
      <c r="A26" t="str">
        <f>IFERROR(IF(ROW(A25)&lt;4,Dashboard!$A$2,IF(COUNTIF($A$3:A25,A25)&lt;COUNTA(Dashboard!$B:$B)-1, A25,IF(OR(A25="",INDEX(Dashboard!$A:$A,MATCH(A25,Dashboard!$A:$A,0)+1)=0),"",INDEX(Dashboard!$A:$A,MATCH(A25,Dashboard!$A:$A,0)+1)))),"")</f>
        <v>Savings</v>
      </c>
      <c r="B26" t="str">
        <f>IFERROR(IF(A26="","",IF(A26&lt;&gt;A25,Dashboard!$B$2,INDEX(Dashboard!$B:$B,MATCH(Source!B25,Dashboard!$B:$B,0)+1))),"")</f>
        <v>ATM</v>
      </c>
      <c r="K26" s="6" t="s">
        <v>108</v>
      </c>
      <c r="Q26" s="6" t="s">
        <v>108</v>
      </c>
      <c r="R26" s="6" t="s">
        <v>108</v>
      </c>
      <c r="AD26" s="6" t="s">
        <v>108</v>
      </c>
      <c r="BB26" s="6" t="s">
        <v>108</v>
      </c>
      <c r="BC26" s="6" t="s">
        <v>108</v>
      </c>
      <c r="BF26" s="6" t="s">
        <v>108</v>
      </c>
      <c r="BG26" s="6" t="s">
        <v>94</v>
      </c>
      <c r="BI26" s="6" t="s">
        <v>108</v>
      </c>
      <c r="BM26" s="6" t="s">
        <v>108</v>
      </c>
      <c r="BR26" s="6" t="s">
        <v>108</v>
      </c>
      <c r="BS26" s="6" t="s">
        <v>108</v>
      </c>
      <c r="BT26" s="6" t="s">
        <v>108</v>
      </c>
      <c r="BV26" s="6" t="s">
        <v>108</v>
      </c>
      <c r="BW26" s="6" t="s">
        <v>108</v>
      </c>
      <c r="BX26" s="6" t="s">
        <v>108</v>
      </c>
      <c r="BY26" s="6" t="s">
        <v>108</v>
      </c>
    </row>
    <row r="27" spans="1:106" x14ac:dyDescent="0.2">
      <c r="A27" t="str">
        <f>IFERROR(IF(ROW(A26)&lt;4,Dashboard!$A$2,IF(COUNTIF($A$3:A26,A26)&lt;COUNTA(Dashboard!$B:$B)-1, A26,IF(OR(A26="",INDEX(Dashboard!$A:$A,MATCH(A26,Dashboard!$A:$A,0)+1)=0),"",INDEX(Dashboard!$A:$A,MATCH(A26,Dashboard!$A:$A,0)+1)))),"")</f>
        <v>Savings</v>
      </c>
      <c r="B27" t="str">
        <f>IFERROR(IF(A27="","",IF(A27&lt;&gt;A26,Dashboard!$B$2,INDEX(Dashboard!$B:$B,MATCH(Source!B26,Dashboard!$B:$B,0)+1))),"")</f>
        <v>Other</v>
      </c>
      <c r="C27" s="6" t="s">
        <v>151</v>
      </c>
      <c r="K27" s="6" t="s">
        <v>108</v>
      </c>
      <c r="Q27" s="6" t="s">
        <v>108</v>
      </c>
      <c r="R27" s="6" t="s">
        <v>108</v>
      </c>
      <c r="Z27" s="6" t="s">
        <v>84</v>
      </c>
      <c r="AA27" s="6" t="s">
        <v>83</v>
      </c>
      <c r="AD27" s="6" t="s">
        <v>108</v>
      </c>
      <c r="BB27" s="6" t="s">
        <v>108</v>
      </c>
      <c r="BC27" s="6" t="s">
        <v>108</v>
      </c>
      <c r="BF27" s="6" t="s">
        <v>108</v>
      </c>
      <c r="BI27" s="6" t="s">
        <v>108</v>
      </c>
      <c r="BM27" s="6" t="s">
        <v>108</v>
      </c>
      <c r="BR27" s="6" t="s">
        <v>108</v>
      </c>
      <c r="BS27" s="6" t="s">
        <v>108</v>
      </c>
      <c r="BT27" s="6" t="s">
        <v>108</v>
      </c>
      <c r="BV27" s="6" t="s">
        <v>108</v>
      </c>
      <c r="BW27" s="6" t="s">
        <v>108</v>
      </c>
      <c r="BX27" s="6" t="s">
        <v>108</v>
      </c>
      <c r="BY27" s="6" t="s">
        <v>108</v>
      </c>
    </row>
    <row r="28" spans="1:106" x14ac:dyDescent="0.2">
      <c r="A28" t="str">
        <f>IFERROR(IF(ROW(A27)&lt;4,Dashboard!$A$2,IF(COUNTIF($A$3:A27,A27)&lt;COUNTA(Dashboard!$B:$B)-1, A27,IF(OR(A27="",INDEX(Dashboard!$A:$A,MATCH(A27,Dashboard!$A:$A,0)+1)=0),"",INDEX(Dashboard!$A:$A,MATCH(A27,Dashboard!$A:$A,0)+1)))),"")</f>
        <v/>
      </c>
      <c r="B28" t="str">
        <f>IFERROR(IF(A28="","",IF(A28&lt;&gt;A27,Dashboard!$B$2,INDEX(Dashboard!$B:$B,MATCH(Source!B27,Dashboard!$B:$B,0)+1))),"")</f>
        <v/>
      </c>
    </row>
    <row r="29" spans="1:106" x14ac:dyDescent="0.2">
      <c r="A29" t="str">
        <f>IFERROR(IF(ROW(A28)&lt;4,Dashboard!$A$2,IF(COUNTIF($A$3:A28,A28)&lt;COUNTA(Dashboard!$B:$B)-1, A28,IF(OR(A28="",INDEX(Dashboard!$A:$A,MATCH(A28,Dashboard!$A:$A,0)+1)=0),"",INDEX(Dashboard!$A:$A,MATCH(A28,Dashboard!$A:$A,0)+1)))),"")</f>
        <v/>
      </c>
      <c r="B29" t="str">
        <f>IFERROR(IF(A29="","",IF(A29&lt;&gt;A28,Dashboard!$B$2,INDEX(Dashboard!$B:$B,MATCH(Source!B28,Dashboard!$B:$B,0)+1))),"")</f>
        <v/>
      </c>
    </row>
    <row r="30" spans="1:106" x14ac:dyDescent="0.2">
      <c r="A30" t="str">
        <f>IFERROR(IF(ROW(A29)&lt;4,Dashboard!$A$2,IF(COUNTIF($A$3:A29,A29)&lt;COUNTA(Dashboard!$B:$B)-1, A29,IF(OR(A29="",INDEX(Dashboard!$A:$A,MATCH(A29,Dashboard!$A:$A,0)+1)=0),"",INDEX(Dashboard!$A:$A,MATCH(A29,Dashboard!$A:$A,0)+1)))),"")</f>
        <v/>
      </c>
      <c r="B30" t="str">
        <f>IFERROR(IF(A30="","",IF(A30&lt;&gt;A29,Dashboard!$B$2,INDEX(Dashboard!$B:$B,MATCH(Source!B29,Dashboard!$B:$B,0)+1))),"")</f>
        <v/>
      </c>
    </row>
    <row r="31" spans="1:106" x14ac:dyDescent="0.2">
      <c r="A31" t="str">
        <f>IFERROR(IF(ROW(A30)&lt;4,Dashboard!$A$2,IF(COUNTIF($A$3:A30,A30)&lt;COUNTA(Dashboard!$B:$B)-1, A30,IF(OR(A30="",INDEX(Dashboard!$A:$A,MATCH(A30,Dashboard!$A:$A,0)+1)=0),"",INDEX(Dashboard!$A:$A,MATCH(A30,Dashboard!$A:$A,0)+1)))),"")</f>
        <v/>
      </c>
      <c r="B31" t="str">
        <f>IFERROR(IF(A31="","",IF(A31&lt;&gt;A30,Dashboard!$B$2,INDEX(Dashboard!$B:$B,MATCH(Source!B30,Dashboard!$B:$B,0)+1))),"")</f>
        <v/>
      </c>
    </row>
    <row r="32" spans="1:106" x14ac:dyDescent="0.2">
      <c r="A32" t="str">
        <f>IFERROR(IF(ROW(A31)&lt;4,Dashboard!$A$2,IF(COUNTIF($A$3:A31,A31)&lt;COUNTA(Dashboard!$B:$B)-1, A31,IF(OR(A31="",INDEX(Dashboard!$A:$A,MATCH(A31,Dashboard!$A:$A,0)+1)=0),"",INDEX(Dashboard!$A:$A,MATCH(A31,Dashboard!$A:$A,0)+1)))),"")</f>
        <v/>
      </c>
      <c r="B32" t="str">
        <f>IFERROR(IF(A32="","",IF(A32&lt;&gt;A31,Dashboard!$B$2,INDEX(Dashboard!$B:$B,MATCH(Source!B31,Dashboard!$B:$B,0)+1))),"")</f>
        <v/>
      </c>
    </row>
    <row r="33" spans="1:2" x14ac:dyDescent="0.2">
      <c r="A33" t="str">
        <f>IFERROR(IF(ROW(A32)&lt;4,Dashboard!$A$2,IF(COUNTIF($A$3:A32,A32)&lt;COUNTA(Dashboard!$B:$B)-1, A32,IF(OR(A32="",INDEX(Dashboard!$A:$A,MATCH(A32,Dashboard!$A:$A,0)+1)=0),"",INDEX(Dashboard!$A:$A,MATCH(A32,Dashboard!$A:$A,0)+1)))),"")</f>
        <v/>
      </c>
      <c r="B33" t="str">
        <f>IFERROR(IF(A33="","",IF(A33&lt;&gt;A32,Dashboard!$B$2,INDEX(Dashboard!$B:$B,MATCH(Source!B32,Dashboard!$B:$B,0)+1))),"")</f>
        <v/>
      </c>
    </row>
    <row r="34" spans="1:2" x14ac:dyDescent="0.2">
      <c r="A34" t="str">
        <f>IFERROR(IF(ROW(A33)&lt;4,Dashboard!$A$2,IF(COUNTIF($A$3:A33,A33)&lt;COUNTA(Dashboard!$B:$B)-1, A33,IF(OR(A33="",INDEX(Dashboard!$A:$A,MATCH(A33,Dashboard!$A:$A,0)+1)=0),"",INDEX(Dashboard!$A:$A,MATCH(A33,Dashboard!$A:$A,0)+1)))),"")</f>
        <v/>
      </c>
      <c r="B34" t="str">
        <f>IFERROR(IF(A34="","",IF(A34&lt;&gt;A33,Dashboard!$B$2,INDEX(Dashboard!$B:$B,MATCH(Source!B33,Dashboard!$B:$B,0)+1))),"")</f>
        <v/>
      </c>
    </row>
    <row r="35" spans="1:2" x14ac:dyDescent="0.2">
      <c r="A35" t="str">
        <f>IFERROR(IF(ROW(A34)&lt;4,Dashboard!$A$2,IF(COUNTIF($A$3:A34,A34)&lt;COUNTA(Dashboard!$B:$B)-1, A34,IF(OR(A34="",INDEX(Dashboard!$A:$A,MATCH(A34,Dashboard!$A:$A,0)+1)=0),"",INDEX(Dashboard!$A:$A,MATCH(A34,Dashboard!$A:$A,0)+1)))),"")</f>
        <v/>
      </c>
      <c r="B35" t="str">
        <f>IFERROR(IF(A35="","",IF(A35&lt;&gt;A34,Dashboard!$B$2,INDEX(Dashboard!$B:$B,MATCH(Source!B34,Dashboard!$B:$B,0)+1))),"")</f>
        <v/>
      </c>
    </row>
    <row r="36" spans="1:2" x14ac:dyDescent="0.2">
      <c r="A36" t="str">
        <f>IFERROR(IF(ROW(A35)&lt;4,Dashboard!$A$2,IF(COUNTIF($A$3:A35,A35)&lt;COUNTA(Dashboard!$B:$B)-1, A35,IF(OR(A35="",INDEX(Dashboard!$A:$A,MATCH(A35,Dashboard!$A:$A,0)+1)=0),"",INDEX(Dashboard!$A:$A,MATCH(A35,Dashboard!$A:$A,0)+1)))),"")</f>
        <v/>
      </c>
      <c r="B36" t="str">
        <f>IFERROR(IF(A36="","",IF(A36&lt;&gt;A35,Dashboard!$B$2,INDEX(Dashboard!$B:$B,MATCH(Source!B35,Dashboard!$B:$B,0)+1))),"")</f>
        <v/>
      </c>
    </row>
    <row r="37" spans="1:2" x14ac:dyDescent="0.2">
      <c r="A37" t="str">
        <f>IFERROR(IF(ROW(A36)&lt;4,Dashboard!$A$2,IF(COUNTIF($A$3:A36,A36)&lt;COUNTA(Dashboard!$B:$B)-1, A36,IF(OR(A36="",INDEX(Dashboard!$A:$A,MATCH(A36,Dashboard!$A:$A,0)+1)=0),"",INDEX(Dashboard!$A:$A,MATCH(A36,Dashboard!$A:$A,0)+1)))),"")</f>
        <v/>
      </c>
      <c r="B37" t="str">
        <f>IFERROR(IF(A37="","",IF(A37&lt;&gt;A36,Dashboard!$B$2,INDEX(Dashboard!$B:$B,MATCH(Source!B36,Dashboard!$B:$B,0)+1))),"")</f>
        <v/>
      </c>
    </row>
    <row r="38" spans="1:2" x14ac:dyDescent="0.2">
      <c r="A38" t="str">
        <f>IFERROR(IF(ROW(A37)&lt;4,Dashboard!$A$2,IF(COUNTIF($A$3:A37,A37)&lt;COUNTA(Dashboard!$B:$B)-1, A37,IF(OR(A37="",INDEX(Dashboard!$A:$A,MATCH(A37,Dashboard!$A:$A,0)+1)=0),"",INDEX(Dashboard!$A:$A,MATCH(A37,Dashboard!$A:$A,0)+1)))),"")</f>
        <v/>
      </c>
      <c r="B38" t="str">
        <f>IFERROR(IF(A38="","",IF(A38&lt;&gt;A37,Dashboard!$B$2,INDEX(Dashboard!$B:$B,MATCH(Source!B37,Dashboard!$B:$B,0)+1))),"")</f>
        <v/>
      </c>
    </row>
    <row r="39" spans="1:2" x14ac:dyDescent="0.2">
      <c r="A39" t="str">
        <f>IFERROR(IF(ROW(A38)&lt;4,Dashboard!$A$2,IF(COUNTIF($A$3:A38,A38)&lt;COUNTA(Dashboard!$B:$B)-1, A38,IF(OR(A38="",INDEX(Dashboard!$A:$A,MATCH(A38,Dashboard!$A:$A,0)+1)=0),"",INDEX(Dashboard!$A:$A,MATCH(A38,Dashboard!$A:$A,0)+1)))),"")</f>
        <v/>
      </c>
      <c r="B39" t="str">
        <f>IFERROR(IF(A39="","",IF(A39&lt;&gt;A38,Dashboard!$B$2,INDEX(Dashboard!$B:$B,MATCH(Source!B38,Dashboard!$B:$B,0)+1))),"")</f>
        <v/>
      </c>
    </row>
    <row r="40" spans="1:2" s="7" customFormat="1" x14ac:dyDescent="0.2">
      <c r="A40" t="str">
        <f>IFERROR(IF(ROW(A39)&lt;4,Dashboard!$A$2,IF(COUNTIF($A$3:A39,A39)&lt;COUNTA(Dashboard!$B:$B)-1, A39,IF(OR(A39="",INDEX(Dashboard!$A:$A,MATCH(A39,Dashboard!$A:$A,0)+1)=0),"",INDEX(Dashboard!$A:$A,MATCH(A39,Dashboard!$A:$A,0)+1)))),"")</f>
        <v/>
      </c>
      <c r="B40" t="str">
        <f>IFERROR(IF(A40="","",IF(A40&lt;&gt;A39,Dashboard!$B$2,INDEX(Dashboard!$B:$B,MATCH(Source!B39,Dashboard!$B:$B,0)+1))),"")</f>
        <v/>
      </c>
    </row>
    <row r="41" spans="1:2" s="7" customFormat="1" x14ac:dyDescent="0.2">
      <c r="A41" t="str">
        <f>IFERROR(IF(ROW(A40)&lt;4,Dashboard!$A$2,IF(COUNTIF($A$3:A40,A40)&lt;COUNTA(Dashboard!$B:$B)-1, A40,IF(OR(A40="",INDEX(Dashboard!$A:$A,MATCH(A40,Dashboard!$A:$A,0)+1)=0),"",INDEX(Dashboard!$A:$A,MATCH(A40,Dashboard!$A:$A,0)+1)))),"")</f>
        <v/>
      </c>
      <c r="B41" t="str">
        <f>IFERROR(IF(A41="","",IF(A41&lt;&gt;A40,Dashboard!$B$2,INDEX(Dashboard!$B:$B,MATCH(Source!B40,Dashboard!$B:$B,0)+1))),"")</f>
        <v/>
      </c>
    </row>
    <row r="42" spans="1:2" s="7" customFormat="1" x14ac:dyDescent="0.2">
      <c r="A42" t="str">
        <f>IFERROR(IF(ROW(A41)&lt;4,Dashboard!$A$2,IF(COUNTIF($A$3:A41,A41)&lt;COUNTA(Dashboard!$B:$B)-1, A41,IF(OR(A41="",INDEX(Dashboard!$A:$A,MATCH(A41,Dashboard!$A:$A,0)+1)=0),"",INDEX(Dashboard!$A:$A,MATCH(A41,Dashboard!$A:$A,0)+1)))),"")</f>
        <v/>
      </c>
      <c r="B42" t="str">
        <f>IFERROR(IF(A42="","",IF(A42&lt;&gt;A41,Dashboard!$B$2,INDEX(Dashboard!$B:$B,MATCH(Source!B41,Dashboard!$B:$B,0)+1))),"")</f>
        <v/>
      </c>
    </row>
    <row r="43" spans="1:2" s="7" customFormat="1" x14ac:dyDescent="0.2">
      <c r="A43" t="str">
        <f>IFERROR(IF(ROW(A42)&lt;4,Dashboard!$A$2,IF(COUNTIF($A$3:A42,A42)&lt;COUNTA(Dashboard!$B:$B)-1, A42,IF(OR(A42="",INDEX(Dashboard!$A:$A,MATCH(A42,Dashboard!$A:$A,0)+1)=0),"",INDEX(Dashboard!$A:$A,MATCH(A42,Dashboard!$A:$A,0)+1)))),"")</f>
        <v/>
      </c>
      <c r="B43" t="str">
        <f>IFERROR(IF(A43="","",IF(A43&lt;&gt;A42,Dashboard!$B$2,INDEX(Dashboard!$B:$B,MATCH(Source!B42,Dashboard!$B:$B,0)+1))),"")</f>
        <v/>
      </c>
    </row>
    <row r="44" spans="1:2" s="7" customFormat="1" x14ac:dyDescent="0.2">
      <c r="A44" t="str">
        <f>IFERROR(IF(ROW(A43)&lt;4,Dashboard!$A$2,IF(COUNTIF($A$3:A43,A43)&lt;COUNTA(Dashboard!$B:$B)-1, A43,IF(OR(A43="",INDEX(Dashboard!$A:$A,MATCH(A43,Dashboard!$A:$A,0)+1)=0),"",INDEX(Dashboard!$A:$A,MATCH(A43,Dashboard!$A:$A,0)+1)))),"")</f>
        <v/>
      </c>
      <c r="B44" t="str">
        <f>IFERROR(IF(A44="","",IF(A44&lt;&gt;A43,Dashboard!$B$2,INDEX(Dashboard!$B:$B,MATCH(Source!B43,Dashboard!$B:$B,0)+1))),"")</f>
        <v/>
      </c>
    </row>
    <row r="45" spans="1:2" s="7" customFormat="1" x14ac:dyDescent="0.2">
      <c r="A45" t="str">
        <f>IFERROR(IF(ROW(A44)&lt;4,Dashboard!$A$2,IF(COUNTIF($A$3:A44,A44)&lt;COUNTA(Dashboard!$B:$B)-1, A44,IF(OR(A44="",INDEX(Dashboard!$A:$A,MATCH(A44,Dashboard!$A:$A,0)+1)=0),"",INDEX(Dashboard!$A:$A,MATCH(A44,Dashboard!$A:$A,0)+1)))),"")</f>
        <v/>
      </c>
      <c r="B45" t="str">
        <f>IFERROR(IF(A45="","",IF(A45&lt;&gt;A44,Dashboard!$B$2,INDEX(Dashboard!$B:$B,MATCH(Source!B44,Dashboard!$B:$B,0)+1))),"")</f>
        <v/>
      </c>
    </row>
    <row r="46" spans="1:2" x14ac:dyDescent="0.2">
      <c r="A46" t="str">
        <f>IFERROR(IF(ROW(A45)&lt;4,Dashboard!$A$2,IF(COUNTIF($A$3:A45,A45)&lt;COUNTA(Dashboard!$B:$B)-1, A45,IF(OR(A45="",INDEX(Dashboard!$A:$A,MATCH(A45,Dashboard!$A:$A,0)+1)=0),"",INDEX(Dashboard!$A:$A,MATCH(A45,Dashboard!$A:$A,0)+1)))),"")</f>
        <v/>
      </c>
      <c r="B46" t="str">
        <f>IFERROR(IF(A46="","",IF(A46&lt;&gt;A45,Dashboard!$B$2,INDEX(Dashboard!$B:$B,MATCH(Source!B45,Dashboard!$B:$B,0)+1))),"")</f>
        <v/>
      </c>
    </row>
    <row r="47" spans="1:2" x14ac:dyDescent="0.2">
      <c r="A47" t="str">
        <f>IFERROR(IF(ROW(A46)&lt;4,Dashboard!$A$2,IF(COUNTIF($A$3:A46,A46)&lt;COUNTA(Dashboard!$B:$B)-1, A46,IF(OR(A46="",INDEX(Dashboard!$A:$A,MATCH(A46,Dashboard!$A:$A,0)+1)=0),"",INDEX(Dashboard!$A:$A,MATCH(A46,Dashboard!$A:$A,0)+1)))),"")</f>
        <v/>
      </c>
      <c r="B47" t="str">
        <f>IFERROR(IF(A47="","",IF(A47&lt;&gt;A46,Dashboard!$B$2,INDEX(Dashboard!$B:$B,MATCH(Source!B46,Dashboard!$B:$B,0)+1))),"")</f>
        <v/>
      </c>
    </row>
    <row r="48" spans="1:2" x14ac:dyDescent="0.2">
      <c r="A48" t="str">
        <f>IFERROR(IF(ROW(A47)&lt;4,Dashboard!$A$2,IF(COUNTIF($A$3:A47,A47)&lt;COUNTA(Dashboard!$B:$B)-1, A47,IF(OR(A47="",INDEX(Dashboard!$A:$A,MATCH(A47,Dashboard!$A:$A,0)+1)=0),"",INDEX(Dashboard!$A:$A,MATCH(A47,Dashboard!$A:$A,0)+1)))),"")</f>
        <v/>
      </c>
      <c r="B48" t="str">
        <f>IFERROR(IF(A48="","",IF(A48&lt;&gt;A47,Dashboard!$B$2,INDEX(Dashboard!$B:$B,MATCH(Source!B47,Dashboard!$B:$B,0)+1))),"")</f>
        <v/>
      </c>
    </row>
    <row r="49" spans="1:2" x14ac:dyDescent="0.2">
      <c r="A49" t="str">
        <f>IFERROR(IF(ROW(A48)&lt;4,Dashboard!$A$2,IF(COUNTIF($A$3:A48,A48)&lt;COUNTA(Dashboard!$B:$B)-1, A48,IF(OR(A48="",INDEX(Dashboard!$A:$A,MATCH(A48,Dashboard!$A:$A,0)+1)=0),"",INDEX(Dashboard!$A:$A,MATCH(A48,Dashboard!$A:$A,0)+1)))),"")</f>
        <v/>
      </c>
      <c r="B49" t="str">
        <f>IFERROR(IF(A49="","",IF(A49&lt;&gt;A48,Dashboard!$B$2,INDEX(Dashboard!$B:$B,MATCH(Source!B48,Dashboard!$B:$B,0)+1))),"")</f>
        <v/>
      </c>
    </row>
    <row r="50" spans="1:2" x14ac:dyDescent="0.2">
      <c r="A50" t="str">
        <f>IFERROR(IF(ROW(A49)&lt;4,Dashboard!$A$2,IF(COUNTIF($A$3:A49,A49)&lt;COUNTA(Dashboard!$B:$B)-1, A49,IF(OR(A49="",INDEX(Dashboard!$A:$A,MATCH(A49,Dashboard!$A:$A,0)+1)=0),"",INDEX(Dashboard!$A:$A,MATCH(A49,Dashboard!$A:$A,0)+1)))),"")</f>
        <v/>
      </c>
      <c r="B50" t="str">
        <f>IFERROR(IF(A50="","",IF(A50&lt;&gt;A49,Dashboard!$B$2,INDEX(Dashboard!$B:$B,MATCH(Source!B49,Dashboard!$B:$B,0)+1))),"")</f>
        <v/>
      </c>
    </row>
    <row r="51" spans="1:2" x14ac:dyDescent="0.2">
      <c r="A51" t="str">
        <f>IFERROR(IF(ROW(A50)&lt;4,Dashboard!$A$2,IF(COUNTIF($A$3:A50,A50)&lt;COUNTA(Dashboard!$B:$B)-1, A50,IF(OR(A50="",INDEX(Dashboard!$A:$A,MATCH(A50,Dashboard!$A:$A,0)+1)=0),"",INDEX(Dashboard!$A:$A,MATCH(A50,Dashboard!$A:$A,0)+1)))),"")</f>
        <v/>
      </c>
      <c r="B51" t="str">
        <f>IFERROR(IF(A51="","",IF(A51&lt;&gt;A50,Dashboard!$B$2,INDEX(Dashboard!$B:$B,MATCH(Source!B50,Dashboard!$B:$B,0)+1))),"")</f>
        <v/>
      </c>
    </row>
    <row r="52" spans="1:2" x14ac:dyDescent="0.2">
      <c r="A52" t="str">
        <f>IFERROR(IF(ROW(A51)&lt;4,Dashboard!$A$2,IF(COUNTIF($A$3:A51,A51)&lt;COUNTA(Dashboard!$B:$B)-1, A51,IF(OR(A51="",INDEX(Dashboard!$A:$A,MATCH(A51,Dashboard!$A:$A,0)+1)=0),"",INDEX(Dashboard!$A:$A,MATCH(A51,Dashboard!$A:$A,0)+1)))),"")</f>
        <v/>
      </c>
      <c r="B52" t="str">
        <f>IFERROR(IF(A52="","",IF(A52&lt;&gt;A51,Dashboard!$B$2,INDEX(Dashboard!$B:$B,MATCH(Source!B51,Dashboard!$B:$B,0)+1))),"")</f>
        <v/>
      </c>
    </row>
    <row r="53" spans="1:2" x14ac:dyDescent="0.2">
      <c r="A53" t="str">
        <f>IFERROR(IF(ROW(A52)&lt;4,Dashboard!$A$2,IF(COUNTIF($A$3:A52,A52)&lt;COUNTA(Dashboard!$B:$B)-1, A52,IF(OR(A52="",INDEX(Dashboard!$A:$A,MATCH(A52,Dashboard!$A:$A,0)+1)=0),"",INDEX(Dashboard!$A:$A,MATCH(A52,Dashboard!$A:$A,0)+1)))),"")</f>
        <v/>
      </c>
      <c r="B53" t="str">
        <f>IFERROR(IF(A53="","",IF(A53&lt;&gt;A52,Dashboard!$B$2,INDEX(Dashboard!$B:$B,MATCH(Source!B52,Dashboard!$B:$B,0)+1))),"")</f>
        <v/>
      </c>
    </row>
    <row r="54" spans="1:2" x14ac:dyDescent="0.2">
      <c r="A54" t="str">
        <f>IFERROR(IF(ROW(A53)&lt;4,Dashboard!$A$2,IF(COUNTIF($A$3:A53,A53)&lt;COUNTA(Dashboard!$B:$B)-1, A53,IF(OR(A53="",INDEX(Dashboard!$A:$A,MATCH(A53,Dashboard!$A:$A,0)+1)=0),"",INDEX(Dashboard!$A:$A,MATCH(A53,Dashboard!$A:$A,0)+1)))),"")</f>
        <v/>
      </c>
      <c r="B54" t="str">
        <f>IFERROR(IF(A54="","",IF(A54&lt;&gt;A53,Dashboard!$B$2,INDEX(Dashboard!$B:$B,MATCH(Source!B53,Dashboard!$B:$B,0)+1))),"")</f>
        <v/>
      </c>
    </row>
    <row r="55" spans="1:2" x14ac:dyDescent="0.2">
      <c r="A55" t="str">
        <f>IFERROR(IF(ROW(A54)&lt;4,Dashboard!$A$2,IF(COUNTIF($A$3:A54,A54)&lt;COUNTA(Dashboard!$B:$B)-1, A54,IF(OR(A54="",INDEX(Dashboard!$A:$A,MATCH(A54,Dashboard!$A:$A,0)+1)=0),"",INDEX(Dashboard!$A:$A,MATCH(A54,Dashboard!$A:$A,0)+1)))),"")</f>
        <v/>
      </c>
      <c r="B55" t="str">
        <f>IFERROR(IF(A55="","",IF(A55&lt;&gt;A54,Dashboard!$B$2,INDEX(Dashboard!$B:$B,MATCH(Source!B54,Dashboard!$B:$B,0)+1))),"")</f>
        <v/>
      </c>
    </row>
    <row r="56" spans="1:2" x14ac:dyDescent="0.2">
      <c r="A56" t="str">
        <f>IFERROR(IF(ROW(A55)&lt;4,Dashboard!$A$2,IF(COUNTIF($A$3:A55,A55)&lt;COUNTA(Dashboard!$B:$B)-1, A55,IF(OR(A55="",INDEX(Dashboard!$A:$A,MATCH(A55,Dashboard!$A:$A,0)+1)=0),"",INDEX(Dashboard!$A:$A,MATCH(A55,Dashboard!$A:$A,0)+1)))),"")</f>
        <v/>
      </c>
      <c r="B56" t="str">
        <f>IFERROR(IF(A56="","",IF(A56&lt;&gt;A55,Dashboard!$B$2,INDEX(Dashboard!$B:$B,MATCH(Source!B55,Dashboard!$B:$B,0)+1))),"")</f>
        <v/>
      </c>
    </row>
    <row r="57" spans="1:2" x14ac:dyDescent="0.2">
      <c r="A57" t="str">
        <f>IFERROR(IF(ROW(A56)&lt;4,Dashboard!$A$2,IF(COUNTIF($A$3:A56,A56)&lt;COUNTA(Dashboard!$B:$B)-1, A56,IF(OR(A56="",INDEX(Dashboard!$A:$A,MATCH(A56,Dashboard!$A:$A,0)+1)=0),"",INDEX(Dashboard!$A:$A,MATCH(A56,Dashboard!$A:$A,0)+1)))),"")</f>
        <v/>
      </c>
      <c r="B57" t="str">
        <f>IFERROR(IF(A57="","",IF(A57&lt;&gt;A56,Dashboard!$B$2,INDEX(Dashboard!$B:$B,MATCH(Source!B56,Dashboard!$B:$B,0)+1))),"")</f>
        <v/>
      </c>
    </row>
    <row r="58" spans="1:2" x14ac:dyDescent="0.2">
      <c r="A58" t="str">
        <f>IFERROR(IF(ROW(A57)&lt;4,Dashboard!$A$2,IF(COUNTIF($A$3:A57,A57)&lt;COUNTA(Dashboard!$B:$B)-1, A57,IF(OR(A57="",INDEX(Dashboard!$A:$A,MATCH(A57,Dashboard!$A:$A,0)+1)=0),"",INDEX(Dashboard!$A:$A,MATCH(A57,Dashboard!$A:$A,0)+1)))),"")</f>
        <v/>
      </c>
      <c r="B58" t="str">
        <f>IFERROR(IF(A58="","",IF(A58&lt;&gt;A57,Dashboard!$B$2,INDEX(Dashboard!$B:$B,MATCH(Source!B57,Dashboard!$B:$B,0)+1))),"")</f>
        <v/>
      </c>
    </row>
    <row r="59" spans="1:2" x14ac:dyDescent="0.2">
      <c r="A59" t="str">
        <f>IFERROR(IF(ROW(A58)&lt;4,Dashboard!$A$2,IF(COUNTIF($A$3:A58,A58)&lt;COUNTA(Dashboard!$B:$B)-1, A58,IF(OR(A58="",INDEX(Dashboard!$A:$A,MATCH(A58,Dashboard!$A:$A,0)+1)=0),"",INDEX(Dashboard!$A:$A,MATCH(A58,Dashboard!$A:$A,0)+1)))),"")</f>
        <v/>
      </c>
      <c r="B59" t="str">
        <f>IFERROR(IF(A59="","",IF(A59&lt;&gt;A58,Dashboard!$B$2,INDEX(Dashboard!$B:$B,MATCH(Source!B58,Dashboard!$B:$B,0)+1))),"")</f>
        <v/>
      </c>
    </row>
    <row r="60" spans="1:2" x14ac:dyDescent="0.2">
      <c r="A60" t="str">
        <f>IFERROR(IF(ROW(A59)&lt;4,Dashboard!$A$2,IF(COUNTIF($A$3:A59,A59)&lt;COUNTA(Dashboard!$B:$B)-1, A59,IF(OR(A59="",INDEX(Dashboard!$A:$A,MATCH(A59,Dashboard!$A:$A,0)+1)=0),"",INDEX(Dashboard!$A:$A,MATCH(A59,Dashboard!$A:$A,0)+1)))),"")</f>
        <v/>
      </c>
      <c r="B60" t="str">
        <f>IFERROR(IF(A60="","",IF(A60&lt;&gt;A59,Dashboard!$B$2,INDEX(Dashboard!$B:$B,MATCH(Source!B59,Dashboard!$B:$B,0)+1))),"")</f>
        <v/>
      </c>
    </row>
    <row r="61" spans="1:2" x14ac:dyDescent="0.2">
      <c r="A61" t="str">
        <f>IFERROR(IF(ROW(A60)&lt;4,Dashboard!$A$2,IF(COUNTIF($A$3:A60,A60)&lt;COUNTA(Dashboard!$B:$B)-1, A60,IF(OR(A60="",INDEX(Dashboard!$A:$A,MATCH(A60,Dashboard!$A:$A,0)+1)=0),"",INDEX(Dashboard!$A:$A,MATCH(A60,Dashboard!$A:$A,0)+1)))),"")</f>
        <v/>
      </c>
      <c r="B61" t="str">
        <f>IFERROR(IF(A61="","",IF(A61&lt;&gt;A60,Dashboard!$B$2,INDEX(Dashboard!$B:$B,MATCH(Source!B60,Dashboard!$B:$B,0)+1))),"")</f>
        <v/>
      </c>
    </row>
    <row r="62" spans="1:2" x14ac:dyDescent="0.2">
      <c r="A62" t="str">
        <f>IFERROR(IF(ROW(A61)&lt;4,Dashboard!$A$2,IF(COUNTIF($A$3:A61,A61)&lt;COUNTA(Dashboard!$B:$B)-1, A61,IF(OR(A61="",INDEX(Dashboard!$A:$A,MATCH(A61,Dashboard!$A:$A,0)+1)=0),"",INDEX(Dashboard!$A:$A,MATCH(A61,Dashboard!$A:$A,0)+1)))),"")</f>
        <v/>
      </c>
      <c r="B62" t="str">
        <f>IFERROR(IF(A62="","",IF(A62&lt;&gt;A61,Dashboard!$B$2,INDEX(Dashboard!$B:$B,MATCH(Source!B61,Dashboard!$B:$B,0)+1))),"")</f>
        <v/>
      </c>
    </row>
    <row r="63" spans="1:2" x14ac:dyDescent="0.2">
      <c r="A63" t="str">
        <f>IFERROR(IF(ROW(A62)&lt;4,Dashboard!$A$2,IF(COUNTIF($A$3:A62,A62)&lt;COUNTA(Dashboard!$B:$B)-1, A62,IF(OR(A62="",INDEX(Dashboard!$A:$A,MATCH(A62,Dashboard!$A:$A,0)+1)=0),"",INDEX(Dashboard!$A:$A,MATCH(A62,Dashboard!$A:$A,0)+1)))),"")</f>
        <v/>
      </c>
      <c r="B63" t="str">
        <f>IFERROR(IF(A63="","",IF(A63&lt;&gt;A62,Dashboard!$B$2,INDEX(Dashboard!$B:$B,MATCH(Source!B62,Dashboard!$B:$B,0)+1))),"")</f>
        <v/>
      </c>
    </row>
    <row r="64" spans="1:2" x14ac:dyDescent="0.2">
      <c r="A64" t="str">
        <f>IFERROR(IF(ROW(A63)&lt;4,Dashboard!$A$2,IF(COUNTIF($A$3:A63,A63)&lt;COUNTA(Dashboard!$B:$B)-1, A63,IF(OR(A63="",INDEX(Dashboard!$A:$A,MATCH(A63,Dashboard!$A:$A,0)+1)=0),"",INDEX(Dashboard!$A:$A,MATCH(A63,Dashboard!$A:$A,0)+1)))),"")</f>
        <v/>
      </c>
      <c r="B64" t="str">
        <f>IFERROR(IF(A64="","",IF(A64&lt;&gt;A63,Dashboard!$B$2,INDEX(Dashboard!$B:$B,MATCH(Source!B63,Dashboard!$B:$B,0)+1))),"")</f>
        <v/>
      </c>
    </row>
    <row r="65" spans="1:2" x14ac:dyDescent="0.2">
      <c r="A65" t="str">
        <f>IFERROR(IF(ROW(A64)&lt;4,Dashboard!$A$2,IF(COUNTIF($A$3:A64,A64)&lt;COUNTA(Dashboard!$B:$B)-1, A64,IF(OR(A64="",INDEX(Dashboard!$A:$A,MATCH(A64,Dashboard!$A:$A,0)+1)=0),"",INDEX(Dashboard!$A:$A,MATCH(A64,Dashboard!$A:$A,0)+1)))),"")</f>
        <v/>
      </c>
      <c r="B65" t="str">
        <f>IFERROR(IF(A65="","",IF(A65&lt;&gt;A64,Dashboard!$B$2,INDEX(Dashboard!$B:$B,MATCH(Source!B64,Dashboard!$B:$B,0)+1))),"")</f>
        <v/>
      </c>
    </row>
    <row r="66" spans="1:2" x14ac:dyDescent="0.2">
      <c r="A66" t="str">
        <f>IFERROR(IF(ROW(A65)&lt;4,Dashboard!$A$2,IF(COUNTIF($A$3:A65,A65)&lt;COUNTA(Dashboard!$B:$B)-1, A65,IF(OR(A65="",INDEX(Dashboard!$A:$A,MATCH(A65,Dashboard!$A:$A,0)+1)=0),"",INDEX(Dashboard!$A:$A,MATCH(A65,Dashboard!$A:$A,0)+1)))),"")</f>
        <v/>
      </c>
      <c r="B66" t="str">
        <f>IFERROR(IF(A66="","",IF(A66&lt;&gt;A65,Dashboard!$B$2,INDEX(Dashboard!$B:$B,MATCH(Source!B65,Dashboard!$B:$B,0)+1))),"")</f>
        <v/>
      </c>
    </row>
    <row r="67" spans="1:2" x14ac:dyDescent="0.2">
      <c r="A67" t="str">
        <f>IFERROR(IF(ROW(A66)&lt;4,Dashboard!$A$2,IF(COUNTIF($A$3:A66,A66)&lt;COUNTA(Dashboard!$B:$B)-1, A66,IF(OR(A66="",INDEX(Dashboard!$A:$A,MATCH(A66,Dashboard!$A:$A,0)+1)=0),"",INDEX(Dashboard!$A:$A,MATCH(A66,Dashboard!$A:$A,0)+1)))),"")</f>
        <v/>
      </c>
      <c r="B67" t="str">
        <f>IFERROR(IF(A67="","",IF(A67&lt;&gt;A66,Dashboard!$B$2,INDEX(Dashboard!$B:$B,MATCH(Source!B66,Dashboard!$B:$B,0)+1))),"")</f>
        <v/>
      </c>
    </row>
    <row r="68" spans="1:2" x14ac:dyDescent="0.2">
      <c r="A68" t="str">
        <f>IFERROR(IF(ROW(A67)&lt;4,Dashboard!$A$2,IF(COUNTIF($A$3:A67,A67)&lt;COUNTA(Dashboard!$B:$B)-1, A67,IF(OR(A67="",INDEX(Dashboard!$A:$A,MATCH(A67,Dashboard!$A:$A,0)+1)=0),"",INDEX(Dashboard!$A:$A,MATCH(A67,Dashboard!$A:$A,0)+1)))),"")</f>
        <v/>
      </c>
      <c r="B68" t="str">
        <f>IFERROR(IF(A68="","",IF(A68&lt;&gt;A67,Dashboard!$B$2,INDEX(Dashboard!$B:$B,MATCH(Source!B67,Dashboard!$B:$B,0)+1))),"")</f>
        <v/>
      </c>
    </row>
    <row r="69" spans="1:2" x14ac:dyDescent="0.2">
      <c r="A69" t="str">
        <f>IFERROR(IF(ROW(A68)&lt;4,Dashboard!$A$2,IF(COUNTIF($A$3:A68,A68)&lt;COUNTA(Dashboard!$B:$B)-1, A68,IF(OR(A68="",INDEX(Dashboard!$A:$A,MATCH(A68,Dashboard!$A:$A,0)+1)=0),"",INDEX(Dashboard!$A:$A,MATCH(A68,Dashboard!$A:$A,0)+1)))),"")</f>
        <v/>
      </c>
      <c r="B69" t="str">
        <f>IFERROR(IF(A69="","",IF(A69&lt;&gt;A68,Dashboard!$B$2,INDEX(Dashboard!$B:$B,MATCH(Source!B68,Dashboard!$B:$B,0)+1))),"")</f>
        <v/>
      </c>
    </row>
    <row r="70" spans="1:2" x14ac:dyDescent="0.2">
      <c r="A70" t="str">
        <f>IFERROR(IF(ROW(A69)&lt;4,Dashboard!$A$2,IF(COUNTIF($A$3:A69,A69)&lt;COUNTA(Dashboard!$B:$B)-1, A69,IF(OR(A69="",INDEX(Dashboard!$A:$A,MATCH(A69,Dashboard!$A:$A,0)+1)=0),"",INDEX(Dashboard!$A:$A,MATCH(A69,Dashboard!$A:$A,0)+1)))),"")</f>
        <v/>
      </c>
      <c r="B70" t="str">
        <f>IFERROR(IF(A70="","",IF(A70&lt;&gt;A69,Dashboard!$B$2,INDEX(Dashboard!$B:$B,MATCH(Source!B69,Dashboard!$B:$B,0)+1))),"")</f>
        <v/>
      </c>
    </row>
    <row r="71" spans="1:2" x14ac:dyDescent="0.2">
      <c r="A71" t="str">
        <f>IFERROR(IF(ROW(A70)&lt;4,Dashboard!$A$2,IF(COUNTIF($A$3:A70,A70)&lt;COUNTA(Dashboard!$B:$B)-1, A70,IF(OR(A70="",INDEX(Dashboard!$A:$A,MATCH(A70,Dashboard!$A:$A,0)+1)=0),"",INDEX(Dashboard!$A:$A,MATCH(A70,Dashboard!$A:$A,0)+1)))),"")</f>
        <v/>
      </c>
      <c r="B71" t="str">
        <f>IFERROR(IF(A71="","",IF(A71&lt;&gt;A70,Dashboard!$B$2,INDEX(Dashboard!$B:$B,MATCH(Source!B70,Dashboard!$B:$B,0)+1))),"")</f>
        <v/>
      </c>
    </row>
    <row r="72" spans="1:2" x14ac:dyDescent="0.2">
      <c r="A72" t="str">
        <f>IFERROR(IF(ROW(A71)&lt;4,Dashboard!$A$2,IF(COUNTIF($A$3:A71,A71)&lt;COUNTA(Dashboard!$B:$B)-1, A71,IF(OR(A71="",INDEX(Dashboard!$A:$A,MATCH(A71,Dashboard!$A:$A,0)+1)=0),"",INDEX(Dashboard!$A:$A,MATCH(A71,Dashboard!$A:$A,0)+1)))),"")</f>
        <v/>
      </c>
      <c r="B72" t="str">
        <f>IFERROR(IF(A72="","",IF(A72&lt;&gt;A71,Dashboard!$B$2,INDEX(Dashboard!$B:$B,MATCH(Source!B71,Dashboard!$B:$B,0)+1))),"")</f>
        <v/>
      </c>
    </row>
    <row r="73" spans="1:2" x14ac:dyDescent="0.2">
      <c r="A73" t="str">
        <f>IFERROR(IF(ROW(A72)&lt;4,Dashboard!$A$2,IF(COUNTIF($A$3:A72,A72)&lt;COUNTA(Dashboard!$B:$B)-1, A72,IF(OR(A72="",INDEX(Dashboard!$A:$A,MATCH(A72,Dashboard!$A:$A,0)+1)=0),"",INDEX(Dashboard!$A:$A,MATCH(A72,Dashboard!$A:$A,0)+1)))),"")</f>
        <v/>
      </c>
      <c r="B73" t="str">
        <f>IFERROR(IF(A73="","",IF(A73&lt;&gt;A72,Dashboard!$B$2,INDEX(Dashboard!$B:$B,MATCH(Source!B72,Dashboard!$B:$B,0)+1))),"")</f>
        <v/>
      </c>
    </row>
    <row r="74" spans="1:2" x14ac:dyDescent="0.2">
      <c r="A74" t="str">
        <f>IFERROR(IF(ROW(A73)&lt;4,Dashboard!$A$2,IF(COUNTIF($A$3:A73,A73)&lt;COUNTA(Dashboard!$B:$B)-1, A73,IF(OR(A73="",INDEX(Dashboard!$A:$A,MATCH(A73,Dashboard!$A:$A,0)+1)=0),"",INDEX(Dashboard!$A:$A,MATCH(A73,Dashboard!$A:$A,0)+1)))),"")</f>
        <v/>
      </c>
      <c r="B74" t="str">
        <f>IFERROR(IF(A74="","",IF(A74&lt;&gt;A73,Dashboard!$B$2,INDEX(Dashboard!$B:$B,MATCH(Source!B73,Dashboard!$B:$B,0)+1))),"")</f>
        <v/>
      </c>
    </row>
    <row r="75" spans="1:2" x14ac:dyDescent="0.2">
      <c r="A75" t="str">
        <f>IFERROR(IF(ROW(A74)&lt;4,Dashboard!$A$2,IF(COUNTIF($A$3:A74,A74)&lt;COUNTA(Dashboard!$B:$B)-1, A74,IF(OR(A74="",INDEX(Dashboard!$A:$A,MATCH(A74,Dashboard!$A:$A,0)+1)=0),"",INDEX(Dashboard!$A:$A,MATCH(A74,Dashboard!$A:$A,0)+1)))),"")</f>
        <v/>
      </c>
      <c r="B75" t="str">
        <f>IFERROR(IF(A75="","",IF(A75&lt;&gt;A74,Dashboard!$B$2,INDEX(Dashboard!$B:$B,MATCH(Source!B74,Dashboard!$B:$B,0)+1))),"")</f>
        <v/>
      </c>
    </row>
    <row r="76" spans="1:2" x14ac:dyDescent="0.2">
      <c r="A76" t="str">
        <f>IFERROR(IF(ROW(A75)&lt;4,Dashboard!$A$2,IF(COUNTIF($A$3:A75,A75)&lt;COUNTA(Dashboard!$B:$B)-1, A75,IF(OR(A75="",INDEX(Dashboard!$A:$A,MATCH(A75,Dashboard!$A:$A,0)+1)=0),"",INDEX(Dashboard!$A:$A,MATCH(A75,Dashboard!$A:$A,0)+1)))),"")</f>
        <v/>
      </c>
      <c r="B76" t="str">
        <f>IFERROR(IF(A76="","",IF(A76&lt;&gt;A75,Dashboard!$B$2,INDEX(Dashboard!$B:$B,MATCH(Source!B75,Dashboard!$B:$B,0)+1))),"")</f>
        <v/>
      </c>
    </row>
    <row r="77" spans="1:2" x14ac:dyDescent="0.2">
      <c r="A77" t="str">
        <f>IFERROR(IF(ROW(A76)&lt;4,Dashboard!$A$2,IF(COUNTIF($A$3:A76,A76)&lt;COUNTA(Dashboard!$B:$B)-1, A76,IF(OR(A76="",INDEX(Dashboard!$A:$A,MATCH(A76,Dashboard!$A:$A,0)+1)=0),"",INDEX(Dashboard!$A:$A,MATCH(A76,Dashboard!$A:$A,0)+1)))),"")</f>
        <v/>
      </c>
      <c r="B77" t="str">
        <f>IFERROR(IF(A77="","",IF(A77&lt;&gt;A76,Dashboard!$B$2,INDEX(Dashboard!$B:$B,MATCH(Source!B76,Dashboard!$B:$B,0)+1))),"")</f>
        <v/>
      </c>
    </row>
    <row r="78" spans="1:2" x14ac:dyDescent="0.2">
      <c r="A78" t="str">
        <f>IFERROR(IF(ROW(A77)&lt;4,Dashboard!$A$2,IF(COUNTIF($A$3:A77,A77)&lt;COUNTA(Dashboard!$B:$B)-1, A77,IF(OR(A77="",INDEX(Dashboard!$A:$A,MATCH(A77,Dashboard!$A:$A,0)+1)=0),"",INDEX(Dashboard!$A:$A,MATCH(A77,Dashboard!$A:$A,0)+1)))),"")</f>
        <v/>
      </c>
      <c r="B78" t="str">
        <f>IFERROR(IF(A78="","",IF(A78&lt;&gt;A77,Dashboard!$B$2,INDEX(Dashboard!$B:$B,MATCH(Source!B77,Dashboard!$B:$B,0)+1))),"")</f>
        <v/>
      </c>
    </row>
    <row r="79" spans="1:2" x14ac:dyDescent="0.2">
      <c r="A79" t="str">
        <f>IFERROR(IF(ROW(A78)&lt;4,Dashboard!$A$2,IF(COUNTIF($A$3:A78,A78)&lt;COUNTA(Dashboard!$B:$B)-1, A78,IF(OR(A78="",INDEX(Dashboard!$A:$A,MATCH(A78,Dashboard!$A:$A,0)+1)=0),"",INDEX(Dashboard!$A:$A,MATCH(A78,Dashboard!$A:$A,0)+1)))),"")</f>
        <v/>
      </c>
      <c r="B79" t="str">
        <f>IFERROR(IF(A79="","",IF(A79&lt;&gt;A78,Dashboard!$B$2,INDEX(Dashboard!$B:$B,MATCH(Source!B78,Dashboard!$B:$B,0)+1))),"")</f>
        <v/>
      </c>
    </row>
    <row r="80" spans="1:2" x14ac:dyDescent="0.2">
      <c r="A80" t="str">
        <f>IFERROR(IF(ROW(A79)&lt;4,Dashboard!$A$2,IF(COUNTIF($A$3:A79,A79)&lt;COUNTA(Dashboard!$B:$B)-1, A79,IF(OR(A79="",INDEX(Dashboard!$A:$A,MATCH(A79,Dashboard!$A:$A,0)+1)=0),"",INDEX(Dashboard!$A:$A,MATCH(A79,Dashboard!$A:$A,0)+1)))),"")</f>
        <v/>
      </c>
      <c r="B80" t="str">
        <f>IFERROR(IF(A80="","",IF(A80&lt;&gt;A79,Dashboard!$B$2,INDEX(Dashboard!$B:$B,MATCH(Source!B79,Dashboard!$B:$B,0)+1))),"")</f>
        <v/>
      </c>
    </row>
    <row r="81" spans="1:2" x14ac:dyDescent="0.2">
      <c r="A81" t="str">
        <f>IFERROR(IF(ROW(A80)&lt;4,Dashboard!$A$2,IF(COUNTIF($A$3:A80,A80)&lt;COUNTA(Dashboard!$B:$B)-1, A80,IF(OR(A80="",INDEX(Dashboard!$A:$A,MATCH(A80,Dashboard!$A:$A,0)+1)=0),"",INDEX(Dashboard!$A:$A,MATCH(A80,Dashboard!$A:$A,0)+1)))),"")</f>
        <v/>
      </c>
      <c r="B81" t="str">
        <f>IFERROR(IF(A81="","",IF(A81&lt;&gt;A80,Dashboard!$B$2,INDEX(Dashboard!$B:$B,MATCH(Source!B80,Dashboard!$B:$B,0)+1))),"")</f>
        <v/>
      </c>
    </row>
    <row r="82" spans="1:2" s="7" customFormat="1" x14ac:dyDescent="0.2">
      <c r="A82" t="str">
        <f>IFERROR(IF(ROW(A81)&lt;4,Dashboard!$A$2,IF(COUNTIF($A$3:A81,A81)&lt;COUNTA(Dashboard!$B:$B)-1, A81,IF(OR(A81="",INDEX(Dashboard!$A:$A,MATCH(A81,Dashboard!$A:$A,0)+1)=0),"",INDEX(Dashboard!$A:$A,MATCH(A81,Dashboard!$A:$A,0)+1)))),"")</f>
        <v/>
      </c>
      <c r="B82" t="str">
        <f>IFERROR(IF(A82="","",IF(A82&lt;&gt;A81,Dashboard!$B$2,INDEX(Dashboard!$B:$B,MATCH(Source!B81,Dashboard!$B:$B,0)+1))),"")</f>
        <v/>
      </c>
    </row>
    <row r="83" spans="1:2" x14ac:dyDescent="0.2">
      <c r="A83" t="str">
        <f>IFERROR(IF(ROW(A82)&lt;4,Dashboard!$A$2,IF(COUNTIF($A$3:A82,A82)&lt;COUNTA(Dashboard!$B:$B)-1, A82,IF(OR(A82="",INDEX(Dashboard!$A:$A,MATCH(A82,Dashboard!$A:$A,0)+1)=0),"",INDEX(Dashboard!$A:$A,MATCH(A82,Dashboard!$A:$A,0)+1)))),"")</f>
        <v/>
      </c>
      <c r="B83" t="str">
        <f>IFERROR(IF(A83="","",IF(A83&lt;&gt;A82,Dashboard!$B$2,INDEX(Dashboard!$B:$B,MATCH(Source!B82,Dashboard!$B:$B,0)+1))),"")</f>
        <v/>
      </c>
    </row>
    <row r="84" spans="1:2" s="7" customFormat="1" x14ac:dyDescent="0.2">
      <c r="A84" t="str">
        <f>IFERROR(IF(ROW(A83)&lt;4,Dashboard!$A$2,IF(COUNTIF($A$3:A83,A83)&lt;COUNTA(Dashboard!$B:$B)-1, A83,IF(OR(A83="",INDEX(Dashboard!$A:$A,MATCH(A83,Dashboard!$A:$A,0)+1)=0),"",INDEX(Dashboard!$A:$A,MATCH(A83,Dashboard!$A:$A,0)+1)))),"")</f>
        <v/>
      </c>
      <c r="B84" t="str">
        <f>IFERROR(IF(A84="","",IF(A84&lt;&gt;A83,Dashboard!$B$2,INDEX(Dashboard!$B:$B,MATCH(Source!B83,Dashboard!$B:$B,0)+1))),"")</f>
        <v/>
      </c>
    </row>
    <row r="85" spans="1:2" s="7" customFormat="1" x14ac:dyDescent="0.2">
      <c r="A85" t="str">
        <f>IFERROR(IF(ROW(A84)&lt;4,Dashboard!$A$2,IF(COUNTIF($A$3:A84,A84)&lt;COUNTA(Dashboard!$B:$B)-1, A84,IF(OR(A84="",INDEX(Dashboard!$A:$A,MATCH(A84,Dashboard!$A:$A,0)+1)=0),"",INDEX(Dashboard!$A:$A,MATCH(A84,Dashboard!$A:$A,0)+1)))),"")</f>
        <v/>
      </c>
      <c r="B85" t="str">
        <f>IFERROR(IF(A85="","",IF(A85&lt;&gt;A84,Dashboard!$B$2,INDEX(Dashboard!$B:$B,MATCH(Source!B84,Dashboard!$B:$B,0)+1))),"")</f>
        <v/>
      </c>
    </row>
    <row r="86" spans="1:2" s="7" customFormat="1" x14ac:dyDescent="0.2">
      <c r="A86" t="str">
        <f>IFERROR(IF(ROW(A85)&lt;4,Dashboard!$A$2,IF(COUNTIF($A$3:A85,A85)&lt;COUNTA(Dashboard!$B:$B)-1, A85,IF(OR(A85="",INDEX(Dashboard!$A:$A,MATCH(A85,Dashboard!$A:$A,0)+1)=0),"",INDEX(Dashboard!$A:$A,MATCH(A85,Dashboard!$A:$A,0)+1)))),"")</f>
        <v/>
      </c>
      <c r="B86" t="str">
        <f>IFERROR(IF(A86="","",IF(A86&lt;&gt;A85,Dashboard!$B$2,INDEX(Dashboard!$B:$B,MATCH(Source!B85,Dashboard!$B:$B,0)+1))),"")</f>
        <v/>
      </c>
    </row>
    <row r="87" spans="1:2" s="7" customFormat="1" x14ac:dyDescent="0.2">
      <c r="A87" t="str">
        <f>IFERROR(IF(ROW(A86)&lt;4,Dashboard!$A$2,IF(COUNTIF($A$3:A86,A86)&lt;COUNTA(Dashboard!$B:$B)-1, A86,IF(OR(A86="",INDEX(Dashboard!$A:$A,MATCH(A86,Dashboard!$A:$A,0)+1)=0),"",INDEX(Dashboard!$A:$A,MATCH(A86,Dashboard!$A:$A,0)+1)))),"")</f>
        <v/>
      </c>
      <c r="B87" t="str">
        <f>IFERROR(IF(A87="","",IF(A87&lt;&gt;A86,Dashboard!$B$2,INDEX(Dashboard!$B:$B,MATCH(Source!B86,Dashboard!$B:$B,0)+1))),"")</f>
        <v/>
      </c>
    </row>
    <row r="88" spans="1:2" s="7" customFormat="1" x14ac:dyDescent="0.2">
      <c r="A88" t="str">
        <f>IFERROR(IF(ROW(A87)&lt;4,Dashboard!$A$2,IF(COUNTIF($A$3:A87,A87)&lt;COUNTA(Dashboard!$B:$B)-1, A87,IF(OR(A87="",INDEX(Dashboard!$A:$A,MATCH(A87,Dashboard!$A:$A,0)+1)=0),"",INDEX(Dashboard!$A:$A,MATCH(A87,Dashboard!$A:$A,0)+1)))),"")</f>
        <v/>
      </c>
      <c r="B88" t="str">
        <f>IFERROR(IF(A88="","",IF(A88&lt;&gt;A87,Dashboard!$B$2,INDEX(Dashboard!$B:$B,MATCH(Source!B87,Dashboard!$B:$B,0)+1))),"")</f>
        <v/>
      </c>
    </row>
    <row r="89" spans="1:2" s="7" customFormat="1" x14ac:dyDescent="0.2">
      <c r="A89" t="str">
        <f>IFERROR(IF(ROW(A88)&lt;4,Dashboard!$A$2,IF(COUNTIF($A$3:A88,A88)&lt;COUNTA(Dashboard!$B:$B)-1, A88,IF(OR(A88="",INDEX(Dashboard!$A:$A,MATCH(A88,Dashboard!$A:$A,0)+1)=0),"",INDEX(Dashboard!$A:$A,MATCH(A88,Dashboard!$A:$A,0)+1)))),"")</f>
        <v/>
      </c>
      <c r="B89" t="str">
        <f>IFERROR(IF(A89="","",IF(A89&lt;&gt;A88,Dashboard!$B$2,INDEX(Dashboard!$B:$B,MATCH(Source!B88,Dashboard!$B:$B,0)+1))),"")</f>
        <v/>
      </c>
    </row>
    <row r="90" spans="1:2" s="7" customFormat="1" x14ac:dyDescent="0.2">
      <c r="A90" t="str">
        <f>IFERROR(IF(ROW(A89)&lt;4,Dashboard!$A$2,IF(COUNTIF($A$3:A89,A89)&lt;COUNTA(Dashboard!$B:$B)-1, A89,IF(OR(A89="",INDEX(Dashboard!$A:$A,MATCH(A89,Dashboard!$A:$A,0)+1)=0),"",INDEX(Dashboard!$A:$A,MATCH(A89,Dashboard!$A:$A,0)+1)))),"")</f>
        <v/>
      </c>
      <c r="B90" t="str">
        <f>IFERROR(IF(A90="","",IF(A90&lt;&gt;A89,Dashboard!$B$2,INDEX(Dashboard!$B:$B,MATCH(Source!B89,Dashboard!$B:$B,0)+1))),"")</f>
        <v/>
      </c>
    </row>
    <row r="91" spans="1:2" s="7" customFormat="1" x14ac:dyDescent="0.2">
      <c r="A91" t="str">
        <f>IFERROR(IF(ROW(A90)&lt;4,Dashboard!$A$2,IF(COUNTIF($A$3:A90,A90)&lt;COUNTA(Dashboard!$B:$B)-1, A90,IF(OR(A90="",INDEX(Dashboard!$A:$A,MATCH(A90,Dashboard!$A:$A,0)+1)=0),"",INDEX(Dashboard!$A:$A,MATCH(A90,Dashboard!$A:$A,0)+1)))),"")</f>
        <v/>
      </c>
      <c r="B91" t="str">
        <f>IFERROR(IF(A91="","",IF(A91&lt;&gt;A90,Dashboard!$B$2,INDEX(Dashboard!$B:$B,MATCH(Source!B90,Dashboard!$B:$B,0)+1))),"")</f>
        <v/>
      </c>
    </row>
    <row r="92" spans="1:2" s="7" customFormat="1" x14ac:dyDescent="0.2">
      <c r="A92" t="str">
        <f>IFERROR(IF(ROW(A91)&lt;4,Dashboard!$A$2,IF(COUNTIF($A$3:A91,A91)&lt;COUNTA(Dashboard!$B:$B)-1, A91,IF(OR(A91="",INDEX(Dashboard!$A:$A,MATCH(A91,Dashboard!$A:$A,0)+1)=0),"",INDEX(Dashboard!$A:$A,MATCH(A91,Dashboard!$A:$A,0)+1)))),"")</f>
        <v/>
      </c>
      <c r="B92" t="str">
        <f>IFERROR(IF(A92="","",IF(A92&lt;&gt;A91,Dashboard!$B$2,INDEX(Dashboard!$B:$B,MATCH(Source!B91,Dashboard!$B:$B,0)+1))),"")</f>
        <v/>
      </c>
    </row>
    <row r="93" spans="1:2" s="7" customFormat="1" x14ac:dyDescent="0.2">
      <c r="A93" t="str">
        <f>IFERROR(IF(ROW(A92)&lt;4,Dashboard!$A$2,IF(COUNTIF($A$3:A92,A92)&lt;COUNTA(Dashboard!$B:$B)-1, A92,IF(OR(A92="",INDEX(Dashboard!$A:$A,MATCH(A92,Dashboard!$A:$A,0)+1)=0),"",INDEX(Dashboard!$A:$A,MATCH(A92,Dashboard!$A:$A,0)+1)))),"")</f>
        <v/>
      </c>
      <c r="B93" t="str">
        <f>IFERROR(IF(A93="","",IF(A93&lt;&gt;A92,Dashboard!$B$2,INDEX(Dashboard!$B:$B,MATCH(Source!B92,Dashboard!$B:$B,0)+1))),"")</f>
        <v/>
      </c>
    </row>
    <row r="94" spans="1:2" s="7" customFormat="1" x14ac:dyDescent="0.2">
      <c r="A94" t="str">
        <f>IFERROR(IF(ROW(A93)&lt;4,Dashboard!$A$2,IF(COUNTIF($A$3:A93,A93)&lt;COUNTA(Dashboard!$B:$B)-1, A93,IF(OR(A93="",INDEX(Dashboard!$A:$A,MATCH(A93,Dashboard!$A:$A,0)+1)=0),"",INDEX(Dashboard!$A:$A,MATCH(A93,Dashboard!$A:$A,0)+1)))),"")</f>
        <v/>
      </c>
      <c r="B94" t="str">
        <f>IFERROR(IF(A94="","",IF(A94&lt;&gt;A93,Dashboard!$B$2,INDEX(Dashboard!$B:$B,MATCH(Source!B93,Dashboard!$B:$B,0)+1))),"")</f>
        <v/>
      </c>
    </row>
    <row r="95" spans="1:2" s="7" customFormat="1" x14ac:dyDescent="0.2">
      <c r="A95" t="str">
        <f>IFERROR(IF(ROW(A94)&lt;4,Dashboard!$A$2,IF(COUNTIF($A$3:A94,A94)&lt;COUNTA(Dashboard!$B:$B)-1, A94,IF(OR(A94="",INDEX(Dashboard!$A:$A,MATCH(A94,Dashboard!$A:$A,0)+1)=0),"",INDEX(Dashboard!$A:$A,MATCH(A94,Dashboard!$A:$A,0)+1)))),"")</f>
        <v/>
      </c>
      <c r="B95" t="str">
        <f>IFERROR(IF(A95="","",IF(A95&lt;&gt;A94,Dashboard!$B$2,INDEX(Dashboard!$B:$B,MATCH(Source!B94,Dashboard!$B:$B,0)+1))),"")</f>
        <v/>
      </c>
    </row>
    <row r="96" spans="1:2" s="7" customFormat="1" x14ac:dyDescent="0.2">
      <c r="A96" t="str">
        <f>IFERROR(IF(ROW(A95)&lt;4,Dashboard!$A$2,IF(COUNTIF($A$3:A95,A95)&lt;COUNTA(Dashboard!$B:$B)-1, A95,IF(OR(A95="",INDEX(Dashboard!$A:$A,MATCH(A95,Dashboard!$A:$A,0)+1)=0),"",INDEX(Dashboard!$A:$A,MATCH(A95,Dashboard!$A:$A,0)+1)))),"")</f>
        <v/>
      </c>
      <c r="B96" t="str">
        <f>IFERROR(IF(A96="","",IF(A96&lt;&gt;A95,Dashboard!$B$2,INDEX(Dashboard!$B:$B,MATCH(Source!B95,Dashboard!$B:$B,0)+1))),"")</f>
        <v/>
      </c>
    </row>
    <row r="97" spans="1:2" s="7" customFormat="1" x14ac:dyDescent="0.2">
      <c r="A97" t="str">
        <f>IFERROR(IF(ROW(A96)&lt;4,Dashboard!$A$2,IF(COUNTIF($A$3:A96,A96)&lt;COUNTA(Dashboard!$B:$B)-1, A96,IF(OR(A96="",INDEX(Dashboard!$A:$A,MATCH(A96,Dashboard!$A:$A,0)+1)=0),"",INDEX(Dashboard!$A:$A,MATCH(A96,Dashboard!$A:$A,0)+1)))),"")</f>
        <v/>
      </c>
      <c r="B97" t="str">
        <f>IFERROR(IF(A97="","",IF(A97&lt;&gt;A96,Dashboard!$B$2,INDEX(Dashboard!$B:$B,MATCH(Source!B96,Dashboard!$B:$B,0)+1))),"")</f>
        <v/>
      </c>
    </row>
    <row r="98" spans="1:2" s="7" customFormat="1" x14ac:dyDescent="0.2">
      <c r="A98" t="str">
        <f>IFERROR(IF(ROW(A97)&lt;4,Dashboard!$A$2,IF(COUNTIF($A$3:A97,A97)&lt;COUNTA(Dashboard!$B:$B)-1, A97,IF(OR(A97="",INDEX(Dashboard!$A:$A,MATCH(A97,Dashboard!$A:$A,0)+1)=0),"",INDEX(Dashboard!$A:$A,MATCH(A97,Dashboard!$A:$A,0)+1)))),"")</f>
        <v/>
      </c>
      <c r="B98" t="str">
        <f>IFERROR(IF(A98="","",IF(A98&lt;&gt;A97,Dashboard!$B$2,INDEX(Dashboard!$B:$B,MATCH(Source!B97,Dashboard!$B:$B,0)+1))),"")</f>
        <v/>
      </c>
    </row>
    <row r="99" spans="1:2" s="7" customFormat="1" x14ac:dyDescent="0.2">
      <c r="A99" t="str">
        <f>IFERROR(IF(ROW(A98)&lt;4,Dashboard!$A$2,IF(COUNTIF($A$3:A98,A98)&lt;COUNTA(Dashboard!$B:$B)-1, A98,IF(OR(A98="",INDEX(Dashboard!$A:$A,MATCH(A98,Dashboard!$A:$A,0)+1)=0),"",INDEX(Dashboard!$A:$A,MATCH(A98,Dashboard!$A:$A,0)+1)))),"")</f>
        <v/>
      </c>
      <c r="B99" t="str">
        <f>IFERROR(IF(A99="","",IF(A99&lt;&gt;A98,Dashboard!$B$2,INDEX(Dashboard!$B:$B,MATCH(Source!B98,Dashboard!$B:$B,0)+1))),"")</f>
        <v/>
      </c>
    </row>
    <row r="100" spans="1:2" s="7" customFormat="1" x14ac:dyDescent="0.2">
      <c r="A100" t="str">
        <f>IFERROR(IF(ROW(A99)&lt;4,Dashboard!$A$2,IF(COUNTIF($A$3:A99,A99)&lt;COUNTA(Dashboard!$B:$B)-1, A99,IF(OR(A99="",INDEX(Dashboard!$A:$A,MATCH(A99,Dashboard!$A:$A,0)+1)=0),"",INDEX(Dashboard!$A:$A,MATCH(A99,Dashboard!$A:$A,0)+1)))),"")</f>
        <v/>
      </c>
      <c r="B100" t="str">
        <f>IFERROR(IF(A100="","",IF(A100&lt;&gt;A99,Dashboard!$B$2,INDEX(Dashboard!$B:$B,MATCH(Source!B99,Dashboard!$B:$B,0)+1))),"")</f>
        <v/>
      </c>
    </row>
    <row r="101" spans="1:2" s="7" customFormat="1" x14ac:dyDescent="0.2">
      <c r="A101" t="str">
        <f>IFERROR(IF(ROW(A100)&lt;4,Dashboard!$A$2,IF(COUNTIF($A$3:A100,A100)&lt;COUNTA(Dashboard!$B:$B)-1, A100,IF(OR(A100="",INDEX(Dashboard!$A:$A,MATCH(A100,Dashboard!$A:$A,0)+1)=0),"",INDEX(Dashboard!$A:$A,MATCH(A100,Dashboard!$A:$A,0)+1)))),"")</f>
        <v/>
      </c>
      <c r="B101" t="str">
        <f>IFERROR(IF(A101="","",IF(A101&lt;&gt;A100,Dashboard!$B$2,INDEX(Dashboard!$B:$B,MATCH(Source!B100,Dashboard!$B:$B,0)+1))),"")</f>
        <v/>
      </c>
    </row>
    <row r="102" spans="1:2" x14ac:dyDescent="0.2">
      <c r="A102" t="str">
        <f>IFERROR(IF(ROW(A101)&lt;4,Dashboard!$A$2,IF(COUNTIF($A$3:A101,A101)&lt;COUNTA(Dashboard!$B:$B)-1, A101,IF(OR(A101="",INDEX(Dashboard!$A:$A,MATCH(A101,Dashboard!$A:$A,0)+1)=0),"",INDEX(Dashboard!$A:$A,MATCH(A101,Dashboard!$A:$A,0)+1)))),"")</f>
        <v/>
      </c>
      <c r="B102" t="str">
        <f>IFERROR(IF(A102="","",IF(A102&lt;&gt;A101,Dashboard!$B$2,INDEX(Dashboard!$B:$B,MATCH(Source!B101,Dashboard!$B:$B,0)+1))),"")</f>
        <v/>
      </c>
    </row>
    <row r="103" spans="1:2" x14ac:dyDescent="0.2">
      <c r="A103" t="str">
        <f>IFERROR(IF(ROW(A102)&lt;4,Dashboard!$A$2,IF(COUNTIF($A$3:A102,A102)&lt;COUNTA(Dashboard!$B:$B)-1, A102,IF(OR(A102="",INDEX(Dashboard!$A:$A,MATCH(A102,Dashboard!$A:$A,0)+1)=0),"",INDEX(Dashboard!$A:$A,MATCH(A102,Dashboard!$A:$A,0)+1)))),"")</f>
        <v/>
      </c>
      <c r="B103" t="str">
        <f>IFERROR(IF(A103="","",IF(A103&lt;&gt;A102,Dashboard!$B$2,INDEX(Dashboard!$B:$B,MATCH(Source!B102,Dashboard!$B:$B,0)+1))),"")</f>
        <v/>
      </c>
    </row>
    <row r="104" spans="1:2" s="7" customFormat="1" x14ac:dyDescent="0.2">
      <c r="A104" t="str">
        <f>IFERROR(IF(ROW(A103)&lt;4,Dashboard!$A$2,IF(COUNTIF($A$3:A103,A103)&lt;COUNTA(Dashboard!$B:$B)-1, A103,IF(OR(A103="",INDEX(Dashboard!$A:$A,MATCH(A103,Dashboard!$A:$A,0)+1)=0),"",INDEX(Dashboard!$A:$A,MATCH(A103,Dashboard!$A:$A,0)+1)))),"")</f>
        <v/>
      </c>
      <c r="B104" t="str">
        <f>IFERROR(IF(A104="","",IF(A104&lt;&gt;A103,Dashboard!$B$2,INDEX(Dashboard!$B:$B,MATCH(Source!B103,Dashboard!$B:$B,0)+1))),"")</f>
        <v/>
      </c>
    </row>
    <row r="105" spans="1:2" x14ac:dyDescent="0.2">
      <c r="A105" t="str">
        <f>IFERROR(IF(ROW(A104)&lt;4,Dashboard!$A$2,IF(COUNTIF($A$3:A104,A104)&lt;COUNTA(Dashboard!$B:$B)-1, A104,IF(OR(A104="",INDEX(Dashboard!$A:$A,MATCH(A104,Dashboard!$A:$A,0)+1)=0),"",INDEX(Dashboard!$A:$A,MATCH(A104,Dashboard!$A:$A,0)+1)))),"")</f>
        <v/>
      </c>
      <c r="B105" t="str">
        <f>IFERROR(IF(A105="","",IF(A105&lt;&gt;A104,Dashboard!$B$2,INDEX(Dashboard!$B:$B,MATCH(Source!B104,Dashboard!$B:$B,0)+1))),"")</f>
        <v/>
      </c>
    </row>
    <row r="106" spans="1:2" x14ac:dyDescent="0.2">
      <c r="A106" t="str">
        <f>IFERROR(IF(ROW(A105)&lt;4,Dashboard!$A$2,IF(COUNTIF($A$3:A105,A105)&lt;COUNTA(Dashboard!$B:$B)-1, A105,IF(OR(A105="",INDEX(Dashboard!$A:$A,MATCH(A105,Dashboard!$A:$A,0)+1)=0),"",INDEX(Dashboard!$A:$A,MATCH(A105,Dashboard!$A:$A,0)+1)))),"")</f>
        <v/>
      </c>
      <c r="B106" t="str">
        <f>IFERROR(IF(A106="","",IF(A106&lt;&gt;A105,Dashboard!$B$2,INDEX(Dashboard!$B:$B,MATCH(Source!B105,Dashboard!$B:$B,0)+1))),"")</f>
        <v/>
      </c>
    </row>
    <row r="107" spans="1:2" x14ac:dyDescent="0.2">
      <c r="A107" t="str">
        <f>IFERROR(IF(ROW(A106)&lt;4,Dashboard!$A$2,IF(COUNTIF($A$3:A106,A106)&lt;COUNTA(Dashboard!$B:$B)-1, A106,IF(OR(A106="",INDEX(Dashboard!$A:$A,MATCH(A106,Dashboard!$A:$A,0)+1)=0),"",INDEX(Dashboard!$A:$A,MATCH(A106,Dashboard!$A:$A,0)+1)))),"")</f>
        <v/>
      </c>
      <c r="B107" t="str">
        <f>IFERROR(IF(A107="","",IF(A107&lt;&gt;A106,Dashboard!$B$2,INDEX(Dashboard!$B:$B,MATCH(Source!B106,Dashboard!$B:$B,0)+1))),"")</f>
        <v/>
      </c>
    </row>
    <row r="108" spans="1:2" x14ac:dyDescent="0.2">
      <c r="A108" t="str">
        <f>IFERROR(IF(ROW(A107)&lt;4,Dashboard!$A$2,IF(COUNTIF($A$3:A107,A107)&lt;COUNTA(Dashboard!$B:$B)-1, A107,IF(OR(A107="",INDEX(Dashboard!$A:$A,MATCH(A107,Dashboard!$A:$A,0)+1)=0),"",INDEX(Dashboard!$A:$A,MATCH(A107,Dashboard!$A:$A,0)+1)))),"")</f>
        <v/>
      </c>
      <c r="B108" t="str">
        <f>IFERROR(IF(A108="","",IF(A108&lt;&gt;A107,Dashboard!$B$2,INDEX(Dashboard!$B:$B,MATCH(Source!B107,Dashboard!$B:$B,0)+1))),"")</f>
        <v/>
      </c>
    </row>
    <row r="109" spans="1:2" x14ac:dyDescent="0.2">
      <c r="A109" t="str">
        <f>IFERROR(IF(ROW(A108)&lt;4,Dashboard!$A$2,IF(COUNTIF($A$3:A108,A108)&lt;COUNTA(Dashboard!$B:$B)-1, A108,IF(OR(A108="",INDEX(Dashboard!$A:$A,MATCH(A108,Dashboard!$A:$A,0)+1)=0),"",INDEX(Dashboard!$A:$A,MATCH(A108,Dashboard!$A:$A,0)+1)))),"")</f>
        <v/>
      </c>
      <c r="B109" t="str">
        <f>IFERROR(IF(A109="","",IF(A109&lt;&gt;A108,Dashboard!$B$2,INDEX(Dashboard!$B:$B,MATCH(Source!B108,Dashboard!$B:$B,0)+1))),"")</f>
        <v/>
      </c>
    </row>
    <row r="110" spans="1:2" x14ac:dyDescent="0.2">
      <c r="A110" t="str">
        <f>IFERROR(IF(ROW(A109)&lt;4,Dashboard!$A$2,IF(COUNTIF($A$3:A109,A109)&lt;COUNTA(Dashboard!$B:$B)-1, A109,IF(OR(A109="",INDEX(Dashboard!$A:$A,MATCH(A109,Dashboard!$A:$A,0)+1)=0),"",INDEX(Dashboard!$A:$A,MATCH(A109,Dashboard!$A:$A,0)+1)))),"")</f>
        <v/>
      </c>
      <c r="B110" t="str">
        <f>IFERROR(IF(A110="","",IF(A110&lt;&gt;A109,Dashboard!$B$2,INDEX(Dashboard!$B:$B,MATCH(Source!B109,Dashboard!$B:$B,0)+1))),"")</f>
        <v/>
      </c>
    </row>
    <row r="111" spans="1:2" x14ac:dyDescent="0.2">
      <c r="A111" t="str">
        <f>IFERROR(IF(ROW(A110)&lt;4,Dashboard!$A$2,IF(COUNTIF($A$3:A110,A110)&lt;COUNTA(Dashboard!$B:$B)-1, A110,IF(OR(A110="",INDEX(Dashboard!$A:$A,MATCH(A110,Dashboard!$A:$A,0)+1)=0),"",INDEX(Dashboard!$A:$A,MATCH(A110,Dashboard!$A:$A,0)+1)))),"")</f>
        <v/>
      </c>
      <c r="B111" t="str">
        <f>IFERROR(IF(A111="","",IF(A111&lt;&gt;A110,Dashboard!$B$2,INDEX(Dashboard!$B:$B,MATCH(Source!B110,Dashboard!$B:$B,0)+1))),"")</f>
        <v/>
      </c>
    </row>
    <row r="112" spans="1:2" x14ac:dyDescent="0.2">
      <c r="A112" t="str">
        <f>IFERROR(IF(ROW(A111)&lt;4,Dashboard!$A$2,IF(COUNTIF($A$3:A111,A111)&lt;COUNTA(Dashboard!$B:$B)-1, A111,IF(OR(A111="",INDEX(Dashboard!$A:$A,MATCH(A111,Dashboard!$A:$A,0)+1)=0),"",INDEX(Dashboard!$A:$A,MATCH(A111,Dashboard!$A:$A,0)+1)))),"")</f>
        <v/>
      </c>
      <c r="B112" t="str">
        <f>IFERROR(IF(A112="","",IF(A112&lt;&gt;A111,Dashboard!$B$2,INDEX(Dashboard!$B:$B,MATCH(Source!B111,Dashboard!$B:$B,0)+1))),"")</f>
        <v/>
      </c>
    </row>
    <row r="113" spans="1:2" x14ac:dyDescent="0.2">
      <c r="A113" t="str">
        <f>IFERROR(IF(ROW(A112)&lt;4,Dashboard!$A$2,IF(COUNTIF($A$3:A112,A112)&lt;COUNTA(Dashboard!$B:$B)-1, A112,IF(OR(A112="",INDEX(Dashboard!$A:$A,MATCH(A112,Dashboard!$A:$A,0)+1)=0),"",INDEX(Dashboard!$A:$A,MATCH(A112,Dashboard!$A:$A,0)+1)))),"")</f>
        <v/>
      </c>
      <c r="B113" t="str">
        <f>IFERROR(IF(A113="","",IF(A113&lt;&gt;A112,Dashboard!$B$2,INDEX(Dashboard!$B:$B,MATCH(Source!B112,Dashboard!$B:$B,0)+1))),"")</f>
        <v/>
      </c>
    </row>
    <row r="114" spans="1:2" x14ac:dyDescent="0.2">
      <c r="A114" t="str">
        <f>IFERROR(IF(ROW(A113)&lt;4,Dashboard!$A$2,IF(COUNTIF($A$3:A113,A113)&lt;COUNTA(Dashboard!$B:$B)-1, A113,IF(OR(A113="",INDEX(Dashboard!$A:$A,MATCH(A113,Dashboard!$A:$A,0)+1)=0),"",INDEX(Dashboard!$A:$A,MATCH(A113,Dashboard!$A:$A,0)+1)))),"")</f>
        <v/>
      </c>
      <c r="B114" t="str">
        <f>IFERROR(IF(A114="","",IF(A114&lt;&gt;A113,Dashboard!$B$2,INDEX(Dashboard!$B:$B,MATCH(Source!B113,Dashboard!$B:$B,0)+1))),"")</f>
        <v/>
      </c>
    </row>
    <row r="115" spans="1:2" x14ac:dyDescent="0.2">
      <c r="A115" t="str">
        <f>IFERROR(IF(ROW(A114)&lt;4,Dashboard!$A$2,IF(COUNTIF($A$3:A114,A114)&lt;COUNTA(Dashboard!$B:$B)-1, A114,IF(OR(A114="",INDEX(Dashboard!$A:$A,MATCH(A114,Dashboard!$A:$A,0)+1)=0),"",INDEX(Dashboard!$A:$A,MATCH(A114,Dashboard!$A:$A,0)+1)))),"")</f>
        <v/>
      </c>
      <c r="B115" t="str">
        <f>IFERROR(IF(A115="","",IF(A115&lt;&gt;A114,Dashboard!$B$2,INDEX(Dashboard!$B:$B,MATCH(Source!B114,Dashboard!$B:$B,0)+1))),"")</f>
        <v/>
      </c>
    </row>
    <row r="116" spans="1:2" x14ac:dyDescent="0.2">
      <c r="A116" t="str">
        <f>IFERROR(IF(ROW(A115)&lt;4,Dashboard!$A$2,IF(COUNTIF($A$3:A115,A115)&lt;COUNTA(Dashboard!$B:$B)-1, A115,IF(OR(A115="",INDEX(Dashboard!$A:$A,MATCH(A115,Dashboard!$A:$A,0)+1)=0),"",INDEX(Dashboard!$A:$A,MATCH(A115,Dashboard!$A:$A,0)+1)))),"")</f>
        <v/>
      </c>
      <c r="B116" t="str">
        <f>IFERROR(IF(A116="","",IF(A116&lt;&gt;A115,Dashboard!$B$2,INDEX(Dashboard!$B:$B,MATCH(Source!B115,Dashboard!$B:$B,0)+1))),"")</f>
        <v/>
      </c>
    </row>
    <row r="117" spans="1:2" x14ac:dyDescent="0.2">
      <c r="A117" t="str">
        <f>IFERROR(IF(ROW(A116)&lt;4,Dashboard!$A$2,IF(COUNTIF($A$3:A116,A116)&lt;COUNTA(Dashboard!$B:$B)-1, A116,IF(OR(A116="",INDEX(Dashboard!$A:$A,MATCH(A116,Dashboard!$A:$A,0)+1)=0),"",INDEX(Dashboard!$A:$A,MATCH(A116,Dashboard!$A:$A,0)+1)))),"")</f>
        <v/>
      </c>
      <c r="B117" t="str">
        <f>IFERROR(IF(A117="","",IF(A117&lt;&gt;A116,Dashboard!$B$2,INDEX(Dashboard!$B:$B,MATCH(Source!B116,Dashboard!$B:$B,0)+1))),"")</f>
        <v/>
      </c>
    </row>
    <row r="118" spans="1:2" x14ac:dyDescent="0.2">
      <c r="A118" t="str">
        <f>IFERROR(IF(ROW(A117)&lt;4,Dashboard!$A$2,IF(COUNTIF($A$3:A117,A117)&lt;COUNTA(Dashboard!$B:$B)-1, A117,IF(OR(A117="",INDEX(Dashboard!$A:$A,MATCH(A117,Dashboard!$A:$A,0)+1)=0),"",INDEX(Dashboard!$A:$A,MATCH(A117,Dashboard!$A:$A,0)+1)))),"")</f>
        <v/>
      </c>
      <c r="B118" t="str">
        <f>IFERROR(IF(A118="","",IF(A118&lt;&gt;A117,Dashboard!$B$2,INDEX(Dashboard!$B:$B,MATCH(Source!B117,Dashboard!$B:$B,0)+1))),"")</f>
        <v/>
      </c>
    </row>
    <row r="119" spans="1:2" x14ac:dyDescent="0.2">
      <c r="A119" t="str">
        <f>IFERROR(IF(ROW(A118)&lt;4,Dashboard!$A$2,IF(COUNTIF($A$3:A118,A118)&lt;COUNTA(Dashboard!$B:$B)-1, A118,IF(OR(A118="",INDEX(Dashboard!$A:$A,MATCH(A118,Dashboard!$A:$A,0)+1)=0),"",INDEX(Dashboard!$A:$A,MATCH(A118,Dashboard!$A:$A,0)+1)))),"")</f>
        <v/>
      </c>
      <c r="B119" t="str">
        <f>IFERROR(IF(A119="","",IF(A119&lt;&gt;A118,Dashboard!$B$2,INDEX(Dashboard!$B:$B,MATCH(Source!B118,Dashboard!$B:$B,0)+1))),"")</f>
        <v/>
      </c>
    </row>
    <row r="120" spans="1:2" x14ac:dyDescent="0.2">
      <c r="A120" t="str">
        <f>IFERROR(IF(ROW(A119)&lt;4,Dashboard!$A$2,IF(COUNTIF($A$3:A119,A119)&lt;COUNTA(Dashboard!$B:$B)-1, A119,IF(OR(A119="",INDEX(Dashboard!$A:$A,MATCH(A119,Dashboard!$A:$A,0)+1)=0),"",INDEX(Dashboard!$A:$A,MATCH(A119,Dashboard!$A:$A,0)+1)))),"")</f>
        <v/>
      </c>
      <c r="B120" t="str">
        <f>IFERROR(IF(A120="","",IF(A120&lt;&gt;A119,Dashboard!$B$2,INDEX(Dashboard!$B:$B,MATCH(Source!B119,Dashboard!$B:$B,0)+1))),"")</f>
        <v/>
      </c>
    </row>
    <row r="121" spans="1:2" x14ac:dyDescent="0.2">
      <c r="A121" t="str">
        <f>IFERROR(IF(ROW(A120)&lt;4,Dashboard!$A$2,IF(COUNTIF($A$3:A120,A120)&lt;COUNTA(Dashboard!$B:$B)-1, A120,IF(OR(A120="",INDEX(Dashboard!$A:$A,MATCH(A120,Dashboard!$A:$A,0)+1)=0),"",INDEX(Dashboard!$A:$A,MATCH(A120,Dashboard!$A:$A,0)+1)))),"")</f>
        <v/>
      </c>
      <c r="B121" t="str">
        <f>IFERROR(IF(A121="","",IF(A121&lt;&gt;A120,Dashboard!$B$2,INDEX(Dashboard!$B:$B,MATCH(Source!B120,Dashboard!$B:$B,0)+1))),"")</f>
        <v/>
      </c>
    </row>
    <row r="122" spans="1:2" x14ac:dyDescent="0.2">
      <c r="A122" t="str">
        <f>IFERROR(IF(ROW(A121)&lt;4,Dashboard!$A$2,IF(COUNTIF($A$3:A121,A121)&lt;COUNTA(Dashboard!$B:$B)-1, A121,IF(OR(A121="",INDEX(Dashboard!$A:$A,MATCH(A121,Dashboard!$A:$A,0)+1)=0),"",INDEX(Dashboard!$A:$A,MATCH(A121,Dashboard!$A:$A,0)+1)))),"")</f>
        <v/>
      </c>
      <c r="B122" t="str">
        <f>IFERROR(IF(A122="","",IF(A122&lt;&gt;A121,Dashboard!$B$2,INDEX(Dashboard!$B:$B,MATCH(Source!B121,Dashboard!$B:$B,0)+1))),"")</f>
        <v/>
      </c>
    </row>
    <row r="123" spans="1:2" x14ac:dyDescent="0.2">
      <c r="A123" t="str">
        <f>IFERROR(IF(ROW(A122)&lt;4,Dashboard!$A$2,IF(COUNTIF($A$3:A122,A122)&lt;COUNTA(Dashboard!$B:$B)-1, A122,IF(OR(A122="",INDEX(Dashboard!$A:$A,MATCH(A122,Dashboard!$A:$A,0)+1)=0),"",INDEX(Dashboard!$A:$A,MATCH(A122,Dashboard!$A:$A,0)+1)))),"")</f>
        <v/>
      </c>
      <c r="B123" t="str">
        <f>IFERROR(IF(A123="","",IF(A123&lt;&gt;A122,Dashboard!$B$2,INDEX(Dashboard!$B:$B,MATCH(Source!B122,Dashboard!$B:$B,0)+1))),"")</f>
        <v/>
      </c>
    </row>
    <row r="124" spans="1:2" x14ac:dyDescent="0.2">
      <c r="A124" t="str">
        <f>IFERROR(IF(ROW(A123)&lt;4,Dashboard!$A$2,IF(COUNTIF($A$3:A123,A123)&lt;COUNTA(Dashboard!$B:$B)-1, A123,IF(OR(A123="",INDEX(Dashboard!$A:$A,MATCH(A123,Dashboard!$A:$A,0)+1)=0),"",INDEX(Dashboard!$A:$A,MATCH(A123,Dashboard!$A:$A,0)+1)))),"")</f>
        <v/>
      </c>
      <c r="B124" t="str">
        <f>IFERROR(IF(A124="","",IF(A124&lt;&gt;A123,Dashboard!$B$2,INDEX(Dashboard!$B:$B,MATCH(Source!B123,Dashboard!$B:$B,0)+1))),"")</f>
        <v/>
      </c>
    </row>
    <row r="125" spans="1:2" x14ac:dyDescent="0.2">
      <c r="A125" t="str">
        <f>IFERROR(IF(ROW(A124)&lt;4,Dashboard!$A$2,IF(COUNTIF($A$3:A124,A124)&lt;COUNTA(Dashboard!$B:$B)-1, A124,IF(OR(A124="",INDEX(Dashboard!$A:$A,MATCH(A124,Dashboard!$A:$A,0)+1)=0),"",INDEX(Dashboard!$A:$A,MATCH(A124,Dashboard!$A:$A,0)+1)))),"")</f>
        <v/>
      </c>
      <c r="B125" t="str">
        <f>IFERROR(IF(A125="","",IF(A125&lt;&gt;A124,Dashboard!$B$2,INDEX(Dashboard!$B:$B,MATCH(Source!B124,Dashboard!$B:$B,0)+1))),"")</f>
        <v/>
      </c>
    </row>
    <row r="126" spans="1:2" x14ac:dyDescent="0.2">
      <c r="A126" t="str">
        <f>IFERROR(IF(ROW(A125)&lt;4,Dashboard!$A$2,IF(COUNTIF($A$3:A125,A125)&lt;COUNTA(Dashboard!$B:$B)-1, A125,IF(OR(A125="",INDEX(Dashboard!$A:$A,MATCH(A125,Dashboard!$A:$A,0)+1)=0),"",INDEX(Dashboard!$A:$A,MATCH(A125,Dashboard!$A:$A,0)+1)))),"")</f>
        <v/>
      </c>
      <c r="B126" t="str">
        <f>IFERROR(IF(A126="","",IF(A126&lt;&gt;A125,Dashboard!$B$2,INDEX(Dashboard!$B:$B,MATCH(Source!B125,Dashboard!$B:$B,0)+1))),"")</f>
        <v/>
      </c>
    </row>
    <row r="127" spans="1:2" x14ac:dyDescent="0.2">
      <c r="A127" t="str">
        <f>IFERROR(IF(ROW(A126)&lt;4,Dashboard!$A$2,IF(COUNTIF($A$3:A126,A126)&lt;COUNTA(Dashboard!$B:$B)-1, A126,IF(OR(A126="",INDEX(Dashboard!$A:$A,MATCH(A126,Dashboard!$A:$A,0)+1)=0),"",INDEX(Dashboard!$A:$A,MATCH(A126,Dashboard!$A:$A,0)+1)))),"")</f>
        <v/>
      </c>
      <c r="B127" t="str">
        <f>IFERROR(IF(A127="","",IF(A127&lt;&gt;A126,Dashboard!$B$2,INDEX(Dashboard!$B:$B,MATCH(Source!B126,Dashboard!$B:$B,0)+1))),"")</f>
        <v/>
      </c>
    </row>
    <row r="128" spans="1:2" x14ac:dyDescent="0.2">
      <c r="A128" t="str">
        <f>IFERROR(IF(ROW(A127)&lt;4,Dashboard!$A$2,IF(COUNTIF($A$3:A127,A127)&lt;COUNTA(Dashboard!$B:$B)-1, A127,IF(OR(A127="",INDEX(Dashboard!$A:$A,MATCH(A127,Dashboard!$A:$A,0)+1)=0),"",INDEX(Dashboard!$A:$A,MATCH(A127,Dashboard!$A:$A,0)+1)))),"")</f>
        <v/>
      </c>
      <c r="B128" t="str">
        <f>IFERROR(IF(A128="","",IF(A128&lt;&gt;A127,Dashboard!$B$2,INDEX(Dashboard!$B:$B,MATCH(Source!B127,Dashboard!$B:$B,0)+1))),"")</f>
        <v/>
      </c>
    </row>
    <row r="129" spans="1:2" x14ac:dyDescent="0.2">
      <c r="A129" t="str">
        <f>IFERROR(IF(ROW(A128)&lt;4,Dashboard!$A$2,IF(COUNTIF($A$3:A128,A128)&lt;COUNTA(Dashboard!$B:$B)-1, A128,IF(OR(A128="",INDEX(Dashboard!$A:$A,MATCH(A128,Dashboard!$A:$A,0)+1)=0),"",INDEX(Dashboard!$A:$A,MATCH(A128,Dashboard!$A:$A,0)+1)))),"")</f>
        <v/>
      </c>
      <c r="B129" t="str">
        <f>IFERROR(IF(A129="","",IF(A129&lt;&gt;A128,Dashboard!$B$2,INDEX(Dashboard!$B:$B,MATCH(Source!B128,Dashboard!$B:$B,0)+1))),"")</f>
        <v/>
      </c>
    </row>
    <row r="130" spans="1:2" x14ac:dyDescent="0.2">
      <c r="A130" t="str">
        <f>IFERROR(IF(ROW(A129)&lt;4,Dashboard!$A$2,IF(COUNTIF($A$3:A129,A129)&lt;COUNTA(Dashboard!$B:$B)-1, A129,IF(OR(A129="",INDEX(Dashboard!$A:$A,MATCH(A129,Dashboard!$A:$A,0)+1)=0),"",INDEX(Dashboard!$A:$A,MATCH(A129,Dashboard!$A:$A,0)+1)))),"")</f>
        <v/>
      </c>
      <c r="B130" t="str">
        <f>IFERROR(IF(A130="","",IF(A130&lt;&gt;A129,Dashboard!$B$2,INDEX(Dashboard!$B:$B,MATCH(Source!B129,Dashboard!$B:$B,0)+1))),"")</f>
        <v/>
      </c>
    </row>
    <row r="131" spans="1:2" x14ac:dyDescent="0.2">
      <c r="A131" t="str">
        <f>IFERROR(IF(ROW(A130)&lt;4,Dashboard!$A$2,IF(COUNTIF($A$3:A130,A130)&lt;COUNTA(Dashboard!$B:$B)-1, A130,IF(OR(A130="",INDEX(Dashboard!$A:$A,MATCH(A130,Dashboard!$A:$A,0)+1)=0),"",INDEX(Dashboard!$A:$A,MATCH(A130,Dashboard!$A:$A,0)+1)))),"")</f>
        <v/>
      </c>
      <c r="B131" t="str">
        <f>IFERROR(IF(A131="","",IF(A131&lt;&gt;A130,Dashboard!$B$2,INDEX(Dashboard!$B:$B,MATCH(Source!B130,Dashboard!$B:$B,0)+1))),"")</f>
        <v/>
      </c>
    </row>
    <row r="132" spans="1:2" x14ac:dyDescent="0.2">
      <c r="A132" t="str">
        <f>IFERROR(IF(ROW(A131)&lt;4,Dashboard!$A$2,IF(COUNTIF($A$3:A131,A131)&lt;COUNTA(Dashboard!$B:$B)-1, A131,IF(OR(A131="",INDEX(Dashboard!$A:$A,MATCH(A131,Dashboard!$A:$A,0)+1)=0),"",INDEX(Dashboard!$A:$A,MATCH(A131,Dashboard!$A:$A,0)+1)))),"")</f>
        <v/>
      </c>
      <c r="B132" t="str">
        <f>IFERROR(IF(A132="","",IF(A132&lt;&gt;A131,Dashboard!$B$2,INDEX(Dashboard!$B:$B,MATCH(Source!B131,Dashboard!$B:$B,0)+1))),"")</f>
        <v/>
      </c>
    </row>
    <row r="133" spans="1:2" x14ac:dyDescent="0.2">
      <c r="A133" t="str">
        <f>IFERROR(IF(ROW(A132)&lt;4,Dashboard!$A$2,IF(COUNTIF($A$3:A132,A132)&lt;COUNTA(Dashboard!$B:$B)-1, A132,IF(OR(A132="",INDEX(Dashboard!$A:$A,MATCH(A132,Dashboard!$A:$A,0)+1)=0),"",INDEX(Dashboard!$A:$A,MATCH(A132,Dashboard!$A:$A,0)+1)))),"")</f>
        <v/>
      </c>
      <c r="B133" t="str">
        <f>IFERROR(IF(A133="","",IF(A133&lt;&gt;A132,Dashboard!$B$2,INDEX(Dashboard!$B:$B,MATCH(Source!B132,Dashboard!$B:$B,0)+1))),"")</f>
        <v/>
      </c>
    </row>
    <row r="134" spans="1:2" x14ac:dyDescent="0.2">
      <c r="A134" t="str">
        <f>IFERROR(IF(ROW(A133)&lt;4,Dashboard!$A$2,IF(COUNTIF($A$3:A133,A133)&lt;COUNTA(Dashboard!$B:$B)-1, A133,IF(OR(A133="",INDEX(Dashboard!$A:$A,MATCH(A133,Dashboard!$A:$A,0)+1)=0),"",INDEX(Dashboard!$A:$A,MATCH(A133,Dashboard!$A:$A,0)+1)))),"")</f>
        <v/>
      </c>
      <c r="B134" t="str">
        <f>IFERROR(IF(A134="","",IF(A134&lt;&gt;A133,Dashboard!$B$2,INDEX(Dashboard!$B:$B,MATCH(Source!B133,Dashboard!$B:$B,0)+1))),"")</f>
        <v/>
      </c>
    </row>
    <row r="135" spans="1:2" x14ac:dyDescent="0.2">
      <c r="A135" t="str">
        <f>IFERROR(IF(ROW(A134)&lt;4,Dashboard!$A$2,IF(COUNTIF($A$3:A134,A134)&lt;COUNTA(Dashboard!$B:$B)-1, A134,IF(OR(A134="",INDEX(Dashboard!$A:$A,MATCH(A134,Dashboard!$A:$A,0)+1)=0),"",INDEX(Dashboard!$A:$A,MATCH(A134,Dashboard!$A:$A,0)+1)))),"")</f>
        <v/>
      </c>
      <c r="B135" t="str">
        <f>IFERROR(IF(A135="","",IF(A135&lt;&gt;A134,Dashboard!$B$2,INDEX(Dashboard!$B:$B,MATCH(Source!B134,Dashboard!$B:$B,0)+1))),"")</f>
        <v/>
      </c>
    </row>
    <row r="136" spans="1:2" x14ac:dyDescent="0.2">
      <c r="A136" t="str">
        <f>IFERROR(IF(ROW(A135)&lt;4,Dashboard!$A$2,IF(COUNTIF($A$3:A135,A135)&lt;COUNTA(Dashboard!$B:$B)-1, A135,IF(OR(A135="",INDEX(Dashboard!$A:$A,MATCH(A135,Dashboard!$A:$A,0)+1)=0),"",INDEX(Dashboard!$A:$A,MATCH(A135,Dashboard!$A:$A,0)+1)))),"")</f>
        <v/>
      </c>
      <c r="B136" t="str">
        <f>IFERROR(IF(A136="","",IF(A136&lt;&gt;A135,Dashboard!$B$2,INDEX(Dashboard!$B:$B,MATCH(Source!B135,Dashboard!$B:$B,0)+1))),"")</f>
        <v/>
      </c>
    </row>
    <row r="137" spans="1:2" x14ac:dyDescent="0.2">
      <c r="A137" t="str">
        <f>IFERROR(IF(ROW(A136)&lt;4,Dashboard!$A$2,IF(COUNTIF($A$3:A136,A136)&lt;COUNTA(Dashboard!$B:$B)-1, A136,IF(OR(A136="",INDEX(Dashboard!$A:$A,MATCH(A136,Dashboard!$A:$A,0)+1)=0),"",INDEX(Dashboard!$A:$A,MATCH(A136,Dashboard!$A:$A,0)+1)))),"")</f>
        <v/>
      </c>
      <c r="B137" t="str">
        <f>IFERROR(IF(A137="","",IF(A137&lt;&gt;A136,Dashboard!$B$2,INDEX(Dashboard!$B:$B,MATCH(Source!B136,Dashboard!$B:$B,0)+1))),"")</f>
        <v/>
      </c>
    </row>
    <row r="138" spans="1:2" x14ac:dyDescent="0.2">
      <c r="A138" t="str">
        <f>IFERROR(IF(ROW(A137)&lt;4,Dashboard!$A$2,IF(COUNTIF($A$3:A137,A137)&lt;COUNTA(Dashboard!$B:$B)-1, A137,IF(OR(A137="",INDEX(Dashboard!$A:$A,MATCH(A137,Dashboard!$A:$A,0)+1)=0),"",INDEX(Dashboard!$A:$A,MATCH(A137,Dashboard!$A:$A,0)+1)))),"")</f>
        <v/>
      </c>
      <c r="B138" t="str">
        <f>IFERROR(IF(A138="","",IF(A138&lt;&gt;A137,Dashboard!$B$2,INDEX(Dashboard!$B:$B,MATCH(Source!B137,Dashboard!$B:$B,0)+1))),"")</f>
        <v/>
      </c>
    </row>
    <row r="139" spans="1:2" x14ac:dyDescent="0.2">
      <c r="A139" t="str">
        <f>IFERROR(IF(ROW(A138)&lt;4,Dashboard!$A$2,IF(COUNTIF($A$3:A138,A138)&lt;COUNTA(Dashboard!$B:$B)-1, A138,IF(OR(A138="",INDEX(Dashboard!$A:$A,MATCH(A138,Dashboard!$A:$A,0)+1)=0),"",INDEX(Dashboard!$A:$A,MATCH(A138,Dashboard!$A:$A,0)+1)))),"")</f>
        <v/>
      </c>
      <c r="B139" t="str">
        <f>IFERROR(IF(A139="","",IF(A139&lt;&gt;A138,Dashboard!$B$2,INDEX(Dashboard!$B:$B,MATCH(Source!B138,Dashboard!$B:$B,0)+1))),"")</f>
        <v/>
      </c>
    </row>
    <row r="140" spans="1:2" x14ac:dyDescent="0.2">
      <c r="A140" t="str">
        <f>IFERROR(IF(ROW(A139)&lt;4,Dashboard!$A$2,IF(COUNTIF($A$3:A139,A139)&lt;COUNTA(Dashboard!$B:$B)-1, A139,IF(OR(A139="",INDEX(Dashboard!$A:$A,MATCH(A139,Dashboard!$A:$A,0)+1)=0),"",INDEX(Dashboard!$A:$A,MATCH(A139,Dashboard!$A:$A,0)+1)))),"")</f>
        <v/>
      </c>
      <c r="B140" t="str">
        <f>IFERROR(IF(A140="","",IF(A140&lt;&gt;A139,Dashboard!$B$2,INDEX(Dashboard!$B:$B,MATCH(Source!B139,Dashboard!$B:$B,0)+1))),"")</f>
        <v/>
      </c>
    </row>
    <row r="141" spans="1:2" x14ac:dyDescent="0.2">
      <c r="A141" t="str">
        <f>IFERROR(IF(ROW(A140)&lt;4,Dashboard!$A$2,IF(COUNTIF($A$3:A140,A140)&lt;COUNTA(Dashboard!$B:$B)-1, A140,IF(OR(A140="",INDEX(Dashboard!$A:$A,MATCH(A140,Dashboard!$A:$A,0)+1)=0),"",INDEX(Dashboard!$A:$A,MATCH(A140,Dashboard!$A:$A,0)+1)))),"")</f>
        <v/>
      </c>
      <c r="B141" t="str">
        <f>IFERROR(IF(A141="","",IF(A141&lt;&gt;A140,Dashboard!$B$2,INDEX(Dashboard!$B:$B,MATCH(Source!B140,Dashboard!$B:$B,0)+1))),"")</f>
        <v/>
      </c>
    </row>
    <row r="142" spans="1:2" x14ac:dyDescent="0.2">
      <c r="A142" t="str">
        <f>IFERROR(IF(ROW(A141)&lt;4,Dashboard!$A$2,IF(COUNTIF($A$3:A141,A141)&lt;COUNTA(Dashboard!$B:$B)-1, A141,IF(OR(A141="",INDEX(Dashboard!$A:$A,MATCH(A141,Dashboard!$A:$A,0)+1)=0),"",INDEX(Dashboard!$A:$A,MATCH(A141,Dashboard!$A:$A,0)+1)))),"")</f>
        <v/>
      </c>
      <c r="B142" t="str">
        <f>IFERROR(IF(A142="","",IF(A142&lt;&gt;A141,Dashboard!$B$2,INDEX(Dashboard!$B:$B,MATCH(Source!B141,Dashboard!$B:$B,0)+1))),"")</f>
        <v/>
      </c>
    </row>
    <row r="143" spans="1:2" x14ac:dyDescent="0.2">
      <c r="A143" t="str">
        <f>IFERROR(IF(ROW(A142)&lt;4,Dashboard!$A$2,IF(COUNTIF($A$3:A142,A142)&lt;COUNTA(Dashboard!$B:$B)-1, A142,IF(OR(A142="",INDEX(Dashboard!$A:$A,MATCH(A142,Dashboard!$A:$A,0)+1)=0),"",INDEX(Dashboard!$A:$A,MATCH(A142,Dashboard!$A:$A,0)+1)))),"")</f>
        <v/>
      </c>
      <c r="B143" t="str">
        <f>IFERROR(IF(A143="","",IF(A143&lt;&gt;A142,Dashboard!$B$2,INDEX(Dashboard!$B:$B,MATCH(Source!B142,Dashboard!$B:$B,0)+1))),"")</f>
        <v/>
      </c>
    </row>
    <row r="144" spans="1:2" x14ac:dyDescent="0.2">
      <c r="A144" t="str">
        <f>IFERROR(IF(ROW(A143)&lt;4,Dashboard!$A$2,IF(COUNTIF($A$3:A143,A143)&lt;COUNTA(Dashboard!$B:$B)-1, A143,IF(OR(A143="",INDEX(Dashboard!$A:$A,MATCH(A143,Dashboard!$A:$A,0)+1)=0),"",INDEX(Dashboard!$A:$A,MATCH(A143,Dashboard!$A:$A,0)+1)))),"")</f>
        <v/>
      </c>
      <c r="B144" t="str">
        <f>IFERROR(IF(A144="","",IF(A144&lt;&gt;A143,Dashboard!$B$2,INDEX(Dashboard!$B:$B,MATCH(Source!B143,Dashboard!$B:$B,0)+1))),"")</f>
        <v/>
      </c>
    </row>
    <row r="145" spans="1:2" x14ac:dyDescent="0.2">
      <c r="A145" t="str">
        <f>IFERROR(IF(ROW(A144)&lt;4,Dashboard!$A$2,IF(COUNTIF($A$3:A144,A144)&lt;COUNTA(Dashboard!$B:$B)-1, A144,IF(OR(A144="",INDEX(Dashboard!$A:$A,MATCH(A144,Dashboard!$A:$A,0)+1)=0),"",INDEX(Dashboard!$A:$A,MATCH(A144,Dashboard!$A:$A,0)+1)))),"")</f>
        <v/>
      </c>
      <c r="B145" t="str">
        <f>IFERROR(IF(A145="","",IF(A145&lt;&gt;A144,Dashboard!$B$2,INDEX(Dashboard!$B:$B,MATCH(Source!B144,Dashboard!$B:$B,0)+1))),"")</f>
        <v/>
      </c>
    </row>
    <row r="146" spans="1:2" x14ac:dyDescent="0.2">
      <c r="A146" t="str">
        <f>IFERROR(IF(ROW(A145)&lt;4,Dashboard!$A$2,IF(COUNTIF($A$3:A145,A145)&lt;COUNTA(Dashboard!$B:$B)-1, A145,IF(OR(A145="",INDEX(Dashboard!$A:$A,MATCH(A145,Dashboard!$A:$A,0)+1)=0),"",INDEX(Dashboard!$A:$A,MATCH(A145,Dashboard!$A:$A,0)+1)))),"")</f>
        <v/>
      </c>
      <c r="B146" t="str">
        <f>IFERROR(IF(A146="","",IF(A146&lt;&gt;A145,Dashboard!$B$2,INDEX(Dashboard!$B:$B,MATCH(Source!B145,Dashboard!$B:$B,0)+1))),"")</f>
        <v/>
      </c>
    </row>
    <row r="147" spans="1:2" x14ac:dyDescent="0.2">
      <c r="A147" t="str">
        <f>IFERROR(IF(ROW(A146)&lt;4,Dashboard!$A$2,IF(COUNTIF($A$3:A146,A146)&lt;COUNTA(Dashboard!$B:$B)-1, A146,IF(OR(A146="",INDEX(Dashboard!$A:$A,MATCH(A146,Dashboard!$A:$A,0)+1)=0),"",INDEX(Dashboard!$A:$A,MATCH(A146,Dashboard!$A:$A,0)+1)))),"")</f>
        <v/>
      </c>
      <c r="B147" t="str">
        <f>IFERROR(IF(A147="","",IF(A147&lt;&gt;A146,Dashboard!$B$2,INDEX(Dashboard!$B:$B,MATCH(Source!B146,Dashboard!$B:$B,0)+1))),"")</f>
        <v/>
      </c>
    </row>
    <row r="148" spans="1:2" x14ac:dyDescent="0.2">
      <c r="A148" t="str">
        <f>IFERROR(IF(ROW(A147)&lt;4,Dashboard!$A$2,IF(COUNTIF($A$3:A147,A147)&lt;COUNTA(Dashboard!$B:$B)-1, A147,IF(OR(A147="",INDEX(Dashboard!$A:$A,MATCH(A147,Dashboard!$A:$A,0)+1)=0),"",INDEX(Dashboard!$A:$A,MATCH(A147,Dashboard!$A:$A,0)+1)))),"")</f>
        <v/>
      </c>
      <c r="B148" t="str">
        <f>IFERROR(IF(A148="","",IF(A148&lt;&gt;A147,Dashboard!$B$2,INDEX(Dashboard!$B:$B,MATCH(Source!B147,Dashboard!$B:$B,0)+1))),"")</f>
        <v/>
      </c>
    </row>
    <row r="149" spans="1:2" x14ac:dyDescent="0.2">
      <c r="A149" t="str">
        <f>IFERROR(IF(ROW(A148)&lt;4,Dashboard!$A$2,IF(COUNTIF($A$3:A148,A148)&lt;COUNTA(Dashboard!$B:$B)-1, A148,IF(OR(A148="",INDEX(Dashboard!$A:$A,MATCH(A148,Dashboard!$A:$A,0)+1)=0),"",INDEX(Dashboard!$A:$A,MATCH(A148,Dashboard!$A:$A,0)+1)))),"")</f>
        <v/>
      </c>
      <c r="B149" t="str">
        <f>IFERROR(IF(A149="","",IF(A149&lt;&gt;A148,Dashboard!$B$2,INDEX(Dashboard!$B:$B,MATCH(Source!B148,Dashboard!$B:$B,0)+1))),"")</f>
        <v/>
      </c>
    </row>
    <row r="150" spans="1:2" x14ac:dyDescent="0.2">
      <c r="A150" t="str">
        <f>IFERROR(IF(ROW(A149)&lt;4,Dashboard!$A$2,IF(COUNTIF($A$3:A149,A149)&lt;COUNTA(Dashboard!$B:$B)-1, A149,IF(OR(A149="",INDEX(Dashboard!$A:$A,MATCH(A149,Dashboard!$A:$A,0)+1)=0),"",INDEX(Dashboard!$A:$A,MATCH(A149,Dashboard!$A:$A,0)+1)))),"")</f>
        <v/>
      </c>
      <c r="B150" t="str">
        <f>IFERROR(IF(A150="","",IF(A150&lt;&gt;A149,Dashboard!$B$2,INDEX(Dashboard!$B:$B,MATCH(Source!B149,Dashboard!$B:$B,0)+1))),"")</f>
        <v/>
      </c>
    </row>
    <row r="151" spans="1:2" x14ac:dyDescent="0.2">
      <c r="A151" t="str">
        <f>IFERROR(IF(ROW(A150)&lt;4,Dashboard!$A$2,IF(COUNTIF($A$3:A150,A150)&lt;COUNTA(Dashboard!$B:$B)-1, A150,IF(OR(A150="",INDEX(Dashboard!$A:$A,MATCH(A150,Dashboard!$A:$A,0)+1)=0),"",INDEX(Dashboard!$A:$A,MATCH(A150,Dashboard!$A:$A,0)+1)))),"")</f>
        <v/>
      </c>
      <c r="B151" t="str">
        <f>IFERROR(IF(A151="","",IF(A151&lt;&gt;A150,Dashboard!$B$2,INDEX(Dashboard!$B:$B,MATCH(Source!B150,Dashboard!$B:$B,0)+1))),"")</f>
        <v/>
      </c>
    </row>
    <row r="152" spans="1:2" x14ac:dyDescent="0.2">
      <c r="A152" t="str">
        <f>IFERROR(IF(ROW(A151)&lt;4,Dashboard!$A$2,IF(COUNTIF($A$3:A151,A151)&lt;COUNTA(Dashboard!$B:$B)-1, A151,IF(OR(A151="",INDEX(Dashboard!$A:$A,MATCH(A151,Dashboard!$A:$A,0)+1)=0),"",INDEX(Dashboard!$A:$A,MATCH(A151,Dashboard!$A:$A,0)+1)))),"")</f>
        <v/>
      </c>
      <c r="B152" t="str">
        <f>IFERROR(IF(A152="","",IF(A152&lt;&gt;A151,Dashboard!$B$2,INDEX(Dashboard!$B:$B,MATCH(Source!B151,Dashboard!$B:$B,0)+1))),"")</f>
        <v/>
      </c>
    </row>
    <row r="153" spans="1:2" x14ac:dyDescent="0.2">
      <c r="A153" t="str">
        <f>IFERROR(IF(ROW(A152)&lt;4,Dashboard!$A$2,IF(COUNTIF($A$3:A152,A152)&lt;COUNTA(Dashboard!$B:$B)-1, A152,IF(OR(A152="",INDEX(Dashboard!$A:$A,MATCH(A152,Dashboard!$A:$A,0)+1)=0),"",INDEX(Dashboard!$A:$A,MATCH(A152,Dashboard!$A:$A,0)+1)))),"")</f>
        <v/>
      </c>
      <c r="B153" t="str">
        <f>IFERROR(IF(A153="","",IF(A153&lt;&gt;A152,Dashboard!$B$2,INDEX(Dashboard!$B:$B,MATCH(Source!B152,Dashboard!$B:$B,0)+1))),"")</f>
        <v/>
      </c>
    </row>
    <row r="154" spans="1:2" x14ac:dyDescent="0.2">
      <c r="A154" t="str">
        <f>IFERROR(IF(ROW(A153)&lt;4,Dashboard!$A$2,IF(COUNTIF($A$3:A153,A153)&lt;COUNTA(Dashboard!$B:$B)-1, A153,IF(OR(A153="",INDEX(Dashboard!$A:$A,MATCH(A153,Dashboard!$A:$A,0)+1)=0),"",INDEX(Dashboard!$A:$A,MATCH(A153,Dashboard!$A:$A,0)+1)))),"")</f>
        <v/>
      </c>
      <c r="B154" t="str">
        <f>IFERROR(IF(A154="","",IF(A154&lt;&gt;A153,Dashboard!$B$2,INDEX(Dashboard!$B:$B,MATCH(Source!B153,Dashboard!$B:$B,0)+1))),"")</f>
        <v/>
      </c>
    </row>
    <row r="155" spans="1:2" x14ac:dyDescent="0.2">
      <c r="A155" t="str">
        <f>IFERROR(IF(ROW(A154)&lt;4,Dashboard!$A$2,IF(COUNTIF($A$3:A154,A154)&lt;COUNTA(Dashboard!$B:$B)-1, A154,IF(OR(A154="",INDEX(Dashboard!$A:$A,MATCH(A154,Dashboard!$A:$A,0)+1)=0),"",INDEX(Dashboard!$A:$A,MATCH(A154,Dashboard!$A:$A,0)+1)))),"")</f>
        <v/>
      </c>
      <c r="B155" t="str">
        <f>IFERROR(IF(A155="","",IF(A155&lt;&gt;A154,Dashboard!$B$2,INDEX(Dashboard!$B:$B,MATCH(Source!B154,Dashboard!$B:$B,0)+1))),"")</f>
        <v/>
      </c>
    </row>
    <row r="156" spans="1:2" x14ac:dyDescent="0.2">
      <c r="A156" t="str">
        <f>IFERROR(IF(ROW(A155)&lt;4,Dashboard!$A$2,IF(COUNTIF($A$3:A155,A155)&lt;COUNTA(Dashboard!$B:$B)-1, A155,IF(OR(A155="",INDEX(Dashboard!$A:$A,MATCH(A155,Dashboard!$A:$A,0)+1)=0),"",INDEX(Dashboard!$A:$A,MATCH(A155,Dashboard!$A:$A,0)+1)))),"")</f>
        <v/>
      </c>
      <c r="B156" t="str">
        <f>IFERROR(IF(A156="","",IF(A156&lt;&gt;A155,Dashboard!$B$2,INDEX(Dashboard!$B:$B,MATCH(Source!B155,Dashboard!$B:$B,0)+1))),"")</f>
        <v/>
      </c>
    </row>
    <row r="157" spans="1:2" x14ac:dyDescent="0.2">
      <c r="A157" t="str">
        <f>IFERROR(IF(ROW(A156)&lt;4,Dashboard!$A$2,IF(COUNTIF($A$3:A156,A156)&lt;COUNTA(Dashboard!$B:$B)-1, A156,IF(OR(A156="",INDEX(Dashboard!$A:$A,MATCH(A156,Dashboard!$A:$A,0)+1)=0),"",INDEX(Dashboard!$A:$A,MATCH(A156,Dashboard!$A:$A,0)+1)))),"")</f>
        <v/>
      </c>
      <c r="B157" t="str">
        <f>IFERROR(IF(A157="","",IF(A157&lt;&gt;A156,Dashboard!$B$2,INDEX(Dashboard!$B:$B,MATCH(Source!B156,Dashboard!$B:$B,0)+1))),"")</f>
        <v/>
      </c>
    </row>
    <row r="158" spans="1:2" x14ac:dyDescent="0.2">
      <c r="A158" t="str">
        <f>IFERROR(IF(ROW(A157)&lt;4,Dashboard!$A$2,IF(COUNTIF($A$3:A157,A157)&lt;COUNTA(Dashboard!$B:$B)-1, A157,IF(OR(A157="",INDEX(Dashboard!$A:$A,MATCH(A157,Dashboard!$A:$A,0)+1)=0),"",INDEX(Dashboard!$A:$A,MATCH(A157,Dashboard!$A:$A,0)+1)))),"")</f>
        <v/>
      </c>
      <c r="B158" t="str">
        <f>IFERROR(IF(A158="","",IF(A158&lt;&gt;A157,Dashboard!$B$2,INDEX(Dashboard!$B:$B,MATCH(Source!B157,Dashboard!$B:$B,0)+1))),"")</f>
        <v/>
      </c>
    </row>
    <row r="159" spans="1:2" x14ac:dyDescent="0.2">
      <c r="A159" t="str">
        <f>IFERROR(IF(ROW(A158)&lt;4,Dashboard!$A$2,IF(COUNTIF($A$3:A158,A158)&lt;COUNTA(Dashboard!$B:$B)-1, A158,IF(OR(A158="",INDEX(Dashboard!$A:$A,MATCH(A158,Dashboard!$A:$A,0)+1)=0),"",INDEX(Dashboard!$A:$A,MATCH(A158,Dashboard!$A:$A,0)+1)))),"")</f>
        <v/>
      </c>
      <c r="B159" t="str">
        <f>IFERROR(IF(A159="","",IF(A159&lt;&gt;A158,Dashboard!$B$2,INDEX(Dashboard!$B:$B,MATCH(Source!B158,Dashboard!$B:$B,0)+1))),"")</f>
        <v/>
      </c>
    </row>
    <row r="160" spans="1:2" x14ac:dyDescent="0.2">
      <c r="A160" t="str">
        <f>IFERROR(IF(ROW(A159)&lt;4,Dashboard!$A$2,IF(COUNTIF($A$3:A159,A159)&lt;COUNTA(Dashboard!$B:$B)-1, A159,IF(OR(A159="",INDEX(Dashboard!$A:$A,MATCH(A159,Dashboard!$A:$A,0)+1)=0),"",INDEX(Dashboard!$A:$A,MATCH(A159,Dashboard!$A:$A,0)+1)))),"")</f>
        <v/>
      </c>
      <c r="B160" t="str">
        <f>IFERROR(IF(A160="","",IF(A160&lt;&gt;A159,Dashboard!$B$2,INDEX(Dashboard!$B:$B,MATCH(Source!B159,Dashboard!$B:$B,0)+1))),"")</f>
        <v/>
      </c>
    </row>
    <row r="161" spans="1:2" x14ac:dyDescent="0.2">
      <c r="A161" t="str">
        <f>IFERROR(IF(ROW(A160)&lt;4,Dashboard!$A$2,IF(COUNTIF($A$3:A160,A160)&lt;COUNTA(Dashboard!$B:$B)-1, A160,IF(OR(A160="",INDEX(Dashboard!$A:$A,MATCH(A160,Dashboard!$A:$A,0)+1)=0),"",INDEX(Dashboard!$A:$A,MATCH(A160,Dashboard!$A:$A,0)+1)))),"")</f>
        <v/>
      </c>
      <c r="B161" t="str">
        <f>IFERROR(IF(A161="","",IF(A161&lt;&gt;A160,Dashboard!$B$2,INDEX(Dashboard!$B:$B,MATCH(Source!B160,Dashboard!$B:$B,0)+1))),"")</f>
        <v/>
      </c>
    </row>
    <row r="162" spans="1:2" x14ac:dyDescent="0.2">
      <c r="A162" t="str">
        <f>IFERROR(IF(ROW(A161)&lt;4,Dashboard!$A$2,IF(COUNTIF($A$3:A161,A161)&lt;COUNTA(Dashboard!$B:$B)-1, A161,IF(OR(A161="",INDEX(Dashboard!$A:$A,MATCH(A161,Dashboard!$A:$A,0)+1)=0),"",INDEX(Dashboard!$A:$A,MATCH(A161,Dashboard!$A:$A,0)+1)))),"")</f>
        <v/>
      </c>
      <c r="B162" t="str">
        <f>IFERROR(IF(A162="","",IF(A162&lt;&gt;A161,Dashboard!$B$2,INDEX(Dashboard!$B:$B,MATCH(Source!B161,Dashboard!$B:$B,0)+1))),"")</f>
        <v/>
      </c>
    </row>
    <row r="163" spans="1:2" x14ac:dyDescent="0.2">
      <c r="A163" t="str">
        <f>IFERROR(IF(ROW(A162)&lt;4,Dashboard!$A$2,IF(COUNTIF($A$3:A162,A162)&lt;COUNTA(Dashboard!$B:$B)-1, A162,IF(OR(A162="",INDEX(Dashboard!$A:$A,MATCH(A162,Dashboard!$A:$A,0)+1)=0),"",INDEX(Dashboard!$A:$A,MATCH(A162,Dashboard!$A:$A,0)+1)))),"")</f>
        <v/>
      </c>
      <c r="B163" t="str">
        <f>IFERROR(IF(A163="","",IF(A163&lt;&gt;A162,Dashboard!$B$2,INDEX(Dashboard!$B:$B,MATCH(Source!B162,Dashboard!$B:$B,0)+1))),"")</f>
        <v/>
      </c>
    </row>
    <row r="164" spans="1:2" x14ac:dyDescent="0.2">
      <c r="A164" t="str">
        <f>IFERROR(IF(ROW(A163)&lt;4,Dashboard!$A$2,IF(COUNTIF($A$3:A163,A163)&lt;COUNTA(Dashboard!$B:$B)-1, A163,IF(OR(A163="",INDEX(Dashboard!$A:$A,MATCH(A163,Dashboard!$A:$A,0)+1)=0),"",INDEX(Dashboard!$A:$A,MATCH(A163,Dashboard!$A:$A,0)+1)))),"")</f>
        <v/>
      </c>
      <c r="B164" t="str">
        <f>IFERROR(IF(A164="","",IF(A164&lt;&gt;A163,Dashboard!$B$2,INDEX(Dashboard!$B:$B,MATCH(Source!B163,Dashboard!$B:$B,0)+1))),"")</f>
        <v/>
      </c>
    </row>
    <row r="165" spans="1:2" x14ac:dyDescent="0.2">
      <c r="A165" t="str">
        <f>IFERROR(IF(ROW(A164)&lt;4,Dashboard!$A$2,IF(COUNTIF($A$3:A164,A164)&lt;COUNTA(Dashboard!$B:$B)-1, A164,IF(OR(A164="",INDEX(Dashboard!$A:$A,MATCH(A164,Dashboard!$A:$A,0)+1)=0),"",INDEX(Dashboard!$A:$A,MATCH(A164,Dashboard!$A:$A,0)+1)))),"")</f>
        <v/>
      </c>
      <c r="B165" t="str">
        <f>IFERROR(IF(A165="","",IF(A165&lt;&gt;A164,Dashboard!$B$2,INDEX(Dashboard!$B:$B,MATCH(Source!B164,Dashboard!$B:$B,0)+1))),"")</f>
        <v/>
      </c>
    </row>
    <row r="166" spans="1:2" x14ac:dyDescent="0.2">
      <c r="A166" t="str">
        <f>IFERROR(IF(ROW(A165)&lt;4,Dashboard!$A$2,IF(COUNTIF($A$3:A165,A165)&lt;COUNTA(Dashboard!$B:$B)-1, A165,IF(OR(A165="",INDEX(Dashboard!$A:$A,MATCH(A165,Dashboard!$A:$A,0)+1)=0),"",INDEX(Dashboard!$A:$A,MATCH(A165,Dashboard!$A:$A,0)+1)))),"")</f>
        <v/>
      </c>
      <c r="B166" t="str">
        <f>IFERROR(IF(A166="","",IF(A166&lt;&gt;A165,Dashboard!$B$2,INDEX(Dashboard!$B:$B,MATCH(Source!B165,Dashboard!$B:$B,0)+1))),"")</f>
        <v/>
      </c>
    </row>
    <row r="167" spans="1:2" x14ac:dyDescent="0.2">
      <c r="A167" t="str">
        <f>IFERROR(IF(ROW(A166)&lt;4,Dashboard!$A$2,IF(COUNTIF($A$3:A166,A166)&lt;COUNTA(Dashboard!$B:$B)-1, A166,IF(OR(A166="",INDEX(Dashboard!$A:$A,MATCH(A166,Dashboard!$A:$A,0)+1)=0),"",INDEX(Dashboard!$A:$A,MATCH(A166,Dashboard!$A:$A,0)+1)))),"")</f>
        <v/>
      </c>
      <c r="B167" t="str">
        <f>IFERROR(IF(A167="","",IF(A167&lt;&gt;A166,Dashboard!$B$2,INDEX(Dashboard!$B:$B,MATCH(Source!B166,Dashboard!$B:$B,0)+1))),"")</f>
        <v/>
      </c>
    </row>
    <row r="168" spans="1:2" x14ac:dyDescent="0.2">
      <c r="A168" t="str">
        <f>IFERROR(IF(ROW(A167)&lt;4,Dashboard!$A$2,IF(COUNTIF($A$3:A167,A167)&lt;COUNTA(Dashboard!$B:$B)-1, A167,IF(OR(A167="",INDEX(Dashboard!$A:$A,MATCH(A167,Dashboard!$A:$A,0)+1)=0),"",INDEX(Dashboard!$A:$A,MATCH(A167,Dashboard!$A:$A,0)+1)))),"")</f>
        <v/>
      </c>
      <c r="B168" t="str">
        <f>IFERROR(IF(A168="","",IF(A168&lt;&gt;A167,Dashboard!$B$2,INDEX(Dashboard!$B:$B,MATCH(Source!B167,Dashboard!$B:$B,0)+1))),"")</f>
        <v/>
      </c>
    </row>
    <row r="169" spans="1:2" x14ac:dyDescent="0.2">
      <c r="A169" t="str">
        <f>IFERROR(IF(ROW(A168)&lt;4,Dashboard!$A$2,IF(COUNTIF($A$3:A168,A168)&lt;COUNTA(Dashboard!$B:$B)-1, A168,IF(OR(A168="",INDEX(Dashboard!$A:$A,MATCH(A168,Dashboard!$A:$A,0)+1)=0),"",INDEX(Dashboard!$A:$A,MATCH(A168,Dashboard!$A:$A,0)+1)))),"")</f>
        <v/>
      </c>
      <c r="B169" t="str">
        <f>IFERROR(IF(A169="","",IF(A169&lt;&gt;A168,Dashboard!$B$2,INDEX(Dashboard!$B:$B,MATCH(Source!B168,Dashboard!$B:$B,0)+1))),"")</f>
        <v/>
      </c>
    </row>
    <row r="170" spans="1:2" x14ac:dyDescent="0.2">
      <c r="A170" t="str">
        <f>IFERROR(IF(ROW(A169)&lt;4,Dashboard!$A$2,IF(COUNTIF($A$3:A169,A169)&lt;COUNTA(Dashboard!$B:$B)-1, A169,IF(OR(A169="",INDEX(Dashboard!$A:$A,MATCH(A169,Dashboard!$A:$A,0)+1)=0),"",INDEX(Dashboard!$A:$A,MATCH(A169,Dashboard!$A:$A,0)+1)))),"")</f>
        <v/>
      </c>
      <c r="B170" t="str">
        <f>IFERROR(IF(A170="","",IF(A170&lt;&gt;A169,Dashboard!$B$2,INDEX(Dashboard!$B:$B,MATCH(Source!B169,Dashboard!$B:$B,0)+1))),"")</f>
        <v/>
      </c>
    </row>
    <row r="171" spans="1:2" x14ac:dyDescent="0.2">
      <c r="A171" t="str">
        <f>IFERROR(IF(ROW(A170)&lt;4,Dashboard!$A$2,IF(COUNTIF($A$3:A170,A170)&lt;COUNTA(Dashboard!$B:$B)-1, A170,IF(OR(A170="",INDEX(Dashboard!$A:$A,MATCH(A170,Dashboard!$A:$A,0)+1)=0),"",INDEX(Dashboard!$A:$A,MATCH(A170,Dashboard!$A:$A,0)+1)))),"")</f>
        <v/>
      </c>
      <c r="B171" t="str">
        <f>IFERROR(IF(A171="","",IF(A171&lt;&gt;A170,Dashboard!$B$2,INDEX(Dashboard!$B:$B,MATCH(Source!B170,Dashboard!$B:$B,0)+1))),"")</f>
        <v/>
      </c>
    </row>
    <row r="172" spans="1:2" x14ac:dyDescent="0.2">
      <c r="A172" t="str">
        <f>IFERROR(IF(ROW(A171)&lt;4,Dashboard!$A$2,IF(COUNTIF($A$3:A171,A171)&lt;COUNTA(Dashboard!$B:$B)-1, A171,IF(OR(A171="",INDEX(Dashboard!$A:$A,MATCH(A171,Dashboard!$A:$A,0)+1)=0),"",INDEX(Dashboard!$A:$A,MATCH(A171,Dashboard!$A:$A,0)+1)))),"")</f>
        <v/>
      </c>
      <c r="B172" t="str">
        <f>IFERROR(IF(A172="","",IF(A172&lt;&gt;A171,Dashboard!$B$2,INDEX(Dashboard!$B:$B,MATCH(Source!B171,Dashboard!$B:$B,0)+1))),"")</f>
        <v/>
      </c>
    </row>
    <row r="173" spans="1:2" x14ac:dyDescent="0.2">
      <c r="A173" t="str">
        <f>IFERROR(IF(ROW(A172)&lt;4,Dashboard!$A$2,IF(COUNTIF($A$3:A172,A172)&lt;COUNTA(Dashboard!$B:$B)-1, A172,IF(OR(A172="",INDEX(Dashboard!$A:$A,MATCH(A172,Dashboard!$A:$A,0)+1)=0),"",INDEX(Dashboard!$A:$A,MATCH(A172,Dashboard!$A:$A,0)+1)))),"")</f>
        <v/>
      </c>
      <c r="B173" t="str">
        <f>IFERROR(IF(A173="","",IF(A173&lt;&gt;A172,Dashboard!$B$2,INDEX(Dashboard!$B:$B,MATCH(Source!B172,Dashboard!$B:$B,0)+1))),"")</f>
        <v/>
      </c>
    </row>
    <row r="174" spans="1:2" x14ac:dyDescent="0.2">
      <c r="A174" t="str">
        <f>IFERROR(IF(ROW(A173)&lt;4,Dashboard!$A$2,IF(COUNTIF($A$3:A173,A173)&lt;COUNTA(Dashboard!$B:$B)-1, A173,IF(OR(A173="",INDEX(Dashboard!$A:$A,MATCH(A173,Dashboard!$A:$A,0)+1)=0),"",INDEX(Dashboard!$A:$A,MATCH(A173,Dashboard!$A:$A,0)+1)))),"")</f>
        <v/>
      </c>
      <c r="B174" t="str">
        <f>IFERROR(IF(A174="","",IF(A174&lt;&gt;A173,Dashboard!$B$2,INDEX(Dashboard!$B:$B,MATCH(Source!B173,Dashboard!$B:$B,0)+1))),"")</f>
        <v/>
      </c>
    </row>
    <row r="175" spans="1:2" x14ac:dyDescent="0.2">
      <c r="A175" t="str">
        <f>IFERROR(IF(ROW(A174)&lt;4,Dashboard!$A$2,IF(COUNTIF($A$3:A174,A174)&lt;COUNTA(Dashboard!$B:$B)-1, A174,IF(OR(A174="",INDEX(Dashboard!$A:$A,MATCH(A174,Dashboard!$A:$A,0)+1)=0),"",INDEX(Dashboard!$A:$A,MATCH(A174,Dashboard!$A:$A,0)+1)))),"")</f>
        <v/>
      </c>
      <c r="B175" t="str">
        <f>IFERROR(IF(A175="","",IF(A175&lt;&gt;A174,Dashboard!$B$2,INDEX(Dashboard!$B:$B,MATCH(Source!B174,Dashboard!$B:$B,0)+1))),"")</f>
        <v/>
      </c>
    </row>
    <row r="176" spans="1:2" x14ac:dyDescent="0.2">
      <c r="A176" t="str">
        <f>IFERROR(IF(ROW(A175)&lt;4,Dashboard!$A$2,IF(COUNTIF($A$3:A175,A175)&lt;COUNTA(Dashboard!$B:$B)-1, A175,IF(OR(A175="",INDEX(Dashboard!$A:$A,MATCH(A175,Dashboard!$A:$A,0)+1)=0),"",INDEX(Dashboard!$A:$A,MATCH(A175,Dashboard!$A:$A,0)+1)))),"")</f>
        <v/>
      </c>
      <c r="B176" t="str">
        <f>IFERROR(IF(A176="","",IF(A176&lt;&gt;A175,Dashboard!$B$2,INDEX(Dashboard!$B:$B,MATCH(Source!B175,Dashboard!$B:$B,0)+1))),"")</f>
        <v/>
      </c>
    </row>
    <row r="177" spans="1:2" x14ac:dyDescent="0.2">
      <c r="A177" t="str">
        <f>IFERROR(IF(ROW(A176)&lt;4,Dashboard!$A$2,IF(COUNTIF($A$3:A176,A176)&lt;COUNTA(Dashboard!$B:$B)-1, A176,IF(OR(A176="",INDEX(Dashboard!$A:$A,MATCH(A176,Dashboard!$A:$A,0)+1)=0),"",INDEX(Dashboard!$A:$A,MATCH(A176,Dashboard!$A:$A,0)+1)))),"")</f>
        <v/>
      </c>
      <c r="B177" t="str">
        <f>IFERROR(IF(A177="","",IF(A177&lt;&gt;A176,Dashboard!$B$2,INDEX(Dashboard!$B:$B,MATCH(Source!B176,Dashboard!$B:$B,0)+1))),"")</f>
        <v/>
      </c>
    </row>
    <row r="178" spans="1:2" x14ac:dyDescent="0.2">
      <c r="A178" t="str">
        <f>IFERROR(IF(ROW(A177)&lt;4,Dashboard!$A$2,IF(COUNTIF($A$3:A177,A177)&lt;COUNTA(Dashboard!$B:$B)-1, A177,IF(OR(A177="",INDEX(Dashboard!$A:$A,MATCH(A177,Dashboard!$A:$A,0)+1)=0),"",INDEX(Dashboard!$A:$A,MATCH(A177,Dashboard!$A:$A,0)+1)))),"")</f>
        <v/>
      </c>
      <c r="B178" t="str">
        <f>IFERROR(IF(A178="","",IF(A178&lt;&gt;A177,Dashboard!$B$2,INDEX(Dashboard!$B:$B,MATCH(Source!B177,Dashboard!$B:$B,0)+1))),"")</f>
        <v/>
      </c>
    </row>
    <row r="179" spans="1:2" x14ac:dyDescent="0.2">
      <c r="A179" t="str">
        <f>IFERROR(IF(ROW(A178)&lt;4,Dashboard!$A$2,IF(COUNTIF($A$3:A178,A178)&lt;COUNTA(Dashboard!$B:$B)-1, A178,IF(OR(A178="",INDEX(Dashboard!$A:$A,MATCH(A178,Dashboard!$A:$A,0)+1)=0),"",INDEX(Dashboard!$A:$A,MATCH(A178,Dashboard!$A:$A,0)+1)))),"")</f>
        <v/>
      </c>
      <c r="B179" t="str">
        <f>IFERROR(IF(A179="","",IF(A179&lt;&gt;A178,Dashboard!$B$2,INDEX(Dashboard!$B:$B,MATCH(Source!B178,Dashboard!$B:$B,0)+1))),"")</f>
        <v/>
      </c>
    </row>
    <row r="180" spans="1:2" x14ac:dyDescent="0.2">
      <c r="A180" t="str">
        <f>IFERROR(IF(ROW(A179)&lt;4,Dashboard!$A$2,IF(COUNTIF($A$3:A179,A179)&lt;COUNTA(Dashboard!$B:$B)-1, A179,IF(OR(A179="",INDEX(Dashboard!$A:$A,MATCH(A179,Dashboard!$A:$A,0)+1)=0),"",INDEX(Dashboard!$A:$A,MATCH(A179,Dashboard!$A:$A,0)+1)))),"")</f>
        <v/>
      </c>
      <c r="B180" t="str">
        <f>IFERROR(IF(A180="","",IF(A180&lt;&gt;A179,Dashboard!$B$2,INDEX(Dashboard!$B:$B,MATCH(Source!B179,Dashboard!$B:$B,0)+1))),"")</f>
        <v/>
      </c>
    </row>
    <row r="181" spans="1:2" x14ac:dyDescent="0.2">
      <c r="A181" t="str">
        <f>IFERROR(IF(ROW(A180)&lt;4,Dashboard!$A$2,IF(COUNTIF($A$3:A180,A180)&lt;COUNTA(Dashboard!$B:$B)-1, A180,IF(OR(A180="",INDEX(Dashboard!$A:$A,MATCH(A180,Dashboard!$A:$A,0)+1)=0),"",INDEX(Dashboard!$A:$A,MATCH(A180,Dashboard!$A:$A,0)+1)))),"")</f>
        <v/>
      </c>
      <c r="B181" t="str">
        <f>IFERROR(IF(A181="","",IF(A181&lt;&gt;A180,Dashboard!$B$2,INDEX(Dashboard!$B:$B,MATCH(Source!B180,Dashboard!$B:$B,0)+1))),"")</f>
        <v/>
      </c>
    </row>
    <row r="182" spans="1:2" x14ac:dyDescent="0.2">
      <c r="A182" t="str">
        <f>IFERROR(IF(ROW(A181)&lt;4,Dashboard!$A$2,IF(COUNTIF($A$3:A181,A181)&lt;COUNTA(Dashboard!$B:$B)-1, A181,IF(OR(A181="",INDEX(Dashboard!$A:$A,MATCH(A181,Dashboard!$A:$A,0)+1)=0),"",INDEX(Dashboard!$A:$A,MATCH(A181,Dashboard!$A:$A,0)+1)))),"")</f>
        <v/>
      </c>
      <c r="B182" t="str">
        <f>IFERROR(IF(A182="","",IF(A182&lt;&gt;A181,Dashboard!$B$2,INDEX(Dashboard!$B:$B,MATCH(Source!B181,Dashboard!$B:$B,0)+1))),"")</f>
        <v/>
      </c>
    </row>
    <row r="183" spans="1:2" x14ac:dyDescent="0.2">
      <c r="A183" t="str">
        <f>IFERROR(IF(ROW(A182)&lt;4,Dashboard!$A$2,IF(COUNTIF($A$3:A182,A182)&lt;COUNTA(Dashboard!$B:$B)-1, A182,IF(OR(A182="",INDEX(Dashboard!$A:$A,MATCH(A182,Dashboard!$A:$A,0)+1)=0),"",INDEX(Dashboard!$A:$A,MATCH(A182,Dashboard!$A:$A,0)+1)))),"")</f>
        <v/>
      </c>
      <c r="B183" t="str">
        <f>IFERROR(IF(A183="","",IF(A183&lt;&gt;A182,Dashboard!$B$2,INDEX(Dashboard!$B:$B,MATCH(Source!B182,Dashboard!$B:$B,0)+1))),"")</f>
        <v/>
      </c>
    </row>
    <row r="184" spans="1:2" x14ac:dyDescent="0.2">
      <c r="A184" t="str">
        <f>IFERROR(IF(ROW(A183)&lt;4,Dashboard!$A$2,IF(COUNTIF($A$3:A183,A183)&lt;COUNTA(Dashboard!$B:$B)-1, A183,IF(OR(A183="",INDEX(Dashboard!$A:$A,MATCH(A183,Dashboard!$A:$A,0)+1)=0),"",INDEX(Dashboard!$A:$A,MATCH(A183,Dashboard!$A:$A,0)+1)))),"")</f>
        <v/>
      </c>
      <c r="B184" t="str">
        <f>IFERROR(IF(A184="","",IF(A184&lt;&gt;A183,Dashboard!$B$2,INDEX(Dashboard!$B:$B,MATCH(Source!B183,Dashboard!$B:$B,0)+1))),"")</f>
        <v/>
      </c>
    </row>
    <row r="185" spans="1:2" x14ac:dyDescent="0.2">
      <c r="A185" t="str">
        <f>IFERROR(IF(ROW(A184)&lt;4,Dashboard!$A$2,IF(COUNTIF($A$3:A184,A184)&lt;COUNTA(Dashboard!$B:$B)-1, A184,IF(OR(A184="",INDEX(Dashboard!$A:$A,MATCH(A184,Dashboard!$A:$A,0)+1)=0),"",INDEX(Dashboard!$A:$A,MATCH(A184,Dashboard!$A:$A,0)+1)))),"")</f>
        <v/>
      </c>
      <c r="B185" t="str">
        <f>IFERROR(IF(A185="","",IF(A185&lt;&gt;A184,Dashboard!$B$2,INDEX(Dashboard!$B:$B,MATCH(Source!B184,Dashboard!$B:$B,0)+1))),"")</f>
        <v/>
      </c>
    </row>
    <row r="186" spans="1:2" x14ac:dyDescent="0.2">
      <c r="A186" t="str">
        <f>IFERROR(IF(ROW(A185)&lt;4,Dashboard!$A$2,IF(COUNTIF($A$3:A185,A185)&lt;COUNTA(Dashboard!$B:$B)-1, A185,IF(OR(A185="",INDEX(Dashboard!$A:$A,MATCH(A185,Dashboard!$A:$A,0)+1)=0),"",INDEX(Dashboard!$A:$A,MATCH(A185,Dashboard!$A:$A,0)+1)))),"")</f>
        <v/>
      </c>
      <c r="B186" t="str">
        <f>IFERROR(IF(A186="","",IF(A186&lt;&gt;A185,Dashboard!$B$2,INDEX(Dashboard!$B:$B,MATCH(Source!B185,Dashboard!$B:$B,0)+1))),"")</f>
        <v/>
      </c>
    </row>
    <row r="187" spans="1:2" x14ac:dyDescent="0.2">
      <c r="A187" t="str">
        <f>IFERROR(IF(ROW(A186)&lt;4,Dashboard!$A$2,IF(COUNTIF($A$3:A186,A186)&lt;COUNTA(Dashboard!$B:$B)-1, A186,IF(OR(A186="",INDEX(Dashboard!$A:$A,MATCH(A186,Dashboard!$A:$A,0)+1)=0),"",INDEX(Dashboard!$A:$A,MATCH(A186,Dashboard!$A:$A,0)+1)))),"")</f>
        <v/>
      </c>
      <c r="B187" t="str">
        <f>IFERROR(IF(A187="","",IF(A187&lt;&gt;A186,Dashboard!$B$2,INDEX(Dashboard!$B:$B,MATCH(Source!B186,Dashboard!$B:$B,0)+1))),"")</f>
        <v/>
      </c>
    </row>
    <row r="188" spans="1:2" x14ac:dyDescent="0.2">
      <c r="A188" t="str">
        <f>IFERROR(IF(ROW(A187)&lt;4,Dashboard!$A$2,IF(COUNTIF($A$3:A187,A187)&lt;COUNTA(Dashboard!$B:$B)-1, A187,IF(OR(A187="",INDEX(Dashboard!$A:$A,MATCH(A187,Dashboard!$A:$A,0)+1)=0),"",INDEX(Dashboard!$A:$A,MATCH(A187,Dashboard!$A:$A,0)+1)))),"")</f>
        <v/>
      </c>
      <c r="B188" t="str">
        <f>IFERROR(IF(A188="","",IF(A188&lt;&gt;A187,Dashboard!$B$2,INDEX(Dashboard!$B:$B,MATCH(Source!B187,Dashboard!$B:$B,0)+1))),"")</f>
        <v/>
      </c>
    </row>
    <row r="189" spans="1:2" x14ac:dyDescent="0.2">
      <c r="A189" t="str">
        <f>IFERROR(IF(ROW(A188)&lt;4,Dashboard!$A$2,IF(COUNTIF($A$3:A188,A188)&lt;COUNTA(Dashboard!$B:$B)-1, A188,IF(OR(A188="",INDEX(Dashboard!$A:$A,MATCH(A188,Dashboard!$A:$A,0)+1)=0),"",INDEX(Dashboard!$A:$A,MATCH(A188,Dashboard!$A:$A,0)+1)))),"")</f>
        <v/>
      </c>
      <c r="B189" t="str">
        <f>IFERROR(IF(A189="","",IF(A189&lt;&gt;A188,Dashboard!$B$2,INDEX(Dashboard!$B:$B,MATCH(Source!B188,Dashboard!$B:$B,0)+1))),"")</f>
        <v/>
      </c>
    </row>
    <row r="190" spans="1:2" x14ac:dyDescent="0.2">
      <c r="A190" t="str">
        <f>IFERROR(IF(ROW(A189)&lt;4,Dashboard!$A$2,IF(COUNTIF($A$3:A189,A189)&lt;COUNTA(Dashboard!$B:$B)-1, A189,IF(OR(A189="",INDEX(Dashboard!$A:$A,MATCH(A189,Dashboard!$A:$A,0)+1)=0),"",INDEX(Dashboard!$A:$A,MATCH(A189,Dashboard!$A:$A,0)+1)))),"")</f>
        <v/>
      </c>
      <c r="B190" t="str">
        <f>IFERROR(IF(A190="","",IF(A190&lt;&gt;A189,Dashboard!$B$2,INDEX(Dashboard!$B:$B,MATCH(Source!B189,Dashboard!$B:$B,0)+1))),"")</f>
        <v/>
      </c>
    </row>
    <row r="191" spans="1:2" x14ac:dyDescent="0.2">
      <c r="A191" t="str">
        <f>IFERROR(IF(ROW(A190)&lt;4,Dashboard!$A$2,IF(COUNTIF($A$3:A190,A190)&lt;COUNTA(Dashboard!$B:$B)-1, A190,IF(OR(A190="",INDEX(Dashboard!$A:$A,MATCH(A190,Dashboard!$A:$A,0)+1)=0),"",INDEX(Dashboard!$A:$A,MATCH(A190,Dashboard!$A:$A,0)+1)))),"")</f>
        <v/>
      </c>
      <c r="B191" t="str">
        <f>IFERROR(IF(A191="","",IF(A191&lt;&gt;A190,Dashboard!$B$2,INDEX(Dashboard!$B:$B,MATCH(Source!B190,Dashboard!$B:$B,0)+1))),"")</f>
        <v/>
      </c>
    </row>
    <row r="192" spans="1:2" x14ac:dyDescent="0.2">
      <c r="A192" t="str">
        <f>IFERROR(IF(ROW(A191)&lt;4,Dashboard!$A$2,IF(COUNTIF($A$3:A191,A191)&lt;COUNTA(Dashboard!$B:$B)-1, A191,IF(OR(A191="",INDEX(Dashboard!$A:$A,MATCH(A191,Dashboard!$A:$A,0)+1)=0),"",INDEX(Dashboard!$A:$A,MATCH(A191,Dashboard!$A:$A,0)+1)))),"")</f>
        <v/>
      </c>
      <c r="B192" t="str">
        <f>IFERROR(IF(A192="","",IF(A192&lt;&gt;A191,Dashboard!$B$2,INDEX(Dashboard!$B:$B,MATCH(Source!B191,Dashboard!$B:$B,0)+1))),"")</f>
        <v/>
      </c>
    </row>
    <row r="193" spans="1:2" x14ac:dyDescent="0.2">
      <c r="A193" t="str">
        <f>IFERROR(IF(ROW(A192)&lt;4,Dashboard!$A$2,IF(COUNTIF($A$3:A192,A192)&lt;COUNTA(Dashboard!$B:$B)-1, A192,IF(OR(A192="",INDEX(Dashboard!$A:$A,MATCH(A192,Dashboard!$A:$A,0)+1)=0),"",INDEX(Dashboard!$A:$A,MATCH(A192,Dashboard!$A:$A,0)+1)))),"")</f>
        <v/>
      </c>
      <c r="B193" t="str">
        <f>IFERROR(IF(A193="","",IF(A193&lt;&gt;A192,Dashboard!$B$2,INDEX(Dashboard!$B:$B,MATCH(Source!B192,Dashboard!$B:$B,0)+1))),"")</f>
        <v/>
      </c>
    </row>
    <row r="194" spans="1:2" x14ac:dyDescent="0.2">
      <c r="A194" t="str">
        <f>IFERROR(IF(ROW(A193)&lt;4,Dashboard!$A$2,IF(COUNTIF($A$3:A193,A193)&lt;COUNTA(Dashboard!$B:$B)-1, A193,IF(OR(A193="",INDEX(Dashboard!$A:$A,MATCH(A193,Dashboard!$A:$A,0)+1)=0),"",INDEX(Dashboard!$A:$A,MATCH(A193,Dashboard!$A:$A,0)+1)))),"")</f>
        <v/>
      </c>
      <c r="B194" t="str">
        <f>IFERROR(IF(A194="","",IF(A194&lt;&gt;A193,Dashboard!$B$2,INDEX(Dashboard!$B:$B,MATCH(Source!B193,Dashboard!$B:$B,0)+1))),"")</f>
        <v/>
      </c>
    </row>
    <row r="195" spans="1:2" x14ac:dyDescent="0.2">
      <c r="A195" t="str">
        <f>IFERROR(IF(ROW(A194)&lt;4,Dashboard!$A$2,IF(COUNTIF($A$3:A194,A194)&lt;COUNTA(Dashboard!$B:$B)-1, A194,IF(OR(A194="",INDEX(Dashboard!$A:$A,MATCH(A194,Dashboard!$A:$A,0)+1)=0),"",INDEX(Dashboard!$A:$A,MATCH(A194,Dashboard!$A:$A,0)+1)))),"")</f>
        <v/>
      </c>
      <c r="B195" t="str">
        <f>IFERROR(IF(A195="","",IF(A195&lt;&gt;A194,Dashboard!$B$2,INDEX(Dashboard!$B:$B,MATCH(Source!B194,Dashboard!$B:$B,0)+1))),"")</f>
        <v/>
      </c>
    </row>
    <row r="196" spans="1:2" x14ac:dyDescent="0.2">
      <c r="A196" t="str">
        <f>IFERROR(IF(ROW(A195)&lt;4,Dashboard!$A$2,IF(COUNTIF($A$3:A195,A195)&lt;COUNTA(Dashboard!$B:$B)-1, A195,IF(OR(A195="",INDEX(Dashboard!$A:$A,MATCH(A195,Dashboard!$A:$A,0)+1)=0),"",INDEX(Dashboard!$A:$A,MATCH(A195,Dashboard!$A:$A,0)+1)))),"")</f>
        <v/>
      </c>
      <c r="B196" t="str">
        <f>IFERROR(IF(A196="","",IF(A196&lt;&gt;A195,Dashboard!$B$2,INDEX(Dashboard!$B:$B,MATCH(Source!B195,Dashboard!$B:$B,0)+1))),"")</f>
        <v/>
      </c>
    </row>
    <row r="197" spans="1:2" x14ac:dyDescent="0.2">
      <c r="A197" t="str">
        <f>IFERROR(IF(ROW(A196)&lt;4,Dashboard!$A$2,IF(COUNTIF($A$3:A196,A196)&lt;COUNTA(Dashboard!$B:$B)-1, A196,IF(OR(A196="",INDEX(Dashboard!$A:$A,MATCH(A196,Dashboard!$A:$A,0)+1)=0),"",INDEX(Dashboard!$A:$A,MATCH(A196,Dashboard!$A:$A,0)+1)))),"")</f>
        <v/>
      </c>
      <c r="B197" t="str">
        <f>IFERROR(IF(A197="","",IF(A197&lt;&gt;A196,Dashboard!$B$2,INDEX(Dashboard!$B:$B,MATCH(Source!B196,Dashboard!$B:$B,0)+1))),"")</f>
        <v/>
      </c>
    </row>
    <row r="198" spans="1:2" x14ac:dyDescent="0.2">
      <c r="A198" t="str">
        <f>IFERROR(IF(ROW(A197)&lt;4,Dashboard!$A$2,IF(COUNTIF($A$3:A197,A197)&lt;COUNTA(Dashboard!$B:$B)-1, A197,IF(OR(A197="",INDEX(Dashboard!$A:$A,MATCH(A197,Dashboard!$A:$A,0)+1)=0),"",INDEX(Dashboard!$A:$A,MATCH(A197,Dashboard!$A:$A,0)+1)))),"")</f>
        <v/>
      </c>
      <c r="B198" t="str">
        <f>IFERROR(IF(A198="","",IF(A198&lt;&gt;A197,Dashboard!$B$2,INDEX(Dashboard!$B:$B,MATCH(Source!B197,Dashboard!$B:$B,0)+1))),"")</f>
        <v/>
      </c>
    </row>
    <row r="199" spans="1:2" x14ac:dyDescent="0.2">
      <c r="A199" t="str">
        <f>IFERROR(IF(ROW(A198)&lt;4,Dashboard!$A$2,IF(COUNTIF($A$3:A198,A198)&lt;COUNTA(Dashboard!$B:$B)-1, A198,IF(OR(A198="",INDEX(Dashboard!$A:$A,MATCH(A198,Dashboard!$A:$A,0)+1)=0),"",INDEX(Dashboard!$A:$A,MATCH(A198,Dashboard!$A:$A,0)+1)))),"")</f>
        <v/>
      </c>
      <c r="B199" t="str">
        <f>IFERROR(IF(A199="","",IF(A199&lt;&gt;A198,Dashboard!$B$2,INDEX(Dashboard!$B:$B,MATCH(Source!B198,Dashboard!$B:$B,0)+1))),"")</f>
        <v/>
      </c>
    </row>
    <row r="200" spans="1:2" x14ac:dyDescent="0.2">
      <c r="A200" t="str">
        <f>IFERROR(IF(ROW(A199)&lt;4,Dashboard!$A$2,IF(COUNTIF($A$3:A199,A199)&lt;COUNTA(Dashboard!$B:$B)-1, A199,IF(OR(A199="",INDEX(Dashboard!$A:$A,MATCH(A199,Dashboard!$A:$A,0)+1)=0),"",INDEX(Dashboard!$A:$A,MATCH(A199,Dashboard!$A:$A,0)+1)))),"")</f>
        <v/>
      </c>
      <c r="B200" t="str">
        <f>IFERROR(IF(A200="","",IF(A200&lt;&gt;A199,Dashboard!$B$2,INDEX(Dashboard!$B:$B,MATCH(Source!B199,Dashboard!$B:$B,0)+1))),"")</f>
        <v/>
      </c>
    </row>
    <row r="201" spans="1:2" x14ac:dyDescent="0.2">
      <c r="A201" t="str">
        <f>IFERROR(IF(ROW(A200)&lt;4,Dashboard!$A$2,IF(COUNTIF($A$3:A200,A200)&lt;COUNTA(Dashboard!$B:$B)-1, A200,IF(OR(A200="",INDEX(Dashboard!$A:$A,MATCH(A200,Dashboard!$A:$A,0)+1)=0),"",INDEX(Dashboard!$A:$A,MATCH(A200,Dashboard!$A:$A,0)+1)))),"")</f>
        <v/>
      </c>
      <c r="B201" t="str">
        <f>IFERROR(IF(A201="","",IF(A201&lt;&gt;A200,Dashboard!$B$2,INDEX(Dashboard!$B:$B,MATCH(Source!B200,Dashboard!$B:$B,0)+1))),"")</f>
        <v/>
      </c>
    </row>
    <row r="202" spans="1:2" x14ac:dyDescent="0.2">
      <c r="A202" t="str">
        <f>IFERROR(IF(ROW(A201)&lt;4,Dashboard!$A$2,IF(COUNTIF($A$3:A201,A201)&lt;COUNTA(Dashboard!$B:$B)-1, A201,IF(OR(A201="",INDEX(Dashboard!$A:$A,MATCH(A201,Dashboard!$A:$A,0)+1)=0),"",INDEX(Dashboard!$A:$A,MATCH(A201,Dashboard!$A:$A,0)+1)))),"")</f>
        <v/>
      </c>
      <c r="B202" t="str">
        <f>IFERROR(IF(A202="","",IF(A202&lt;&gt;A201,Dashboard!$B$2,INDEX(Dashboard!$B:$B,MATCH(Source!B201,Dashboard!$B:$B,0)+1))),"")</f>
        <v/>
      </c>
    </row>
    <row r="203" spans="1:2" x14ac:dyDescent="0.2">
      <c r="A203" t="str">
        <f>IFERROR(IF(ROW(A202)&lt;4,Dashboard!$A$2,IF(COUNTIF($A$3:A202,A202)&lt;COUNTA(Dashboard!$B:$B)-1, A202,IF(OR(A202="",INDEX(Dashboard!$A:$A,MATCH(A202,Dashboard!$A:$A,0)+1)=0),"",INDEX(Dashboard!$A:$A,MATCH(A202,Dashboard!$A:$A,0)+1)))),"")</f>
        <v/>
      </c>
      <c r="B203" t="str">
        <f>IFERROR(IF(A203="","",IF(A203&lt;&gt;A202,Dashboard!$B$2,INDEX(Dashboard!$B:$B,MATCH(Source!B202,Dashboard!$B:$B,0)+1))),"")</f>
        <v/>
      </c>
    </row>
    <row r="204" spans="1:2" x14ac:dyDescent="0.2">
      <c r="A204" t="str">
        <f>IFERROR(IF(ROW(A203)&lt;4,Dashboard!$A$2,IF(COUNTIF($A$3:A203,A203)&lt;COUNTA(Dashboard!$B:$B)-1, A203,IF(OR(A203="",INDEX(Dashboard!$A:$A,MATCH(A203,Dashboard!$A:$A,0)+1)=0),"",INDEX(Dashboard!$A:$A,MATCH(A203,Dashboard!$A:$A,0)+1)))),"")</f>
        <v/>
      </c>
      <c r="B204" t="str">
        <f>IFERROR(IF(A204="","",IF(A204&lt;&gt;A203,Dashboard!$B$2,INDEX(Dashboard!$B:$B,MATCH(Source!B203,Dashboard!$B:$B,0)+1))),"")</f>
        <v/>
      </c>
    </row>
    <row r="205" spans="1:2" x14ac:dyDescent="0.2">
      <c r="A205" t="str">
        <f>IFERROR(IF(ROW(A204)&lt;4,Dashboard!$A$2,IF(COUNTIF($A$3:A204,A204)&lt;COUNTA(Dashboard!$B:$B)-1, A204,IF(OR(A204="",INDEX(Dashboard!$A:$A,MATCH(A204,Dashboard!$A:$A,0)+1)=0),"",INDEX(Dashboard!$A:$A,MATCH(A204,Dashboard!$A:$A,0)+1)))),"")</f>
        <v/>
      </c>
      <c r="B205" t="str">
        <f>IFERROR(IF(A205="","",IF(A205&lt;&gt;A204,Dashboard!$B$2,INDEX(Dashboard!$B:$B,MATCH(Source!B204,Dashboard!$B:$B,0)+1))),"")</f>
        <v/>
      </c>
    </row>
    <row r="206" spans="1:2" x14ac:dyDescent="0.2">
      <c r="A206" t="str">
        <f>IFERROR(IF(ROW(A205)&lt;4,Dashboard!$A$2,IF(COUNTIF($A$3:A205,A205)&lt;COUNTA(Dashboard!$B:$B)-1, A205,IF(OR(A205="",INDEX(Dashboard!$A:$A,MATCH(A205,Dashboard!$A:$A,0)+1)=0),"",INDEX(Dashboard!$A:$A,MATCH(A205,Dashboard!$A:$A,0)+1)))),"")</f>
        <v/>
      </c>
      <c r="B206" t="str">
        <f>IFERROR(IF(A206="","",IF(A206&lt;&gt;A205,Dashboard!$B$2,INDEX(Dashboard!$B:$B,MATCH(Source!B205,Dashboard!$B:$B,0)+1))),"")</f>
        <v/>
      </c>
    </row>
    <row r="207" spans="1:2" x14ac:dyDescent="0.2">
      <c r="A207" t="str">
        <f>IFERROR(IF(ROW(A206)&lt;4,Dashboard!$A$2,IF(COUNTIF($A$3:A206,A206)&lt;COUNTA(Dashboard!$B:$B)-1, A206,IF(OR(A206="",INDEX(Dashboard!$A:$A,MATCH(A206,Dashboard!$A:$A,0)+1)=0),"",INDEX(Dashboard!$A:$A,MATCH(A206,Dashboard!$A:$A,0)+1)))),"")</f>
        <v/>
      </c>
      <c r="B207" t="str">
        <f>IFERROR(IF(A207="","",IF(A207&lt;&gt;A206,Dashboard!$B$2,INDEX(Dashboard!$B:$B,MATCH(Source!B206,Dashboard!$B:$B,0)+1))),"")</f>
        <v/>
      </c>
    </row>
    <row r="208" spans="1:2" x14ac:dyDescent="0.2">
      <c r="A208" t="str">
        <f>IFERROR(IF(ROW(A207)&lt;4,Dashboard!$A$2,IF(COUNTIF($A$3:A207,A207)&lt;COUNTA(Dashboard!$B:$B)-1, A207,IF(OR(A207="",INDEX(Dashboard!$A:$A,MATCH(A207,Dashboard!$A:$A,0)+1)=0),"",INDEX(Dashboard!$A:$A,MATCH(A207,Dashboard!$A:$A,0)+1)))),"")</f>
        <v/>
      </c>
      <c r="B208" t="str">
        <f>IFERROR(IF(A208="","",IF(A208&lt;&gt;A207,Dashboard!$B$2,INDEX(Dashboard!$B:$B,MATCH(Source!B207,Dashboard!$B:$B,0)+1))),"")</f>
        <v/>
      </c>
    </row>
    <row r="209" spans="1:2" x14ac:dyDescent="0.2">
      <c r="A209" t="str">
        <f>IFERROR(IF(ROW(A208)&lt;4,Dashboard!$A$2,IF(COUNTIF($A$3:A208,A208)&lt;COUNTA(Dashboard!$B:$B)-1, A208,IF(OR(A208="",INDEX(Dashboard!$A:$A,MATCH(A208,Dashboard!$A:$A,0)+1)=0),"",INDEX(Dashboard!$A:$A,MATCH(A208,Dashboard!$A:$A,0)+1)))),"")</f>
        <v/>
      </c>
      <c r="B209" t="str">
        <f>IFERROR(IF(A209="","",IF(A209&lt;&gt;A208,Dashboard!$B$2,INDEX(Dashboard!$B:$B,MATCH(Source!B208,Dashboard!$B:$B,0)+1))),"")</f>
        <v/>
      </c>
    </row>
    <row r="210" spans="1:2" x14ac:dyDescent="0.2">
      <c r="A210" t="str">
        <f>IFERROR(IF(ROW(A209)&lt;4,Dashboard!$A$2,IF(COUNTIF($A$3:A209,A209)&lt;COUNTA(Dashboard!$B:$B)-1, A209,IF(OR(A209="",INDEX(Dashboard!$A:$A,MATCH(A209,Dashboard!$A:$A,0)+1)=0),"",INDEX(Dashboard!$A:$A,MATCH(A209,Dashboard!$A:$A,0)+1)))),"")</f>
        <v/>
      </c>
      <c r="B210" t="str">
        <f>IFERROR(IF(A210="","",IF(A210&lt;&gt;A209,Dashboard!$B$2,INDEX(Dashboard!$B:$B,MATCH(Source!B209,Dashboard!$B:$B,0)+1))),"")</f>
        <v/>
      </c>
    </row>
    <row r="211" spans="1:2" x14ac:dyDescent="0.2">
      <c r="A211" t="str">
        <f>IFERROR(IF(ROW(A210)&lt;4,Dashboard!$A$2,IF(COUNTIF($A$3:A210,A210)&lt;COUNTA(Dashboard!$B:$B)-1, A210,IF(OR(A210="",INDEX(Dashboard!$A:$A,MATCH(A210,Dashboard!$A:$A,0)+1)=0),"",INDEX(Dashboard!$A:$A,MATCH(A210,Dashboard!$A:$A,0)+1)))),"")</f>
        <v/>
      </c>
      <c r="B211" t="str">
        <f>IFERROR(IF(A211="","",IF(A211&lt;&gt;A210,Dashboard!$B$2,INDEX(Dashboard!$B:$B,MATCH(Source!B210,Dashboard!$B:$B,0)+1))),"")</f>
        <v/>
      </c>
    </row>
    <row r="212" spans="1:2" x14ac:dyDescent="0.2">
      <c r="A212" t="str">
        <f>IFERROR(IF(ROW(A211)&lt;4,Dashboard!$A$2,IF(COUNTIF($A$3:A211,A211)&lt;COUNTA(Dashboard!$B:$B)-1, A211,IF(OR(A211="",INDEX(Dashboard!$A:$A,MATCH(A211,Dashboard!$A:$A,0)+1)=0),"",INDEX(Dashboard!$A:$A,MATCH(A211,Dashboard!$A:$A,0)+1)))),"")</f>
        <v/>
      </c>
      <c r="B212" t="str">
        <f>IFERROR(IF(A212="","",IF(A212&lt;&gt;A211,Dashboard!$B$2,INDEX(Dashboard!$B:$B,MATCH(Source!B211,Dashboard!$B:$B,0)+1))),"")</f>
        <v/>
      </c>
    </row>
    <row r="213" spans="1:2" x14ac:dyDescent="0.2">
      <c r="A213" t="str">
        <f>IFERROR(IF(ROW(A212)&lt;4,Dashboard!$A$2,IF(COUNTIF($A$3:A212,A212)&lt;COUNTA(Dashboard!$B:$B)-1, A212,IF(OR(A212="",INDEX(Dashboard!$A:$A,MATCH(A212,Dashboard!$A:$A,0)+1)=0),"",INDEX(Dashboard!$A:$A,MATCH(A212,Dashboard!$A:$A,0)+1)))),"")</f>
        <v/>
      </c>
      <c r="B213" t="str">
        <f>IFERROR(IF(A213="","",IF(A213&lt;&gt;A212,Dashboard!$B$2,INDEX(Dashboard!$B:$B,MATCH(Source!B212,Dashboard!$B:$B,0)+1))),"")</f>
        <v/>
      </c>
    </row>
    <row r="214" spans="1:2" x14ac:dyDescent="0.2">
      <c r="A214" t="str">
        <f>IFERROR(IF(ROW(A213)&lt;4,Dashboard!$A$2,IF(COUNTIF($A$3:A213,A213)&lt;COUNTA(Dashboard!$B:$B)-1, A213,IF(OR(A213="",INDEX(Dashboard!$A:$A,MATCH(A213,Dashboard!$A:$A,0)+1)=0),"",INDEX(Dashboard!$A:$A,MATCH(A213,Dashboard!$A:$A,0)+1)))),"")</f>
        <v/>
      </c>
      <c r="B214" t="str">
        <f>IFERROR(IF(A214="","",IF(A214&lt;&gt;A213,Dashboard!$B$2,INDEX(Dashboard!$B:$B,MATCH(Source!B213,Dashboard!$B:$B,0)+1))),"")</f>
        <v/>
      </c>
    </row>
    <row r="215" spans="1:2" x14ac:dyDescent="0.2">
      <c r="A215" t="str">
        <f>IFERROR(IF(ROW(A214)&lt;4,Dashboard!$A$2,IF(COUNTIF($A$3:A214,A214)&lt;COUNTA(Dashboard!$B:$B)-1, A214,IF(OR(A214="",INDEX(Dashboard!$A:$A,MATCH(A214,Dashboard!$A:$A,0)+1)=0),"",INDEX(Dashboard!$A:$A,MATCH(A214,Dashboard!$A:$A,0)+1)))),"")</f>
        <v/>
      </c>
      <c r="B215" t="str">
        <f>IFERROR(IF(A215="","",IF(A215&lt;&gt;A214,Dashboard!$B$2,INDEX(Dashboard!$B:$B,MATCH(Source!B214,Dashboard!$B:$B,0)+1))),"")</f>
        <v/>
      </c>
    </row>
    <row r="216" spans="1:2" x14ac:dyDescent="0.2">
      <c r="A216" t="str">
        <f>IFERROR(IF(ROW(A215)&lt;4,Dashboard!$A$2,IF(COUNTIF($A$3:A215,A215)&lt;COUNTA(Dashboard!$B:$B)-1, A215,IF(OR(A215="",INDEX(Dashboard!$A:$A,MATCH(A215,Dashboard!$A:$A,0)+1)=0),"",INDEX(Dashboard!$A:$A,MATCH(A215,Dashboard!$A:$A,0)+1)))),"")</f>
        <v/>
      </c>
      <c r="B216" t="str">
        <f>IFERROR(IF(A216="","",IF(A216&lt;&gt;A215,Dashboard!$B$2,INDEX(Dashboard!$B:$B,MATCH(Source!B215,Dashboard!$B:$B,0)+1))),"")</f>
        <v/>
      </c>
    </row>
    <row r="217" spans="1:2" x14ac:dyDescent="0.2">
      <c r="A217" t="str">
        <f>IFERROR(IF(ROW(A216)&lt;4,Dashboard!$A$2,IF(COUNTIF($A$3:A216,A216)&lt;COUNTA(Dashboard!$B:$B)-1, A216,IF(OR(A216="",INDEX(Dashboard!$A:$A,MATCH(A216,Dashboard!$A:$A,0)+1)=0),"",INDEX(Dashboard!$A:$A,MATCH(A216,Dashboard!$A:$A,0)+1)))),"")</f>
        <v/>
      </c>
      <c r="B217" t="str">
        <f>IFERROR(IF(A217="","",IF(A217&lt;&gt;A216,Dashboard!$B$2,INDEX(Dashboard!$B:$B,MATCH(Source!B216,Dashboard!$B:$B,0)+1))),"")</f>
        <v/>
      </c>
    </row>
    <row r="218" spans="1:2" x14ac:dyDescent="0.2">
      <c r="A218" t="str">
        <f>IFERROR(IF(ROW(A217)&lt;4,Dashboard!$A$2,IF(COUNTIF($A$3:A217,A217)&lt;COUNTA(Dashboard!$B:$B)-1, A217,IF(OR(A217="",INDEX(Dashboard!$A:$A,MATCH(A217,Dashboard!$A:$A,0)+1)=0),"",INDEX(Dashboard!$A:$A,MATCH(A217,Dashboard!$A:$A,0)+1)))),"")</f>
        <v/>
      </c>
      <c r="B218" t="str">
        <f>IFERROR(IF(A218="","",IF(A218&lt;&gt;A217,Dashboard!$B$2,INDEX(Dashboard!$B:$B,MATCH(Source!B217,Dashboard!$B:$B,0)+1))),"")</f>
        <v/>
      </c>
    </row>
    <row r="219" spans="1:2" x14ac:dyDescent="0.2">
      <c r="A219" t="str">
        <f>IFERROR(IF(ROW(A218)&lt;4,Dashboard!$A$2,IF(COUNTIF($A$3:A218,A218)&lt;COUNTA(Dashboard!$B:$B)-1, A218,IF(OR(A218="",INDEX(Dashboard!$A:$A,MATCH(A218,Dashboard!$A:$A,0)+1)=0),"",INDEX(Dashboard!$A:$A,MATCH(A218,Dashboard!$A:$A,0)+1)))),"")</f>
        <v/>
      </c>
      <c r="B219" t="str">
        <f>IFERROR(IF(A219="","",IF(A219&lt;&gt;A218,Dashboard!$B$2,INDEX(Dashboard!$B:$B,MATCH(Source!B218,Dashboard!$B:$B,0)+1))),"")</f>
        <v/>
      </c>
    </row>
    <row r="220" spans="1:2" x14ac:dyDescent="0.2">
      <c r="A220" t="str">
        <f>IFERROR(IF(ROW(A219)&lt;4,Dashboard!$A$2,IF(COUNTIF($A$3:A219,A219)&lt;COUNTA(Dashboard!$B:$B)-1, A219,IF(OR(A219="",INDEX(Dashboard!$A:$A,MATCH(A219,Dashboard!$A:$A,0)+1)=0),"",INDEX(Dashboard!$A:$A,MATCH(A219,Dashboard!$A:$A,0)+1)))),"")</f>
        <v/>
      </c>
      <c r="B220" t="str">
        <f>IFERROR(IF(A220="","",IF(A220&lt;&gt;A219,Dashboard!$B$2,INDEX(Dashboard!$B:$B,MATCH(Source!B219,Dashboard!$B:$B,0)+1))),"")</f>
        <v/>
      </c>
    </row>
    <row r="221" spans="1:2" x14ac:dyDescent="0.2">
      <c r="A221" t="str">
        <f>IFERROR(IF(ROW(A220)&lt;4,Dashboard!$A$2,IF(COUNTIF($A$3:A220,A220)&lt;COUNTA(Dashboard!$B:$B)-1, A220,IF(OR(A220="",INDEX(Dashboard!$A:$A,MATCH(A220,Dashboard!$A:$A,0)+1)=0),"",INDEX(Dashboard!$A:$A,MATCH(A220,Dashboard!$A:$A,0)+1)))),"")</f>
        <v/>
      </c>
      <c r="B221" t="str">
        <f>IFERROR(IF(A221="","",IF(A221&lt;&gt;A220,Dashboard!$B$2,INDEX(Dashboard!$B:$B,MATCH(Source!B220,Dashboard!$B:$B,0)+1))),"")</f>
        <v/>
      </c>
    </row>
    <row r="222" spans="1:2" x14ac:dyDescent="0.2">
      <c r="A222" t="str">
        <f>IFERROR(IF(ROW(A221)&lt;4,Dashboard!$A$2,IF(COUNTIF($A$3:A221,A221)&lt;COUNTA(Dashboard!$B:$B)-1, A221,IF(OR(A221="",INDEX(Dashboard!$A:$A,MATCH(A221,Dashboard!$A:$A,0)+1)=0),"",INDEX(Dashboard!$A:$A,MATCH(A221,Dashboard!$A:$A,0)+1)))),"")</f>
        <v/>
      </c>
      <c r="B222" t="str">
        <f>IFERROR(IF(A222="","",IF(A222&lt;&gt;A221,Dashboard!$B$2,INDEX(Dashboard!$B:$B,MATCH(Source!B221,Dashboard!$B:$B,0)+1))),"")</f>
        <v/>
      </c>
    </row>
    <row r="223" spans="1:2" x14ac:dyDescent="0.2">
      <c r="A223" t="str">
        <f>IFERROR(IF(ROW(A222)&lt;4,Dashboard!$A$2,IF(COUNTIF($A$3:A222,A222)&lt;COUNTA(Dashboard!$B:$B)-1, A222,IF(OR(A222="",INDEX(Dashboard!$A:$A,MATCH(A222,Dashboard!$A:$A,0)+1)=0),"",INDEX(Dashboard!$A:$A,MATCH(A222,Dashboard!$A:$A,0)+1)))),"")</f>
        <v/>
      </c>
      <c r="B223" t="str">
        <f>IFERROR(IF(A223="","",IF(A223&lt;&gt;A222,Dashboard!$B$2,INDEX(Dashboard!$B:$B,MATCH(Source!B222,Dashboard!$B:$B,0)+1))),"")</f>
        <v/>
      </c>
    </row>
    <row r="224" spans="1:2" x14ac:dyDescent="0.2">
      <c r="A224" t="str">
        <f>IFERROR(IF(ROW(A223)&lt;4,Dashboard!$A$2,IF(COUNTIF($A$3:A223,A223)&lt;COUNTA(Dashboard!$B:$B)-1, A223,IF(OR(A223="",INDEX(Dashboard!$A:$A,MATCH(A223,Dashboard!$A:$A,0)+1)=0),"",INDEX(Dashboard!$A:$A,MATCH(A223,Dashboard!$A:$A,0)+1)))),"")</f>
        <v/>
      </c>
      <c r="B224" t="str">
        <f>IFERROR(IF(A224="","",IF(A224&lt;&gt;A223,Dashboard!$B$2,INDEX(Dashboard!$B:$B,MATCH(Source!B223,Dashboard!$B:$B,0)+1))),"")</f>
        <v/>
      </c>
    </row>
    <row r="225" spans="1:2" x14ac:dyDescent="0.2">
      <c r="A225" t="str">
        <f>IFERROR(IF(ROW(A224)&lt;4,Dashboard!$A$2,IF(COUNTIF($A$3:A224,A224)&lt;COUNTA(Dashboard!$B:$B)-1, A224,IF(OR(A224="",INDEX(Dashboard!$A:$A,MATCH(A224,Dashboard!$A:$A,0)+1)=0),"",INDEX(Dashboard!$A:$A,MATCH(A224,Dashboard!$A:$A,0)+1)))),"")</f>
        <v/>
      </c>
      <c r="B225" t="str">
        <f>IFERROR(IF(A225="","",IF(A225&lt;&gt;A224,Dashboard!$B$2,INDEX(Dashboard!$B:$B,MATCH(Source!B224,Dashboard!$B:$B,0)+1))),"")</f>
        <v/>
      </c>
    </row>
    <row r="226" spans="1:2" x14ac:dyDescent="0.2">
      <c r="A226" t="str">
        <f>IFERROR(IF(ROW(A225)&lt;4,Dashboard!$A$2,IF(COUNTIF($A$3:A225,A225)&lt;COUNTA(Dashboard!$B:$B)-1, A225,IF(OR(A225="",INDEX(Dashboard!$A:$A,MATCH(A225,Dashboard!$A:$A,0)+1)=0),"",INDEX(Dashboard!$A:$A,MATCH(A225,Dashboard!$A:$A,0)+1)))),"")</f>
        <v/>
      </c>
      <c r="B226" t="str">
        <f>IFERROR(IF(A226="","",IF(A226&lt;&gt;A225,Dashboard!$B$2,INDEX(Dashboard!$B:$B,MATCH(Source!B225,Dashboard!$B:$B,0)+1))),"")</f>
        <v/>
      </c>
    </row>
    <row r="227" spans="1:2" x14ac:dyDescent="0.2">
      <c r="A227" t="str">
        <f>IFERROR(IF(ROW(A226)&lt;4,Dashboard!$A$2,IF(COUNTIF($A$3:A226,A226)&lt;COUNTA(Dashboard!$B:$B)-1, A226,IF(OR(A226="",INDEX(Dashboard!$A:$A,MATCH(A226,Dashboard!$A:$A,0)+1)=0),"",INDEX(Dashboard!$A:$A,MATCH(A226,Dashboard!$A:$A,0)+1)))),"")</f>
        <v/>
      </c>
      <c r="B227" t="str">
        <f>IFERROR(IF(A227="","",IF(A227&lt;&gt;A226,Dashboard!$B$2,INDEX(Dashboard!$B:$B,MATCH(Source!B226,Dashboard!$B:$B,0)+1))),"")</f>
        <v/>
      </c>
    </row>
    <row r="228" spans="1:2" x14ac:dyDescent="0.2">
      <c r="A228" t="str">
        <f>IFERROR(IF(ROW(A227)&lt;4,Dashboard!$A$2,IF(COUNTIF($A$3:A227,A227)&lt;COUNTA(Dashboard!$B:$B)-1, A227,IF(OR(A227="",INDEX(Dashboard!$A:$A,MATCH(A227,Dashboard!$A:$A,0)+1)=0),"",INDEX(Dashboard!$A:$A,MATCH(A227,Dashboard!$A:$A,0)+1)))),"")</f>
        <v/>
      </c>
      <c r="B228" t="str">
        <f>IFERROR(IF(A228="","",IF(A228&lt;&gt;A227,Dashboard!$B$2,INDEX(Dashboard!$B:$B,MATCH(Source!B227,Dashboard!$B:$B,0)+1))),"")</f>
        <v/>
      </c>
    </row>
    <row r="229" spans="1:2" x14ac:dyDescent="0.2">
      <c r="A229" t="str">
        <f>IFERROR(IF(ROW(A228)&lt;4,Dashboard!$A$2,IF(COUNTIF($A$3:A228,A228)&lt;COUNTA(Dashboard!$B:$B)-1, A228,IF(OR(A228="",INDEX(Dashboard!$A:$A,MATCH(A228,Dashboard!$A:$A,0)+1)=0),"",INDEX(Dashboard!$A:$A,MATCH(A228,Dashboard!$A:$A,0)+1)))),"")</f>
        <v/>
      </c>
      <c r="B229" t="str">
        <f>IFERROR(IF(A229="","",IF(A229&lt;&gt;A228,Dashboard!$B$2,INDEX(Dashboard!$B:$B,MATCH(Source!B228,Dashboard!$B:$B,0)+1))),"")</f>
        <v/>
      </c>
    </row>
    <row r="230" spans="1:2" x14ac:dyDescent="0.2">
      <c r="A230" t="str">
        <f>IFERROR(IF(ROW(A229)&lt;4,Dashboard!$A$2,IF(COUNTIF($A$3:A229,A229)&lt;COUNTA(Dashboard!$B:$B)-1, A229,IF(OR(A229="",INDEX(Dashboard!$A:$A,MATCH(A229,Dashboard!$A:$A,0)+1)=0),"",INDEX(Dashboard!$A:$A,MATCH(A229,Dashboard!$A:$A,0)+1)))),"")</f>
        <v/>
      </c>
      <c r="B230" t="str">
        <f>IFERROR(IF(A230="","",IF(A230&lt;&gt;A229,Dashboard!$B$2,INDEX(Dashboard!$B:$B,MATCH(Source!B229,Dashboard!$B:$B,0)+1))),"")</f>
        <v/>
      </c>
    </row>
    <row r="231" spans="1:2" x14ac:dyDescent="0.2">
      <c r="A231" t="str">
        <f>IFERROR(IF(ROW(A230)&lt;4,Dashboard!$A$2,IF(COUNTIF($A$3:A230,A230)&lt;COUNTA(Dashboard!$B:$B)-1, A230,IF(OR(A230="",INDEX(Dashboard!$A:$A,MATCH(A230,Dashboard!$A:$A,0)+1)=0),"",INDEX(Dashboard!$A:$A,MATCH(A230,Dashboard!$A:$A,0)+1)))),"")</f>
        <v/>
      </c>
      <c r="B231" t="str">
        <f>IFERROR(IF(A231="","",IF(A231&lt;&gt;A230,Dashboard!$B$2,INDEX(Dashboard!$B:$B,MATCH(Source!B230,Dashboard!$B:$B,0)+1))),"")</f>
        <v/>
      </c>
    </row>
    <row r="232" spans="1:2" x14ac:dyDescent="0.2">
      <c r="A232" t="str">
        <f>IFERROR(IF(ROW(A231)&lt;4,Dashboard!$A$2,IF(COUNTIF($A$3:A231,A231)&lt;COUNTA(Dashboard!$B:$B)-1, A231,IF(OR(A231="",INDEX(Dashboard!$A:$A,MATCH(A231,Dashboard!$A:$A,0)+1)=0),"",INDEX(Dashboard!$A:$A,MATCH(A231,Dashboard!$A:$A,0)+1)))),"")</f>
        <v/>
      </c>
      <c r="B232" t="str">
        <f>IFERROR(IF(A232="","",IF(A232&lt;&gt;A231,Dashboard!$B$2,INDEX(Dashboard!$B:$B,MATCH(Source!B231,Dashboard!$B:$B,0)+1))),"")</f>
        <v/>
      </c>
    </row>
    <row r="233" spans="1:2" x14ac:dyDescent="0.2">
      <c r="A233" t="str">
        <f>IFERROR(IF(ROW(A232)&lt;4,Dashboard!$A$2,IF(COUNTIF($A$3:A232,A232)&lt;COUNTA(Dashboard!$B:$B)-1, A232,IF(OR(A232="",INDEX(Dashboard!$A:$A,MATCH(A232,Dashboard!$A:$A,0)+1)=0),"",INDEX(Dashboard!$A:$A,MATCH(A232,Dashboard!$A:$A,0)+1)))),"")</f>
        <v/>
      </c>
      <c r="B233" t="str">
        <f>IFERROR(IF(A233="","",IF(A233&lt;&gt;A232,Dashboard!$B$2,INDEX(Dashboard!$B:$B,MATCH(Source!B232,Dashboard!$B:$B,0)+1))),"")</f>
        <v/>
      </c>
    </row>
    <row r="234" spans="1:2" x14ac:dyDescent="0.2">
      <c r="A234" t="str">
        <f>IFERROR(IF(ROW(A233)&lt;4,Dashboard!$A$2,IF(COUNTIF($A$3:A233,A233)&lt;COUNTA(Dashboard!$B:$B)-1, A233,IF(OR(A233="",INDEX(Dashboard!$A:$A,MATCH(A233,Dashboard!$A:$A,0)+1)=0),"",INDEX(Dashboard!$A:$A,MATCH(A233,Dashboard!$A:$A,0)+1)))),"")</f>
        <v/>
      </c>
      <c r="B234" t="str">
        <f>IFERROR(IF(A234="","",IF(A234&lt;&gt;A233,Dashboard!$B$2,INDEX(Dashboard!$B:$B,MATCH(Source!B233,Dashboard!$B:$B,0)+1))),"")</f>
        <v/>
      </c>
    </row>
    <row r="235" spans="1:2" x14ac:dyDescent="0.2">
      <c r="A235" t="str">
        <f>IFERROR(IF(ROW(A234)&lt;4,Dashboard!$A$2,IF(COUNTIF($A$3:A234,A234)&lt;COUNTA(Dashboard!$B:$B)-1, A234,IF(OR(A234="",INDEX(Dashboard!$A:$A,MATCH(A234,Dashboard!$A:$A,0)+1)=0),"",INDEX(Dashboard!$A:$A,MATCH(A234,Dashboard!$A:$A,0)+1)))),"")</f>
        <v/>
      </c>
      <c r="B235" t="str">
        <f>IFERROR(IF(A235="","",IF(A235&lt;&gt;A234,Dashboard!$B$2,INDEX(Dashboard!$B:$B,MATCH(Source!B234,Dashboard!$B:$B,0)+1))),"")</f>
        <v/>
      </c>
    </row>
    <row r="236" spans="1:2" x14ac:dyDescent="0.2">
      <c r="A236" t="str">
        <f>IFERROR(IF(ROW(A235)&lt;4,Dashboard!$A$2,IF(COUNTIF($A$3:A235,A235)&lt;COUNTA(Dashboard!$B:$B)-1, A235,IF(OR(A235="",INDEX(Dashboard!$A:$A,MATCH(A235,Dashboard!$A:$A,0)+1)=0),"",INDEX(Dashboard!$A:$A,MATCH(A235,Dashboard!$A:$A,0)+1)))),"")</f>
        <v/>
      </c>
      <c r="B236" t="str">
        <f>IFERROR(IF(A236="","",IF(A236&lt;&gt;A235,Dashboard!$B$2,INDEX(Dashboard!$B:$B,MATCH(Source!B235,Dashboard!$B:$B,0)+1))),"")</f>
        <v/>
      </c>
    </row>
    <row r="237" spans="1:2" x14ac:dyDescent="0.2">
      <c r="A237" t="str">
        <f>IFERROR(IF(ROW(A236)&lt;4,Dashboard!$A$2,IF(COUNTIF($A$3:A236,A236)&lt;COUNTA(Dashboard!$B:$B)-1, A236,IF(OR(A236="",INDEX(Dashboard!$A:$A,MATCH(A236,Dashboard!$A:$A,0)+1)=0),"",INDEX(Dashboard!$A:$A,MATCH(A236,Dashboard!$A:$A,0)+1)))),"")</f>
        <v/>
      </c>
      <c r="B237" t="str">
        <f>IFERROR(IF(A237="","",IF(A237&lt;&gt;A236,Dashboard!$B$2,INDEX(Dashboard!$B:$B,MATCH(Source!B236,Dashboard!$B:$B,0)+1))),"")</f>
        <v/>
      </c>
    </row>
    <row r="238" spans="1:2" x14ac:dyDescent="0.2">
      <c r="A238" t="str">
        <f>IFERROR(IF(ROW(A237)&lt;4,Dashboard!$A$2,IF(COUNTIF($A$3:A237,A237)&lt;COUNTA(Dashboard!$B:$B)-1, A237,IF(OR(A237="",INDEX(Dashboard!$A:$A,MATCH(A237,Dashboard!$A:$A,0)+1)=0),"",INDEX(Dashboard!$A:$A,MATCH(A237,Dashboard!$A:$A,0)+1)))),"")</f>
        <v/>
      </c>
      <c r="B238" t="str">
        <f>IFERROR(IF(A238="","",IF(A238&lt;&gt;A237,Dashboard!$B$2,INDEX(Dashboard!$B:$B,MATCH(Source!B237,Dashboard!$B:$B,0)+1))),"")</f>
        <v/>
      </c>
    </row>
    <row r="239" spans="1:2" x14ac:dyDescent="0.2">
      <c r="A239" t="str">
        <f>IFERROR(IF(ROW(A238)&lt;4,Dashboard!$A$2,IF(COUNTIF($A$3:A238,A238)&lt;COUNTA(Dashboard!$B:$B)-1, A238,IF(OR(A238="",INDEX(Dashboard!$A:$A,MATCH(A238,Dashboard!$A:$A,0)+1)=0),"",INDEX(Dashboard!$A:$A,MATCH(A238,Dashboard!$A:$A,0)+1)))),"")</f>
        <v/>
      </c>
      <c r="B239" t="str">
        <f>IFERROR(IF(A239="","",IF(A239&lt;&gt;A238,Dashboard!$B$2,INDEX(Dashboard!$B:$B,MATCH(Source!B238,Dashboard!$B:$B,0)+1))),"")</f>
        <v/>
      </c>
    </row>
    <row r="240" spans="1:2" x14ac:dyDescent="0.2">
      <c r="A240" t="str">
        <f>IFERROR(IF(ROW(A239)&lt;4,Dashboard!$A$2,IF(COUNTIF($A$3:A239,A239)&lt;COUNTA(Dashboard!$B:$B)-1, A239,IF(OR(A239="",INDEX(Dashboard!$A:$A,MATCH(A239,Dashboard!$A:$A,0)+1)=0),"",INDEX(Dashboard!$A:$A,MATCH(A239,Dashboard!$A:$A,0)+1)))),"")</f>
        <v/>
      </c>
      <c r="B240" t="str">
        <f>IFERROR(IF(A240="","",IF(A240&lt;&gt;A239,Dashboard!$B$2,INDEX(Dashboard!$B:$B,MATCH(Source!B239,Dashboard!$B:$B,0)+1))),"")</f>
        <v/>
      </c>
    </row>
    <row r="241" spans="1:2" x14ac:dyDescent="0.2">
      <c r="A241" t="str">
        <f>IFERROR(IF(ROW(A240)&lt;4,Dashboard!$A$2,IF(COUNTIF($A$3:A240,A240)&lt;COUNTA(Dashboard!$B:$B)-1, A240,IF(OR(A240="",INDEX(Dashboard!$A:$A,MATCH(A240,Dashboard!$A:$A,0)+1)=0),"",INDEX(Dashboard!$A:$A,MATCH(A240,Dashboard!$A:$A,0)+1)))),"")</f>
        <v/>
      </c>
      <c r="B241" t="str">
        <f>IFERROR(IF(A241="","",IF(A241&lt;&gt;A240,Dashboard!$B$2,INDEX(Dashboard!$B:$B,MATCH(Source!B240,Dashboard!$B:$B,0)+1))),"")</f>
        <v/>
      </c>
    </row>
    <row r="242" spans="1:2" x14ac:dyDescent="0.2">
      <c r="A242" t="str">
        <f>IFERROR(IF(ROW(A241)&lt;4,Dashboard!$A$2,IF(COUNTIF($A$3:A241,A241)&lt;COUNTA(Dashboard!$B:$B)-1, A241,IF(OR(A241="",INDEX(Dashboard!$A:$A,MATCH(A241,Dashboard!$A:$A,0)+1)=0),"",INDEX(Dashboard!$A:$A,MATCH(A241,Dashboard!$A:$A,0)+1)))),"")</f>
        <v/>
      </c>
      <c r="B242" t="str">
        <f>IFERROR(IF(A242="","",IF(A242&lt;&gt;A241,Dashboard!$B$2,INDEX(Dashboard!$B:$B,MATCH(Source!B241,Dashboard!$B:$B,0)+1))),"")</f>
        <v/>
      </c>
    </row>
    <row r="243" spans="1:2" x14ac:dyDescent="0.2">
      <c r="A243" t="str">
        <f>IFERROR(IF(ROW(A242)&lt;4,Dashboard!$A$2,IF(COUNTIF($A$3:A242,A242)&lt;COUNTA(Dashboard!$B:$B)-1, A242,IF(OR(A242="",INDEX(Dashboard!$A:$A,MATCH(A242,Dashboard!$A:$A,0)+1)=0),"",INDEX(Dashboard!$A:$A,MATCH(A242,Dashboard!$A:$A,0)+1)))),"")</f>
        <v/>
      </c>
      <c r="B243" t="str">
        <f>IFERROR(IF(A243="","",IF(A243&lt;&gt;A242,Dashboard!$B$2,INDEX(Dashboard!$B:$B,MATCH(Source!B242,Dashboard!$B:$B,0)+1))),"")</f>
        <v/>
      </c>
    </row>
    <row r="244" spans="1:2" x14ac:dyDescent="0.2">
      <c r="A244" t="str">
        <f>IFERROR(IF(ROW(A243)&lt;4,Dashboard!$A$2,IF(COUNTIF($A$3:A243,A243)&lt;COUNTA(Dashboard!$B:$B)-1, A243,IF(OR(A243="",INDEX(Dashboard!$A:$A,MATCH(A243,Dashboard!$A:$A,0)+1)=0),"",INDEX(Dashboard!$A:$A,MATCH(A243,Dashboard!$A:$A,0)+1)))),"")</f>
        <v/>
      </c>
      <c r="B244" t="str">
        <f>IFERROR(IF(A244="","",IF(A244&lt;&gt;A243,Dashboard!$B$2,INDEX(Dashboard!$B:$B,MATCH(Source!B243,Dashboard!$B:$B,0)+1))),"")</f>
        <v/>
      </c>
    </row>
    <row r="245" spans="1:2" x14ac:dyDescent="0.2">
      <c r="A245" t="str">
        <f>IFERROR(IF(ROW(A244)&lt;4,Dashboard!$A$2,IF(COUNTIF($A$3:A244,A244)&lt;COUNTA(Dashboard!$B:$B)-1, A244,IF(OR(A244="",INDEX(Dashboard!$A:$A,MATCH(A244,Dashboard!$A:$A,0)+1)=0),"",INDEX(Dashboard!$A:$A,MATCH(A244,Dashboard!$A:$A,0)+1)))),"")</f>
        <v/>
      </c>
      <c r="B245" t="str">
        <f>IFERROR(IF(A245="","",IF(A245&lt;&gt;A244,Dashboard!$B$2,INDEX(Dashboard!$B:$B,MATCH(Source!B244,Dashboard!$B:$B,0)+1))),"")</f>
        <v/>
      </c>
    </row>
    <row r="246" spans="1:2" x14ac:dyDescent="0.2">
      <c r="A246" t="str">
        <f>IFERROR(IF(ROW(A245)&lt;4,Dashboard!$A$2,IF(COUNTIF($A$3:A245,A245)&lt;COUNTA(Dashboard!$B:$B)-1, A245,IF(OR(A245="",INDEX(Dashboard!$A:$A,MATCH(A245,Dashboard!$A:$A,0)+1)=0),"",INDEX(Dashboard!$A:$A,MATCH(A245,Dashboard!$A:$A,0)+1)))),"")</f>
        <v/>
      </c>
      <c r="B246" t="str">
        <f>IFERROR(IF(A246="","",IF(A246&lt;&gt;A245,Dashboard!$B$2,INDEX(Dashboard!$B:$B,MATCH(Source!B245,Dashboard!$B:$B,0)+1))),"")</f>
        <v/>
      </c>
    </row>
    <row r="247" spans="1:2" x14ac:dyDescent="0.2">
      <c r="A247" t="str">
        <f>IFERROR(IF(ROW(A246)&lt;4,Dashboard!$A$2,IF(COUNTIF($A$3:A246,A246)&lt;COUNTA(Dashboard!$B:$B)-1, A246,IF(OR(A246="",INDEX(Dashboard!$A:$A,MATCH(A246,Dashboard!$A:$A,0)+1)=0),"",INDEX(Dashboard!$A:$A,MATCH(A246,Dashboard!$A:$A,0)+1)))),"")</f>
        <v/>
      </c>
      <c r="B247" t="str">
        <f>IFERROR(IF(A247="","",IF(A247&lt;&gt;A246,Dashboard!$B$2,INDEX(Dashboard!$B:$B,MATCH(Source!B246,Dashboard!$B:$B,0)+1))),"")</f>
        <v/>
      </c>
    </row>
    <row r="248" spans="1:2" x14ac:dyDescent="0.2">
      <c r="A248" t="str">
        <f>IFERROR(IF(ROW(A247)&lt;4,Dashboard!$A$2,IF(COUNTIF($A$3:A247,A247)&lt;COUNTA(Dashboard!$B:$B)-1, A247,IF(OR(A247="",INDEX(Dashboard!$A:$A,MATCH(A247,Dashboard!$A:$A,0)+1)=0),"",INDEX(Dashboard!$A:$A,MATCH(A247,Dashboard!$A:$A,0)+1)))),"")</f>
        <v/>
      </c>
      <c r="B248" t="str">
        <f>IFERROR(IF(A248="","",IF(A248&lt;&gt;A247,Dashboard!$B$2,INDEX(Dashboard!$B:$B,MATCH(Source!B247,Dashboard!$B:$B,0)+1))),"")</f>
        <v/>
      </c>
    </row>
    <row r="249" spans="1:2" x14ac:dyDescent="0.2">
      <c r="A249" t="str">
        <f>IFERROR(IF(ROW(A248)&lt;4,Dashboard!$A$2,IF(COUNTIF($A$3:A248,A248)&lt;COUNTA(Dashboard!$B:$B)-1, A248,IF(OR(A248="",INDEX(Dashboard!$A:$A,MATCH(A248,Dashboard!$A:$A,0)+1)=0),"",INDEX(Dashboard!$A:$A,MATCH(A248,Dashboard!$A:$A,0)+1)))),"")</f>
        <v/>
      </c>
      <c r="B249" t="str">
        <f>IFERROR(IF(A249="","",IF(A249&lt;&gt;A248,Dashboard!$B$2,INDEX(Dashboard!$B:$B,MATCH(Source!B248,Dashboard!$B:$B,0)+1))),"")</f>
        <v/>
      </c>
    </row>
    <row r="250" spans="1:2" x14ac:dyDescent="0.2">
      <c r="A250" t="str">
        <f>IFERROR(IF(ROW(A249)&lt;4,Dashboard!$A$2,IF(COUNTIF($A$3:A249,A249)&lt;COUNTA(Dashboard!$B:$B)-1, A249,IF(OR(A249="",INDEX(Dashboard!$A:$A,MATCH(A249,Dashboard!$A:$A,0)+1)=0),"",INDEX(Dashboard!$A:$A,MATCH(A249,Dashboard!$A:$A,0)+1)))),"")</f>
        <v/>
      </c>
      <c r="B250" t="str">
        <f>IFERROR(IF(A250="","",IF(A250&lt;&gt;A249,Dashboard!$B$2,INDEX(Dashboard!$B:$B,MATCH(Source!B249,Dashboard!$B:$B,0)+1))),"")</f>
        <v/>
      </c>
    </row>
    <row r="251" spans="1:2" x14ac:dyDescent="0.2">
      <c r="A251" t="str">
        <f>IFERROR(IF(ROW(A250)&lt;4,Dashboard!$A$2,IF(COUNTIF($A$3:A250,A250)&lt;COUNTA(Dashboard!$B:$B)-1, A250,IF(OR(A250="",INDEX(Dashboard!$A:$A,MATCH(A250,Dashboard!$A:$A,0)+1)=0),"",INDEX(Dashboard!$A:$A,MATCH(A250,Dashboard!$A:$A,0)+1)))),"")</f>
        <v/>
      </c>
      <c r="B251" t="str">
        <f>IFERROR(IF(A251="","",IF(A251&lt;&gt;A250,Dashboard!$B$2,INDEX(Dashboard!$B:$B,MATCH(Source!B250,Dashboard!$B:$B,0)+1))),"")</f>
        <v/>
      </c>
    </row>
    <row r="252" spans="1:2" x14ac:dyDescent="0.2">
      <c r="A252" t="str">
        <f>IFERROR(IF(ROW(A251)&lt;4,Dashboard!$A$2,IF(COUNTIF($A$3:A251,A251)&lt;COUNTA(Dashboard!$B:$B)-1, A251,IF(OR(A251="",INDEX(Dashboard!$A:$A,MATCH(A251,Dashboard!$A:$A,0)+1)=0),"",INDEX(Dashboard!$A:$A,MATCH(A251,Dashboard!$A:$A,0)+1)))),"")</f>
        <v/>
      </c>
      <c r="B252" t="str">
        <f>IFERROR(IF(A252="","",IF(A252&lt;&gt;A251,Dashboard!$B$2,INDEX(Dashboard!$B:$B,MATCH(Source!B251,Dashboard!$B:$B,0)+1))),"")</f>
        <v/>
      </c>
    </row>
    <row r="253" spans="1:2" x14ac:dyDescent="0.2">
      <c r="A253" t="str">
        <f>IFERROR(IF(ROW(A252)&lt;4,Dashboard!$A$2,IF(COUNTIF($A$3:A252,A252)&lt;COUNTA(Dashboard!$B:$B)-1, A252,IF(OR(A252="",INDEX(Dashboard!$A:$A,MATCH(A252,Dashboard!$A:$A,0)+1)=0),"",INDEX(Dashboard!$A:$A,MATCH(A252,Dashboard!$A:$A,0)+1)))),"")</f>
        <v/>
      </c>
      <c r="B253" t="str">
        <f>IFERROR(IF(A253="","",IF(A253&lt;&gt;A252,Dashboard!$B$2,INDEX(Dashboard!$B:$B,MATCH(Source!B252,Dashboard!$B:$B,0)+1))),"")</f>
        <v/>
      </c>
    </row>
    <row r="254" spans="1:2" x14ac:dyDescent="0.2">
      <c r="A254" t="str">
        <f>IFERROR(IF(ROW(A253)&lt;4,Dashboard!$A$2,IF(COUNTIF($A$3:A253,A253)&lt;COUNTA(Dashboard!$B:$B)-1, A253,IF(OR(A253="",INDEX(Dashboard!$A:$A,MATCH(A253,Dashboard!$A:$A,0)+1)=0),"",INDEX(Dashboard!$A:$A,MATCH(A253,Dashboard!$A:$A,0)+1)))),"")</f>
        <v/>
      </c>
      <c r="B254" t="str">
        <f>IFERROR(IF(A254="","",IF(A254&lt;&gt;A253,Dashboard!$B$2,INDEX(Dashboard!$B:$B,MATCH(Source!B253,Dashboard!$B:$B,0)+1))),"")</f>
        <v/>
      </c>
    </row>
    <row r="255" spans="1:2" x14ac:dyDescent="0.2">
      <c r="A255" t="str">
        <f>IFERROR(IF(ROW(A254)&lt;4,Dashboard!$A$2,IF(COUNTIF($A$3:A254,A254)&lt;COUNTA(Dashboard!$B:$B)-1, A254,IF(OR(A254="",INDEX(Dashboard!$A:$A,MATCH(A254,Dashboard!$A:$A,0)+1)=0),"",INDEX(Dashboard!$A:$A,MATCH(A254,Dashboard!$A:$A,0)+1)))),"")</f>
        <v/>
      </c>
      <c r="B255" t="str">
        <f>IFERROR(IF(A255="","",IF(A255&lt;&gt;A254,Dashboard!$B$2,INDEX(Dashboard!$B:$B,MATCH(Source!B254,Dashboard!$B:$B,0)+1))),"")</f>
        <v/>
      </c>
    </row>
    <row r="256" spans="1:2" x14ac:dyDescent="0.2">
      <c r="A256" t="str">
        <f>IFERROR(IF(ROW(A255)&lt;4,Dashboard!$A$2,IF(COUNTIF($A$3:A255,A255)&lt;COUNTA(Dashboard!$B:$B)-1, A255,IF(OR(A255="",INDEX(Dashboard!$A:$A,MATCH(A255,Dashboard!$A:$A,0)+1)=0),"",INDEX(Dashboard!$A:$A,MATCH(A255,Dashboard!$A:$A,0)+1)))),"")</f>
        <v/>
      </c>
      <c r="B256" t="str">
        <f>IFERROR(IF(A256="","",IF(A256&lt;&gt;A255,Dashboard!$B$2,INDEX(Dashboard!$B:$B,MATCH(Source!B255,Dashboard!$B:$B,0)+1))),"")</f>
        <v/>
      </c>
    </row>
    <row r="257" spans="1:2" x14ac:dyDescent="0.2">
      <c r="A257" t="str">
        <f>IFERROR(IF(ROW(A256)&lt;4,Dashboard!$A$2,IF(COUNTIF($A$3:A256,A256)&lt;COUNTA(Dashboard!$B:$B)-1, A256,IF(OR(A256="",INDEX(Dashboard!$A:$A,MATCH(A256,Dashboard!$A:$A,0)+1)=0),"",INDEX(Dashboard!$A:$A,MATCH(A256,Dashboard!$A:$A,0)+1)))),"")</f>
        <v/>
      </c>
      <c r="B257" t="str">
        <f>IFERROR(IF(A257="","",IF(A257&lt;&gt;A256,Dashboard!$B$2,INDEX(Dashboard!$B:$B,MATCH(Source!B256,Dashboard!$B:$B,0)+1))),"")</f>
        <v/>
      </c>
    </row>
    <row r="258" spans="1:2" x14ac:dyDescent="0.2">
      <c r="A258" t="str">
        <f>IFERROR(IF(ROW(A257)&lt;4,Dashboard!$A$2,IF(COUNTIF($A$3:A257,A257)&lt;COUNTA(Dashboard!$B:$B)-1, A257,IF(OR(A257="",INDEX(Dashboard!$A:$A,MATCH(A257,Dashboard!$A:$A,0)+1)=0),"",INDEX(Dashboard!$A:$A,MATCH(A257,Dashboard!$A:$A,0)+1)))),"")</f>
        <v/>
      </c>
      <c r="B258" t="str">
        <f>IFERROR(IF(A258="","",IF(A258&lt;&gt;A257,Dashboard!$B$2,INDEX(Dashboard!$B:$B,MATCH(Source!B257,Dashboard!$B:$B,0)+1))),"")</f>
        <v/>
      </c>
    </row>
    <row r="259" spans="1:2" x14ac:dyDescent="0.2">
      <c r="A259" t="str">
        <f>IFERROR(IF(ROW(A258)&lt;4,Dashboard!$A$2,IF(COUNTIF($A$3:A258,A258)&lt;COUNTA(Dashboard!$B:$B)-1, A258,IF(OR(A258="",INDEX(Dashboard!$A:$A,MATCH(A258,Dashboard!$A:$A,0)+1)=0),"",INDEX(Dashboard!$A:$A,MATCH(A258,Dashboard!$A:$A,0)+1)))),"")</f>
        <v/>
      </c>
      <c r="B259" t="str">
        <f>IFERROR(IF(A259="","",IF(A259&lt;&gt;A258,Dashboard!$B$2,INDEX(Dashboard!$B:$B,MATCH(Source!B258,Dashboard!$B:$B,0)+1))),"")</f>
        <v/>
      </c>
    </row>
    <row r="260" spans="1:2" x14ac:dyDescent="0.2">
      <c r="A260" t="str">
        <f>IFERROR(IF(ROW(A259)&lt;4,Dashboard!$A$2,IF(COUNTIF($A$3:A259,A259)&lt;COUNTA(Dashboard!$B:$B)-1, A259,IF(OR(A259="",INDEX(Dashboard!$A:$A,MATCH(A259,Dashboard!$A:$A,0)+1)=0),"",INDEX(Dashboard!$A:$A,MATCH(A259,Dashboard!$A:$A,0)+1)))),"")</f>
        <v/>
      </c>
      <c r="B260" t="str">
        <f>IFERROR(IF(A260="","",IF(A260&lt;&gt;A259,Dashboard!$B$2,INDEX(Dashboard!$B:$B,MATCH(Source!B259,Dashboard!$B:$B,0)+1))),"")</f>
        <v/>
      </c>
    </row>
    <row r="261" spans="1:2" x14ac:dyDescent="0.2">
      <c r="A261" t="str">
        <f>IFERROR(IF(ROW(A260)&lt;4,Dashboard!$A$2,IF(COUNTIF($A$3:A260,A260)&lt;COUNTA(Dashboard!$B:$B)-1, A260,IF(OR(A260="",INDEX(Dashboard!$A:$A,MATCH(A260,Dashboard!$A:$A,0)+1)=0),"",INDEX(Dashboard!$A:$A,MATCH(A260,Dashboard!$A:$A,0)+1)))),"")</f>
        <v/>
      </c>
      <c r="B261" t="str">
        <f>IFERROR(IF(A261="","",IF(A261&lt;&gt;A260,Dashboard!$B$2,INDEX(Dashboard!$B:$B,MATCH(Source!B260,Dashboard!$B:$B,0)+1))),"")</f>
        <v/>
      </c>
    </row>
    <row r="262" spans="1:2" x14ac:dyDescent="0.2">
      <c r="A262" t="str">
        <f>IFERROR(IF(ROW(A261)&lt;4,Dashboard!$A$2,IF(COUNTIF($A$3:A261,A261)&lt;COUNTA(Dashboard!$B:$B)-1, A261,IF(OR(A261="",INDEX(Dashboard!$A:$A,MATCH(A261,Dashboard!$A:$A,0)+1)=0),"",INDEX(Dashboard!$A:$A,MATCH(A261,Dashboard!$A:$A,0)+1)))),"")</f>
        <v/>
      </c>
      <c r="B262" t="str">
        <f>IFERROR(IF(A262="","",IF(A262&lt;&gt;A261,Dashboard!$B$2,INDEX(Dashboard!$B:$B,MATCH(Source!B261,Dashboard!$B:$B,0)+1))),"")</f>
        <v/>
      </c>
    </row>
    <row r="263" spans="1:2" x14ac:dyDescent="0.2">
      <c r="A263" t="str">
        <f>IFERROR(IF(ROW(A262)&lt;4,Dashboard!$A$2,IF(COUNTIF($A$3:A262,A262)&lt;COUNTA(Dashboard!$B:$B)-1, A262,IF(OR(A262="",INDEX(Dashboard!$A:$A,MATCH(A262,Dashboard!$A:$A,0)+1)=0),"",INDEX(Dashboard!$A:$A,MATCH(A262,Dashboard!$A:$A,0)+1)))),"")</f>
        <v/>
      </c>
      <c r="B263" t="str">
        <f>IFERROR(IF(A263="","",IF(A263&lt;&gt;A262,Dashboard!$B$2,INDEX(Dashboard!$B:$B,MATCH(Source!B262,Dashboard!$B:$B,0)+1))),"")</f>
        <v/>
      </c>
    </row>
    <row r="264" spans="1:2" x14ac:dyDescent="0.2">
      <c r="A264" t="str">
        <f>IFERROR(IF(ROW(A263)&lt;4,Dashboard!$A$2,IF(COUNTIF($A$3:A263,A263)&lt;COUNTA(Dashboard!$B:$B)-1, A263,IF(OR(A263="",INDEX(Dashboard!$A:$A,MATCH(A263,Dashboard!$A:$A,0)+1)=0),"",INDEX(Dashboard!$A:$A,MATCH(A263,Dashboard!$A:$A,0)+1)))),"")</f>
        <v/>
      </c>
      <c r="B264" t="str">
        <f>IFERROR(IF(A264="","",IF(A264&lt;&gt;A263,Dashboard!$B$2,INDEX(Dashboard!$B:$B,MATCH(Source!B263,Dashboard!$B:$B,0)+1))),"")</f>
        <v/>
      </c>
    </row>
    <row r="265" spans="1:2" x14ac:dyDescent="0.2">
      <c r="A265" t="str">
        <f>IFERROR(IF(ROW(A264)&lt;4,Dashboard!$A$2,IF(COUNTIF($A$3:A264,A264)&lt;COUNTA(Dashboard!$B:$B)-1, A264,IF(OR(A264="",INDEX(Dashboard!$A:$A,MATCH(A264,Dashboard!$A:$A,0)+1)=0),"",INDEX(Dashboard!$A:$A,MATCH(A264,Dashboard!$A:$A,0)+1)))),"")</f>
        <v/>
      </c>
      <c r="B265" t="str">
        <f>IFERROR(IF(A265="","",IF(A265&lt;&gt;A264,Dashboard!$B$2,INDEX(Dashboard!$B:$B,MATCH(Source!B264,Dashboard!$B:$B,0)+1))),"")</f>
        <v/>
      </c>
    </row>
    <row r="266" spans="1:2" x14ac:dyDescent="0.2">
      <c r="A266" t="str">
        <f>IFERROR(IF(ROW(A265)&lt;4,Dashboard!$A$2,IF(COUNTIF($A$3:A265,A265)&lt;COUNTA(Dashboard!$B:$B)-1, A265,IF(OR(A265="",INDEX(Dashboard!$A:$A,MATCH(A265,Dashboard!$A:$A,0)+1)=0),"",INDEX(Dashboard!$A:$A,MATCH(A265,Dashboard!$A:$A,0)+1)))),"")</f>
        <v/>
      </c>
      <c r="B266" t="str">
        <f>IFERROR(IF(A266="","",IF(A266&lt;&gt;A265,Dashboard!$B$2,INDEX(Dashboard!$B:$B,MATCH(Source!B265,Dashboard!$B:$B,0)+1))),"")</f>
        <v/>
      </c>
    </row>
    <row r="267" spans="1:2" x14ac:dyDescent="0.2">
      <c r="A267" t="str">
        <f>IFERROR(IF(ROW(A266)&lt;4,Dashboard!$A$2,IF(COUNTIF($A$3:A266,A266)&lt;COUNTA(Dashboard!$B:$B)-1, A266,IF(OR(A266="",INDEX(Dashboard!$A:$A,MATCH(A266,Dashboard!$A:$A,0)+1)=0),"",INDEX(Dashboard!$A:$A,MATCH(A266,Dashboard!$A:$A,0)+1)))),"")</f>
        <v/>
      </c>
      <c r="B267" t="str">
        <f>IFERROR(IF(A267="","",IF(A267&lt;&gt;A266,Dashboard!$B$2,INDEX(Dashboard!$B:$B,MATCH(Source!B266,Dashboard!$B:$B,0)+1))),"")</f>
        <v/>
      </c>
    </row>
    <row r="268" spans="1:2" x14ac:dyDescent="0.2">
      <c r="A268" t="str">
        <f>IFERROR(IF(ROW(A267)&lt;4,Dashboard!$A$2,IF(COUNTIF($A$3:A267,A267)&lt;COUNTA(Dashboard!$B:$B)-1, A267,IF(OR(A267="",INDEX(Dashboard!$A:$A,MATCH(A267,Dashboard!$A:$A,0)+1)=0),"",INDEX(Dashboard!$A:$A,MATCH(A267,Dashboard!$A:$A,0)+1)))),"")</f>
        <v/>
      </c>
      <c r="B268" t="str">
        <f>IFERROR(IF(A268="","",IF(A268&lt;&gt;A267,Dashboard!$B$2,INDEX(Dashboard!$B:$B,MATCH(Source!B267,Dashboard!$B:$B,0)+1))),"")</f>
        <v/>
      </c>
    </row>
    <row r="269" spans="1:2" x14ac:dyDescent="0.2">
      <c r="A269" t="str">
        <f>IFERROR(IF(ROW(A268)&lt;4,Dashboard!$A$2,IF(COUNTIF($A$3:A268,A268)&lt;COUNTA(Dashboard!$B:$B)-1, A268,IF(OR(A268="",INDEX(Dashboard!$A:$A,MATCH(A268,Dashboard!$A:$A,0)+1)=0),"",INDEX(Dashboard!$A:$A,MATCH(A268,Dashboard!$A:$A,0)+1)))),"")</f>
        <v/>
      </c>
      <c r="B269" t="str">
        <f>IFERROR(IF(A269="","",IF(A269&lt;&gt;A268,Dashboard!$B$2,INDEX(Dashboard!$B:$B,MATCH(Source!B268,Dashboard!$B:$B,0)+1))),"")</f>
        <v/>
      </c>
    </row>
    <row r="270" spans="1:2" x14ac:dyDescent="0.2">
      <c r="A270" t="str">
        <f>IFERROR(IF(ROW(A269)&lt;4,Dashboard!$A$2,IF(COUNTIF($A$3:A269,A269)&lt;COUNTA(Dashboard!$B:$B)-1, A269,IF(OR(A269="",INDEX(Dashboard!$A:$A,MATCH(A269,Dashboard!$A:$A,0)+1)=0),"",INDEX(Dashboard!$A:$A,MATCH(A269,Dashboard!$A:$A,0)+1)))),"")</f>
        <v/>
      </c>
      <c r="B270" t="str">
        <f>IFERROR(IF(A270="","",IF(A270&lt;&gt;A269,Dashboard!$B$2,INDEX(Dashboard!$B:$B,MATCH(Source!B269,Dashboard!$B:$B,0)+1))),"")</f>
        <v/>
      </c>
    </row>
    <row r="271" spans="1:2" x14ac:dyDescent="0.2">
      <c r="A271" t="str">
        <f>IFERROR(IF(ROW(A270)&lt;4,Dashboard!$A$2,IF(COUNTIF($A$3:A270,A270)&lt;COUNTA(Dashboard!$B:$B)-1, A270,IF(OR(A270="",INDEX(Dashboard!$A:$A,MATCH(A270,Dashboard!$A:$A,0)+1)=0),"",INDEX(Dashboard!$A:$A,MATCH(A270,Dashboard!$A:$A,0)+1)))),"")</f>
        <v/>
      </c>
      <c r="B271" t="str">
        <f>IFERROR(IF(A271="","",IF(A271&lt;&gt;A270,Dashboard!$B$2,INDEX(Dashboard!$B:$B,MATCH(Source!B270,Dashboard!$B:$B,0)+1))),"")</f>
        <v/>
      </c>
    </row>
    <row r="272" spans="1:2" x14ac:dyDescent="0.2">
      <c r="A272" t="str">
        <f>IFERROR(IF(ROW(A271)&lt;4,Dashboard!$A$2,IF(COUNTIF($A$3:A271,A271)&lt;COUNTA(Dashboard!$B:$B)-1, A271,IF(OR(A271="",INDEX(Dashboard!$A:$A,MATCH(A271,Dashboard!$A:$A,0)+1)=0),"",INDEX(Dashboard!$A:$A,MATCH(A271,Dashboard!$A:$A,0)+1)))),"")</f>
        <v/>
      </c>
      <c r="B272" t="str">
        <f>IFERROR(IF(A272="","",IF(A272&lt;&gt;A271,Dashboard!$B$2,INDEX(Dashboard!$B:$B,MATCH(Source!B271,Dashboard!$B:$B,0)+1))),"")</f>
        <v/>
      </c>
    </row>
    <row r="273" spans="1:2" x14ac:dyDescent="0.2">
      <c r="A273" t="str">
        <f>IFERROR(IF(ROW(A272)&lt;4,Dashboard!$A$2,IF(COUNTIF($A$3:A272,A272)&lt;COUNTA(Dashboard!$B:$B)-1, A272,IF(OR(A272="",INDEX(Dashboard!$A:$A,MATCH(A272,Dashboard!$A:$A,0)+1)=0),"",INDEX(Dashboard!$A:$A,MATCH(A272,Dashboard!$A:$A,0)+1)))),"")</f>
        <v/>
      </c>
      <c r="B273" t="str">
        <f>IFERROR(IF(A273="","",IF(A273&lt;&gt;A272,Dashboard!$B$2,INDEX(Dashboard!$B:$B,MATCH(Source!B272,Dashboard!$B:$B,0)+1))),"")</f>
        <v/>
      </c>
    </row>
    <row r="274" spans="1:2" x14ac:dyDescent="0.2">
      <c r="A274" t="str">
        <f>IFERROR(IF(ROW(A273)&lt;4,Dashboard!$A$2,IF(COUNTIF($A$3:A273,A273)&lt;COUNTA(Dashboard!$B:$B)-1, A273,IF(OR(A273="",INDEX(Dashboard!$A:$A,MATCH(A273,Dashboard!$A:$A,0)+1)=0),"",INDEX(Dashboard!$A:$A,MATCH(A273,Dashboard!$A:$A,0)+1)))),"")</f>
        <v/>
      </c>
      <c r="B274" t="str">
        <f>IFERROR(IF(A274="","",IF(A274&lt;&gt;A273,Dashboard!$B$2,INDEX(Dashboard!$B:$B,MATCH(Source!B273,Dashboard!$B:$B,0)+1))),"")</f>
        <v/>
      </c>
    </row>
    <row r="275" spans="1:2" x14ac:dyDescent="0.2">
      <c r="A275" t="str">
        <f>IFERROR(IF(ROW(A274)&lt;4,Dashboard!$A$2,IF(COUNTIF($A$3:A274,A274)&lt;COUNTA(Dashboard!$B:$B)-1, A274,IF(OR(A274="",INDEX(Dashboard!$A:$A,MATCH(A274,Dashboard!$A:$A,0)+1)=0),"",INDEX(Dashboard!$A:$A,MATCH(A274,Dashboard!$A:$A,0)+1)))),"")</f>
        <v/>
      </c>
      <c r="B275" t="str">
        <f>IFERROR(IF(A275="","",IF(A275&lt;&gt;A274,Dashboard!$B$2,INDEX(Dashboard!$B:$B,MATCH(Source!B274,Dashboard!$B:$B,0)+1))),"")</f>
        <v/>
      </c>
    </row>
    <row r="276" spans="1:2" x14ac:dyDescent="0.2">
      <c r="A276" t="str">
        <f>IFERROR(IF(ROW(A275)&lt;4,Dashboard!$A$2,IF(COUNTIF($A$3:A275,A275)&lt;COUNTA(Dashboard!$B:$B)-1, A275,IF(OR(A275="",INDEX(Dashboard!$A:$A,MATCH(A275,Dashboard!$A:$A,0)+1)=0),"",INDEX(Dashboard!$A:$A,MATCH(A275,Dashboard!$A:$A,0)+1)))),"")</f>
        <v/>
      </c>
      <c r="B276" t="str">
        <f>IFERROR(IF(A276="","",IF(A276&lt;&gt;A275,Dashboard!$B$2,INDEX(Dashboard!$B:$B,MATCH(Source!B275,Dashboard!$B:$B,0)+1))),"")</f>
        <v/>
      </c>
    </row>
    <row r="277" spans="1:2" x14ac:dyDescent="0.2">
      <c r="A277" t="str">
        <f>IFERROR(IF(ROW(A276)&lt;4,Dashboard!$A$2,IF(COUNTIF($A$3:A276,A276)&lt;COUNTA(Dashboard!$B:$B)-1, A276,IF(OR(A276="",INDEX(Dashboard!$A:$A,MATCH(A276,Dashboard!$A:$A,0)+1)=0),"",INDEX(Dashboard!$A:$A,MATCH(A276,Dashboard!$A:$A,0)+1)))),"")</f>
        <v/>
      </c>
      <c r="B277" t="str">
        <f>IFERROR(IF(A277="","",IF(A277&lt;&gt;A276,Dashboard!$B$2,INDEX(Dashboard!$B:$B,MATCH(Source!B276,Dashboard!$B:$B,0)+1))),"")</f>
        <v/>
      </c>
    </row>
    <row r="278" spans="1:2" x14ac:dyDescent="0.2">
      <c r="A278" t="str">
        <f>IFERROR(IF(ROW(A277)&lt;4,Dashboard!$A$2,IF(COUNTIF($A$3:A277,A277)&lt;COUNTA(Dashboard!$B:$B)-1, A277,IF(OR(A277="",INDEX(Dashboard!$A:$A,MATCH(A277,Dashboard!$A:$A,0)+1)=0),"",INDEX(Dashboard!$A:$A,MATCH(A277,Dashboard!$A:$A,0)+1)))),"")</f>
        <v/>
      </c>
      <c r="B278" t="str">
        <f>IFERROR(IF(A278="","",IF(A278&lt;&gt;A277,Dashboard!$B$2,INDEX(Dashboard!$B:$B,MATCH(Source!B277,Dashboard!$B:$B,0)+1))),"")</f>
        <v/>
      </c>
    </row>
    <row r="279" spans="1:2" x14ac:dyDescent="0.2">
      <c r="A279" t="str">
        <f>IFERROR(IF(ROW(A278)&lt;4,Dashboard!$A$2,IF(COUNTIF($A$3:A278,A278)&lt;COUNTA(Dashboard!$B:$B)-1, A278,IF(OR(A278="",INDEX(Dashboard!$A:$A,MATCH(A278,Dashboard!$A:$A,0)+1)=0),"",INDEX(Dashboard!$A:$A,MATCH(A278,Dashboard!$A:$A,0)+1)))),"")</f>
        <v/>
      </c>
      <c r="B279" t="str">
        <f>IFERROR(IF(A279="","",IF(A279&lt;&gt;A278,Dashboard!$B$2,INDEX(Dashboard!$B:$B,MATCH(Source!B278,Dashboard!$B:$B,0)+1))),"")</f>
        <v/>
      </c>
    </row>
    <row r="280" spans="1:2" x14ac:dyDescent="0.2">
      <c r="A280" t="str">
        <f>IFERROR(IF(ROW(A279)&lt;4,Dashboard!$A$2,IF(COUNTIF($A$3:A279,A279)&lt;COUNTA(Dashboard!$B:$B)-1, A279,IF(OR(A279="",INDEX(Dashboard!$A:$A,MATCH(A279,Dashboard!$A:$A,0)+1)=0),"",INDEX(Dashboard!$A:$A,MATCH(A279,Dashboard!$A:$A,0)+1)))),"")</f>
        <v/>
      </c>
      <c r="B280" t="str">
        <f>IFERROR(IF(A280="","",IF(A280&lt;&gt;A279,Dashboard!$B$2,INDEX(Dashboard!$B:$B,MATCH(Source!B279,Dashboard!$B:$B,0)+1))),"")</f>
        <v/>
      </c>
    </row>
    <row r="281" spans="1:2" x14ac:dyDescent="0.2">
      <c r="A281" t="str">
        <f>IFERROR(IF(ROW(A280)&lt;4,Dashboard!$A$2,IF(COUNTIF($A$3:A280,A280)&lt;COUNTA(Dashboard!$B:$B)-1, A280,IF(OR(A280="",INDEX(Dashboard!$A:$A,MATCH(A280,Dashboard!$A:$A,0)+1)=0),"",INDEX(Dashboard!$A:$A,MATCH(A280,Dashboard!$A:$A,0)+1)))),"")</f>
        <v/>
      </c>
      <c r="B281" t="str">
        <f>IFERROR(IF(A281="","",IF(A281&lt;&gt;A280,Dashboard!$B$2,INDEX(Dashboard!$B:$B,MATCH(Source!B280,Dashboard!$B:$B,0)+1))),"")</f>
        <v/>
      </c>
    </row>
    <row r="282" spans="1:2" x14ac:dyDescent="0.2">
      <c r="A282" t="str">
        <f>IFERROR(IF(ROW(A281)&lt;4,Dashboard!$A$2,IF(COUNTIF($A$3:A281,A281)&lt;COUNTA(Dashboard!$B:$B)-1, A281,IF(OR(A281="",INDEX(Dashboard!$A:$A,MATCH(A281,Dashboard!$A:$A,0)+1)=0),"",INDEX(Dashboard!$A:$A,MATCH(A281,Dashboard!$A:$A,0)+1)))),"")</f>
        <v/>
      </c>
      <c r="B282" t="str">
        <f>IFERROR(IF(A282="","",IF(A282&lt;&gt;A281,Dashboard!$B$2,INDEX(Dashboard!$B:$B,MATCH(Source!B281,Dashboard!$B:$B,0)+1))),"")</f>
        <v/>
      </c>
    </row>
    <row r="283" spans="1:2" x14ac:dyDescent="0.2">
      <c r="A283" t="str">
        <f>IFERROR(IF(ROW(A282)&lt;4,Dashboard!$A$2,IF(COUNTIF($A$3:A282,A282)&lt;COUNTA(Dashboard!$B:$B)-1, A282,IF(OR(A282="",INDEX(Dashboard!$A:$A,MATCH(A282,Dashboard!$A:$A,0)+1)=0),"",INDEX(Dashboard!$A:$A,MATCH(A282,Dashboard!$A:$A,0)+1)))),"")</f>
        <v/>
      </c>
      <c r="B283" t="str">
        <f>IFERROR(IF(A283="","",IF(A283&lt;&gt;A282,Dashboard!$B$2,INDEX(Dashboard!$B:$B,MATCH(Source!B282,Dashboard!$B:$B,0)+1))),"")</f>
        <v/>
      </c>
    </row>
    <row r="284" spans="1:2" x14ac:dyDescent="0.2">
      <c r="A284" t="str">
        <f>IFERROR(IF(ROW(A283)&lt;4,Dashboard!$A$2,IF(COUNTIF($A$3:A283,A283)&lt;COUNTA(Dashboard!$B:$B)-1, A283,IF(OR(A283="",INDEX(Dashboard!$A:$A,MATCH(A283,Dashboard!$A:$A,0)+1)=0),"",INDEX(Dashboard!$A:$A,MATCH(A283,Dashboard!$A:$A,0)+1)))),"")</f>
        <v/>
      </c>
      <c r="B284" t="str">
        <f>IFERROR(IF(A284="","",IF(A284&lt;&gt;A283,Dashboard!$B$2,INDEX(Dashboard!$B:$B,MATCH(Source!B283,Dashboard!$B:$B,0)+1))),"")</f>
        <v/>
      </c>
    </row>
    <row r="285" spans="1:2" x14ac:dyDescent="0.2">
      <c r="A285" t="str">
        <f>IFERROR(IF(ROW(A284)&lt;4,Dashboard!$A$2,IF(COUNTIF($A$3:A284,A284)&lt;COUNTA(Dashboard!$B:$B)-1, A284,IF(OR(A284="",INDEX(Dashboard!$A:$A,MATCH(A284,Dashboard!$A:$A,0)+1)=0),"",INDEX(Dashboard!$A:$A,MATCH(A284,Dashboard!$A:$A,0)+1)))),"")</f>
        <v/>
      </c>
      <c r="B285" t="str">
        <f>IFERROR(IF(A285="","",IF(A285&lt;&gt;A284,Dashboard!$B$2,INDEX(Dashboard!$B:$B,MATCH(Source!B284,Dashboard!$B:$B,0)+1))),"")</f>
        <v/>
      </c>
    </row>
    <row r="286" spans="1:2" x14ac:dyDescent="0.2">
      <c r="A286" t="str">
        <f>IFERROR(IF(ROW(A285)&lt;4,Dashboard!$A$2,IF(COUNTIF($A$3:A285,A285)&lt;COUNTA(Dashboard!$B:$B)-1, A285,IF(OR(A285="",INDEX(Dashboard!$A:$A,MATCH(A285,Dashboard!$A:$A,0)+1)=0),"",INDEX(Dashboard!$A:$A,MATCH(A285,Dashboard!$A:$A,0)+1)))),"")</f>
        <v/>
      </c>
      <c r="B286" t="str">
        <f>IFERROR(IF(A286="","",IF(A286&lt;&gt;A285,Dashboard!$B$2,INDEX(Dashboard!$B:$B,MATCH(Source!B285,Dashboard!$B:$B,0)+1))),"")</f>
        <v/>
      </c>
    </row>
    <row r="287" spans="1:2" x14ac:dyDescent="0.2">
      <c r="A287" t="str">
        <f>IFERROR(IF(ROW(A286)&lt;4,Dashboard!$A$2,IF(COUNTIF($A$3:A286,A286)&lt;COUNTA(Dashboard!$B:$B)-1, A286,IF(OR(A286="",INDEX(Dashboard!$A:$A,MATCH(A286,Dashboard!$A:$A,0)+1)=0),"",INDEX(Dashboard!$A:$A,MATCH(A286,Dashboard!$A:$A,0)+1)))),"")</f>
        <v/>
      </c>
      <c r="B287" t="str">
        <f>IFERROR(IF(A287="","",IF(A287&lt;&gt;A286,Dashboard!$B$2,INDEX(Dashboard!$B:$B,MATCH(Source!B286,Dashboard!$B:$B,0)+1))),"")</f>
        <v/>
      </c>
    </row>
    <row r="288" spans="1:2" x14ac:dyDescent="0.2">
      <c r="A288" t="str">
        <f>IFERROR(IF(ROW(A287)&lt;4,Dashboard!$A$2,IF(COUNTIF($A$3:A287,A287)&lt;COUNTA(Dashboard!$B:$B)-1, A287,IF(OR(A287="",INDEX(Dashboard!$A:$A,MATCH(A287,Dashboard!$A:$A,0)+1)=0),"",INDEX(Dashboard!$A:$A,MATCH(A287,Dashboard!$A:$A,0)+1)))),"")</f>
        <v/>
      </c>
      <c r="B288" t="str">
        <f>IFERROR(IF(A288="","",IF(A288&lt;&gt;A287,Dashboard!$B$2,INDEX(Dashboard!$B:$B,MATCH(Source!B287,Dashboard!$B:$B,0)+1))),"")</f>
        <v/>
      </c>
    </row>
    <row r="289" spans="1:2" x14ac:dyDescent="0.2">
      <c r="A289" t="str">
        <f>IFERROR(IF(ROW(A288)&lt;4,Dashboard!$A$2,IF(COUNTIF($A$3:A288,A288)&lt;COUNTA(Dashboard!$B:$B)-1, A288,IF(OR(A288="",INDEX(Dashboard!$A:$A,MATCH(A288,Dashboard!$A:$A,0)+1)=0),"",INDEX(Dashboard!$A:$A,MATCH(A288,Dashboard!$A:$A,0)+1)))),"")</f>
        <v/>
      </c>
      <c r="B289" t="str">
        <f>IFERROR(IF(A289="","",IF(A289&lt;&gt;A288,Dashboard!$B$2,INDEX(Dashboard!$B:$B,MATCH(Source!B288,Dashboard!$B:$B,0)+1))),"")</f>
        <v/>
      </c>
    </row>
    <row r="290" spans="1:2" x14ac:dyDescent="0.2">
      <c r="A290" t="str">
        <f>IFERROR(IF(ROW(A289)&lt;4,Dashboard!$A$2,IF(COUNTIF($A$3:A289,A289)&lt;COUNTA(Dashboard!$B:$B)-1, A289,IF(OR(A289="",INDEX(Dashboard!$A:$A,MATCH(A289,Dashboard!$A:$A,0)+1)=0),"",INDEX(Dashboard!$A:$A,MATCH(A289,Dashboard!$A:$A,0)+1)))),"")</f>
        <v/>
      </c>
      <c r="B290" t="str">
        <f>IFERROR(IF(A290="","",IF(A290&lt;&gt;A289,Dashboard!$B$2,INDEX(Dashboard!$B:$B,MATCH(Source!B289,Dashboard!$B:$B,0)+1))),"")</f>
        <v/>
      </c>
    </row>
    <row r="291" spans="1:2" x14ac:dyDescent="0.2">
      <c r="A291" t="str">
        <f>IFERROR(IF(ROW(A290)&lt;4,Dashboard!$A$2,IF(COUNTIF($A$3:A290,A290)&lt;COUNTA(Dashboard!$B:$B)-1, A290,IF(OR(A290="",INDEX(Dashboard!$A:$A,MATCH(A290,Dashboard!$A:$A,0)+1)=0),"",INDEX(Dashboard!$A:$A,MATCH(A290,Dashboard!$A:$A,0)+1)))),"")</f>
        <v/>
      </c>
      <c r="B291" t="str">
        <f>IFERROR(IF(A291="","",IF(A291&lt;&gt;A290,Dashboard!$B$2,INDEX(Dashboard!$B:$B,MATCH(Source!B290,Dashboard!$B:$B,0)+1))),"")</f>
        <v/>
      </c>
    </row>
    <row r="292" spans="1:2" x14ac:dyDescent="0.2">
      <c r="A292" t="str">
        <f>IFERROR(IF(ROW(A291)&lt;4,Dashboard!$A$2,IF(COUNTIF($A$3:A291,A291)&lt;COUNTA(Dashboard!$B:$B)-1, A291,IF(OR(A291="",INDEX(Dashboard!$A:$A,MATCH(A291,Dashboard!$A:$A,0)+1)=0),"",INDEX(Dashboard!$A:$A,MATCH(A291,Dashboard!$A:$A,0)+1)))),"")</f>
        <v/>
      </c>
      <c r="B292" t="str">
        <f>IFERROR(IF(A292="","",IF(A292&lt;&gt;A291,Dashboard!$B$2,INDEX(Dashboard!$B:$B,MATCH(Source!B291,Dashboard!$B:$B,0)+1))),"")</f>
        <v/>
      </c>
    </row>
    <row r="293" spans="1:2" x14ac:dyDescent="0.2">
      <c r="A293" t="str">
        <f>IFERROR(IF(ROW(A292)&lt;4,Dashboard!$A$2,IF(COUNTIF($A$3:A292,A292)&lt;COUNTA(Dashboard!$B:$B)-1, A292,IF(OR(A292="",INDEX(Dashboard!$A:$A,MATCH(A292,Dashboard!$A:$A,0)+1)=0),"",INDEX(Dashboard!$A:$A,MATCH(A292,Dashboard!$A:$A,0)+1)))),"")</f>
        <v/>
      </c>
      <c r="B293" t="str">
        <f>IFERROR(IF(A293="","",IF(A293&lt;&gt;A292,Dashboard!$B$2,INDEX(Dashboard!$B:$B,MATCH(Source!B292,Dashboard!$B:$B,0)+1))),"")</f>
        <v/>
      </c>
    </row>
    <row r="294" spans="1:2" x14ac:dyDescent="0.2">
      <c r="A294" t="str">
        <f>IFERROR(IF(ROW(A293)&lt;4,Dashboard!$A$2,IF(COUNTIF($A$3:A293,A293)&lt;COUNTA(Dashboard!$B:$B)-1, A293,IF(OR(A293="",INDEX(Dashboard!$A:$A,MATCH(A293,Dashboard!$A:$A,0)+1)=0),"",INDEX(Dashboard!$A:$A,MATCH(A293,Dashboard!$A:$A,0)+1)))),"")</f>
        <v/>
      </c>
      <c r="B294" t="str">
        <f>IFERROR(IF(A294="","",IF(A294&lt;&gt;A293,Dashboard!$B$2,INDEX(Dashboard!$B:$B,MATCH(Source!B293,Dashboard!$B:$B,0)+1))),"")</f>
        <v/>
      </c>
    </row>
    <row r="295" spans="1:2" x14ac:dyDescent="0.2">
      <c r="A295" t="str">
        <f>IFERROR(IF(ROW(A294)&lt;4,Dashboard!$A$2,IF(COUNTIF($A$3:A294,A294)&lt;COUNTA(Dashboard!$B:$B)-1, A294,IF(OR(A294="",INDEX(Dashboard!$A:$A,MATCH(A294,Dashboard!$A:$A,0)+1)=0),"",INDEX(Dashboard!$A:$A,MATCH(A294,Dashboard!$A:$A,0)+1)))),"")</f>
        <v/>
      </c>
      <c r="B295" t="str">
        <f>IFERROR(IF(A295="","",IF(A295&lt;&gt;A294,Dashboard!$B$2,INDEX(Dashboard!$B:$B,MATCH(Source!B294,Dashboard!$B:$B,0)+1))),"")</f>
        <v/>
      </c>
    </row>
    <row r="296" spans="1:2" x14ac:dyDescent="0.2">
      <c r="A296" t="str">
        <f>IFERROR(IF(ROW(A295)&lt;4,Dashboard!$A$2,IF(COUNTIF($A$3:A295,A295)&lt;COUNTA(Dashboard!$B:$B)-1, A295,IF(OR(A295="",INDEX(Dashboard!$A:$A,MATCH(A295,Dashboard!$A:$A,0)+1)=0),"",INDEX(Dashboard!$A:$A,MATCH(A295,Dashboard!$A:$A,0)+1)))),"")</f>
        <v/>
      </c>
      <c r="B296" t="str">
        <f>IFERROR(IF(A296="","",IF(A296&lt;&gt;A295,Dashboard!$B$2,INDEX(Dashboard!$B:$B,MATCH(Source!B295,Dashboard!$B:$B,0)+1))),"")</f>
        <v/>
      </c>
    </row>
    <row r="297" spans="1:2" x14ac:dyDescent="0.2">
      <c r="A297" t="str">
        <f>IFERROR(IF(ROW(A296)&lt;4,Dashboard!$A$2,IF(COUNTIF($A$3:A296,A296)&lt;COUNTA(Dashboard!$B:$B)-1, A296,IF(OR(A296="",INDEX(Dashboard!$A:$A,MATCH(A296,Dashboard!$A:$A,0)+1)=0),"",INDEX(Dashboard!$A:$A,MATCH(A296,Dashboard!$A:$A,0)+1)))),"")</f>
        <v/>
      </c>
      <c r="B297" t="str">
        <f>IFERROR(IF(A297="","",IF(A297&lt;&gt;A296,Dashboard!$B$2,INDEX(Dashboard!$B:$B,MATCH(Source!B296,Dashboard!$B:$B,0)+1))),"")</f>
        <v/>
      </c>
    </row>
    <row r="298" spans="1:2" x14ac:dyDescent="0.2">
      <c r="A298" t="str">
        <f>IFERROR(IF(ROW(A297)&lt;4,Dashboard!$A$2,IF(COUNTIF($A$3:A297,A297)&lt;COUNTA(Dashboard!$B:$B)-1, A297,IF(OR(A297="",INDEX(Dashboard!$A:$A,MATCH(A297,Dashboard!$A:$A,0)+1)=0),"",INDEX(Dashboard!$A:$A,MATCH(A297,Dashboard!$A:$A,0)+1)))),"")</f>
        <v/>
      </c>
      <c r="B298" t="str">
        <f>IFERROR(IF(A298="","",IF(A298&lt;&gt;A297,Dashboard!$B$2,INDEX(Dashboard!$B:$B,MATCH(Source!B297,Dashboard!$B:$B,0)+1))),"")</f>
        <v/>
      </c>
    </row>
    <row r="299" spans="1:2" x14ac:dyDescent="0.2">
      <c r="A299" t="str">
        <f>IFERROR(IF(ROW(A298)&lt;4,Dashboard!$A$2,IF(COUNTIF($A$3:A298,A298)&lt;COUNTA(Dashboard!$B:$B)-1, A298,IF(OR(A298="",INDEX(Dashboard!$A:$A,MATCH(A298,Dashboard!$A:$A,0)+1)=0),"",INDEX(Dashboard!$A:$A,MATCH(A298,Dashboard!$A:$A,0)+1)))),"")</f>
        <v/>
      </c>
      <c r="B299" t="str">
        <f>IFERROR(IF(A299="","",IF(A299&lt;&gt;A298,Dashboard!$B$2,INDEX(Dashboard!$B:$B,MATCH(Source!B298,Dashboard!$B:$B,0)+1))),"")</f>
        <v/>
      </c>
    </row>
    <row r="300" spans="1:2" x14ac:dyDescent="0.2">
      <c r="A300" t="str">
        <f>IFERROR(IF(ROW(A299)&lt;4,Dashboard!$A$2,IF(COUNTIF($A$3:A299,A299)&lt;COUNTA(Dashboard!$B:$B)-1, A299,IF(OR(A299="",INDEX(Dashboard!$A:$A,MATCH(A299,Dashboard!$A:$A,0)+1)=0),"",INDEX(Dashboard!$A:$A,MATCH(A299,Dashboard!$A:$A,0)+1)))),"")</f>
        <v/>
      </c>
      <c r="B300" t="str">
        <f>IFERROR(IF(A300="","",IF(A300&lt;&gt;A299,Dashboard!$B$2,INDEX(Dashboard!$B:$B,MATCH(Source!B299,Dashboard!$B:$B,0)+1))),"")</f>
        <v/>
      </c>
    </row>
    <row r="301" spans="1:2" x14ac:dyDescent="0.2">
      <c r="A301" t="str">
        <f>IFERROR(IF(ROW(A300)&lt;4,Dashboard!$A$2,IF(COUNTIF($A$3:A300,A300)&lt;COUNTA(Dashboard!$B:$B)-1, A300,IF(OR(A300="",INDEX(Dashboard!$A:$A,MATCH(A300,Dashboard!$A:$A,0)+1)=0),"",INDEX(Dashboard!$A:$A,MATCH(A300,Dashboard!$A:$A,0)+1)))),"")</f>
        <v/>
      </c>
      <c r="B301" t="str">
        <f>IFERROR(IF(A301="","",IF(A301&lt;&gt;A300,Dashboard!$B$2,INDEX(Dashboard!$B:$B,MATCH(Source!B300,Dashboard!$B:$B,0)+1))),"")</f>
        <v/>
      </c>
    </row>
    <row r="302" spans="1:2" x14ac:dyDescent="0.2">
      <c r="A302" t="str">
        <f>IFERROR(IF(ROW(A301)&lt;4,Dashboard!$A$2,IF(COUNTIF($A$3:A301,A301)&lt;COUNTA(Dashboard!$B:$B)-1, A301,IF(OR(A301="",INDEX(Dashboard!$A:$A,MATCH(A301,Dashboard!$A:$A,0)+1)=0),"",INDEX(Dashboard!$A:$A,MATCH(A301,Dashboard!$A:$A,0)+1)))),"")</f>
        <v/>
      </c>
      <c r="B302" t="str">
        <f>IFERROR(IF(A302="","",IF(A302&lt;&gt;A301,Dashboard!$B$2,INDEX(Dashboard!$B:$B,MATCH(Source!B301,Dashboard!$B:$B,0)+1))),"")</f>
        <v/>
      </c>
    </row>
    <row r="303" spans="1:2" x14ac:dyDescent="0.2">
      <c r="A303" t="str">
        <f>IFERROR(IF(ROW(A302)&lt;4,Dashboard!$A$2,IF(COUNTIF($A$3:A302,A302)&lt;COUNTA(Dashboard!$B:$B)-1, A302,IF(OR(A302="",INDEX(Dashboard!$A:$A,MATCH(A302,Dashboard!$A:$A,0)+1)=0),"",INDEX(Dashboard!$A:$A,MATCH(A302,Dashboard!$A:$A,0)+1)))),"")</f>
        <v/>
      </c>
      <c r="B303" t="str">
        <f>IFERROR(IF(A303="","",IF(A303&lt;&gt;A302,Dashboard!$B$2,INDEX(Dashboard!$B:$B,MATCH(Source!B302,Dashboard!$B:$B,0)+1))),"")</f>
        <v/>
      </c>
    </row>
    <row r="304" spans="1:2" x14ac:dyDescent="0.2">
      <c r="A304" t="str">
        <f>IFERROR(IF(ROW(A303)&lt;4,Dashboard!$A$2,IF(COUNTIF($A$3:A303,A303)&lt;COUNTA(Dashboard!$B:$B)-1, A303,IF(OR(A303="",INDEX(Dashboard!$A:$A,MATCH(A303,Dashboard!$A:$A,0)+1)=0),"",INDEX(Dashboard!$A:$A,MATCH(A303,Dashboard!$A:$A,0)+1)))),"")</f>
        <v/>
      </c>
      <c r="B304" t="str">
        <f>IFERROR(IF(A304="","",IF(A304&lt;&gt;A303,Dashboard!$B$2,INDEX(Dashboard!$B:$B,MATCH(Source!B303,Dashboard!$B:$B,0)+1))),"")</f>
        <v/>
      </c>
    </row>
    <row r="305" spans="1:2" x14ac:dyDescent="0.2">
      <c r="A305" t="str">
        <f>IFERROR(IF(ROW(A304)&lt;4,Dashboard!$A$2,IF(COUNTIF($A$3:A304,A304)&lt;COUNTA(Dashboard!$B:$B)-1, A304,IF(OR(A304="",INDEX(Dashboard!$A:$A,MATCH(A304,Dashboard!$A:$A,0)+1)=0),"",INDEX(Dashboard!$A:$A,MATCH(A304,Dashboard!$A:$A,0)+1)))),"")</f>
        <v/>
      </c>
      <c r="B305" t="str">
        <f>IFERROR(IF(A305="","",IF(A305&lt;&gt;A304,Dashboard!$B$2,INDEX(Dashboard!$B:$B,MATCH(Source!B304,Dashboard!$B:$B,0)+1))),"")</f>
        <v/>
      </c>
    </row>
    <row r="306" spans="1:2" x14ac:dyDescent="0.2">
      <c r="A306" t="str">
        <f>IFERROR(IF(ROW(A305)&lt;4,Dashboard!$A$2,IF(COUNTIF($A$3:A305,A305)&lt;COUNTA(Dashboard!$B:$B)-1, A305,IF(OR(A305="",INDEX(Dashboard!$A:$A,MATCH(A305,Dashboard!$A:$A,0)+1)=0),"",INDEX(Dashboard!$A:$A,MATCH(A305,Dashboard!$A:$A,0)+1)))),"")</f>
        <v/>
      </c>
      <c r="B306" t="str">
        <f>IFERROR(IF(A306="","",IF(A306&lt;&gt;A305,Dashboard!$B$2,INDEX(Dashboard!$B:$B,MATCH(Source!B305,Dashboard!$B:$B,0)+1))),"")</f>
        <v/>
      </c>
    </row>
    <row r="307" spans="1:2" x14ac:dyDescent="0.2">
      <c r="A307" t="str">
        <f>IFERROR(IF(ROW(A306)&lt;4,Dashboard!$A$2,IF(COUNTIF($A$3:A306,A306)&lt;COUNTA(Dashboard!$B:$B)-1, A306,IF(OR(A306="",INDEX(Dashboard!$A:$A,MATCH(A306,Dashboard!$A:$A,0)+1)=0),"",INDEX(Dashboard!$A:$A,MATCH(A306,Dashboard!$A:$A,0)+1)))),"")</f>
        <v/>
      </c>
      <c r="B307" t="str">
        <f>IFERROR(IF(A307="","",IF(A307&lt;&gt;A306,Dashboard!$B$2,INDEX(Dashboard!$B:$B,MATCH(Source!B306,Dashboard!$B:$B,0)+1))),"")</f>
        <v/>
      </c>
    </row>
    <row r="308" spans="1:2" x14ac:dyDescent="0.2">
      <c r="A308" t="str">
        <f>IFERROR(IF(ROW(A307)&lt;4,Dashboard!$A$2,IF(COUNTIF($A$3:A307,A307)&lt;COUNTA(Dashboard!$B:$B)-1, A307,IF(OR(A307="",INDEX(Dashboard!$A:$A,MATCH(A307,Dashboard!$A:$A,0)+1)=0),"",INDEX(Dashboard!$A:$A,MATCH(A307,Dashboard!$A:$A,0)+1)))),"")</f>
        <v/>
      </c>
      <c r="B308" t="str">
        <f>IFERROR(IF(A308="","",IF(A308&lt;&gt;A307,Dashboard!$B$2,INDEX(Dashboard!$B:$B,MATCH(Source!B307,Dashboard!$B:$B,0)+1))),"")</f>
        <v/>
      </c>
    </row>
    <row r="309" spans="1:2" x14ac:dyDescent="0.2">
      <c r="A309" t="str">
        <f>IFERROR(IF(ROW(A308)&lt;4,Dashboard!$A$2,IF(COUNTIF($A$3:A308,A308)&lt;COUNTA(Dashboard!$B:$B)-1, A308,IF(OR(A308="",INDEX(Dashboard!$A:$A,MATCH(A308,Dashboard!$A:$A,0)+1)=0),"",INDEX(Dashboard!$A:$A,MATCH(A308,Dashboard!$A:$A,0)+1)))),"")</f>
        <v/>
      </c>
      <c r="B309" t="str">
        <f>IFERROR(IF(A309="","",IF(A309&lt;&gt;A308,Dashboard!$B$2,INDEX(Dashboard!$B:$B,MATCH(Source!B308,Dashboard!$B:$B,0)+1))),"")</f>
        <v/>
      </c>
    </row>
    <row r="310" spans="1:2" x14ac:dyDescent="0.2">
      <c r="A310" t="str">
        <f>IFERROR(IF(ROW(A309)&lt;4,Dashboard!$A$2,IF(COUNTIF($A$3:A309,A309)&lt;COUNTA(Dashboard!$B:$B)-1, A309,IF(OR(A309="",INDEX(Dashboard!$A:$A,MATCH(A309,Dashboard!$A:$A,0)+1)=0),"",INDEX(Dashboard!$A:$A,MATCH(A309,Dashboard!$A:$A,0)+1)))),"")</f>
        <v/>
      </c>
      <c r="B310" t="str">
        <f>IFERROR(IF(A310="","",IF(A310&lt;&gt;A309,Dashboard!$B$2,INDEX(Dashboard!$B:$B,MATCH(Source!B309,Dashboard!$B:$B,0)+1))),"")</f>
        <v/>
      </c>
    </row>
    <row r="311" spans="1:2" x14ac:dyDescent="0.2">
      <c r="A311" t="str">
        <f>IFERROR(IF(ROW(A310)&lt;4,Dashboard!$A$2,IF(COUNTIF($A$3:A310,A310)&lt;COUNTA(Dashboard!$B:$B)-1, A310,IF(OR(A310="",INDEX(Dashboard!$A:$A,MATCH(A310,Dashboard!$A:$A,0)+1)=0),"",INDEX(Dashboard!$A:$A,MATCH(A310,Dashboard!$A:$A,0)+1)))),"")</f>
        <v/>
      </c>
      <c r="B311" t="str">
        <f>IFERROR(IF(A311="","",IF(A311&lt;&gt;A310,Dashboard!$B$2,INDEX(Dashboard!$B:$B,MATCH(Source!B310,Dashboard!$B:$B,0)+1))),"")</f>
        <v/>
      </c>
    </row>
    <row r="312" spans="1:2" x14ac:dyDescent="0.2">
      <c r="A312" t="str">
        <f>IFERROR(IF(ROW(A311)&lt;4,Dashboard!$A$2,IF(COUNTIF($A$3:A311,A311)&lt;COUNTA(Dashboard!$B:$B)-1, A311,IF(OR(A311="",INDEX(Dashboard!$A:$A,MATCH(A311,Dashboard!$A:$A,0)+1)=0),"",INDEX(Dashboard!$A:$A,MATCH(A311,Dashboard!$A:$A,0)+1)))),"")</f>
        <v/>
      </c>
      <c r="B312" t="str">
        <f>IFERROR(IF(A312="","",IF(A312&lt;&gt;A311,Dashboard!$B$2,INDEX(Dashboard!$B:$B,MATCH(Source!B311,Dashboard!$B:$B,0)+1))),"")</f>
        <v/>
      </c>
    </row>
    <row r="313" spans="1:2" x14ac:dyDescent="0.2">
      <c r="A313" t="str">
        <f>IFERROR(IF(ROW(A312)&lt;4,Dashboard!$A$2,IF(COUNTIF($A$3:A312,A312)&lt;COUNTA(Dashboard!$B:$B)-1, A312,IF(OR(A312="",INDEX(Dashboard!$A:$A,MATCH(A312,Dashboard!$A:$A,0)+1)=0),"",INDEX(Dashboard!$A:$A,MATCH(A312,Dashboard!$A:$A,0)+1)))),"")</f>
        <v/>
      </c>
      <c r="B313" t="str">
        <f>IFERROR(IF(A313="","",IF(A313&lt;&gt;A312,Dashboard!$B$2,INDEX(Dashboard!$B:$B,MATCH(Source!B312,Dashboard!$B:$B,0)+1))),"")</f>
        <v/>
      </c>
    </row>
    <row r="314" spans="1:2" x14ac:dyDescent="0.2">
      <c r="A314" t="str">
        <f>IFERROR(IF(ROW(A313)&lt;4,Dashboard!$A$2,IF(COUNTIF($A$3:A313,A313)&lt;COUNTA(Dashboard!$B:$B)-1, A313,IF(OR(A313="",INDEX(Dashboard!$A:$A,MATCH(A313,Dashboard!$A:$A,0)+1)=0),"",INDEX(Dashboard!$A:$A,MATCH(A313,Dashboard!$A:$A,0)+1)))),"")</f>
        <v/>
      </c>
      <c r="B314" t="str">
        <f>IFERROR(IF(A314="","",IF(A314&lt;&gt;A313,Dashboard!$B$2,INDEX(Dashboard!$B:$B,MATCH(Source!B313,Dashboard!$B:$B,0)+1))),"")</f>
        <v/>
      </c>
    </row>
    <row r="315" spans="1:2" x14ac:dyDescent="0.2">
      <c r="A315" t="str">
        <f>IFERROR(IF(ROW(A314)&lt;4,Dashboard!$A$2,IF(COUNTIF($A$3:A314,A314)&lt;COUNTA(Dashboard!$B:$B)-1, A314,IF(OR(A314="",INDEX(Dashboard!$A:$A,MATCH(A314,Dashboard!$A:$A,0)+1)=0),"",INDEX(Dashboard!$A:$A,MATCH(A314,Dashboard!$A:$A,0)+1)))),"")</f>
        <v/>
      </c>
      <c r="B315" t="str">
        <f>IFERROR(IF(A315="","",IF(A315&lt;&gt;A314,Dashboard!$B$2,INDEX(Dashboard!$B:$B,MATCH(Source!B314,Dashboard!$B:$B,0)+1))),"")</f>
        <v/>
      </c>
    </row>
    <row r="316" spans="1:2" x14ac:dyDescent="0.2">
      <c r="A316" t="str">
        <f>IFERROR(IF(ROW(A315)&lt;4,Dashboard!$A$2,IF(COUNTIF($A$3:A315,A315)&lt;COUNTA(Dashboard!$B:$B)-1, A315,IF(OR(A315="",INDEX(Dashboard!$A:$A,MATCH(A315,Dashboard!$A:$A,0)+1)=0),"",INDEX(Dashboard!$A:$A,MATCH(A315,Dashboard!$A:$A,0)+1)))),"")</f>
        <v/>
      </c>
      <c r="B316" t="str">
        <f>IFERROR(IF(A316="","",IF(A316&lt;&gt;A315,Dashboard!$B$2,INDEX(Dashboard!$B:$B,MATCH(Source!B315,Dashboard!$B:$B,0)+1))),"")</f>
        <v/>
      </c>
    </row>
    <row r="317" spans="1:2" x14ac:dyDescent="0.2">
      <c r="A317" t="str">
        <f>IFERROR(IF(ROW(A316)&lt;4,Dashboard!$A$2,IF(COUNTIF($A$3:A316,A316)&lt;COUNTA(Dashboard!$B:$B)-1, A316,IF(OR(A316="",INDEX(Dashboard!$A:$A,MATCH(A316,Dashboard!$A:$A,0)+1)=0),"",INDEX(Dashboard!$A:$A,MATCH(A316,Dashboard!$A:$A,0)+1)))),"")</f>
        <v/>
      </c>
      <c r="B317" t="str">
        <f>IFERROR(IF(A317="","",IF(A317&lt;&gt;A316,Dashboard!$B$2,INDEX(Dashboard!$B:$B,MATCH(Source!B316,Dashboard!$B:$B,0)+1))),"")</f>
        <v/>
      </c>
    </row>
    <row r="318" spans="1:2" x14ac:dyDescent="0.2">
      <c r="A318" t="str">
        <f>IFERROR(IF(ROW(A317)&lt;4,Dashboard!$A$2,IF(COUNTIF($A$3:A317,A317)&lt;COUNTA(Dashboard!$B:$B)-1, A317,IF(OR(A317="",INDEX(Dashboard!$A:$A,MATCH(A317,Dashboard!$A:$A,0)+1)=0),"",INDEX(Dashboard!$A:$A,MATCH(A317,Dashboard!$A:$A,0)+1)))),"")</f>
        <v/>
      </c>
      <c r="B318" t="str">
        <f>IFERROR(IF(A318="","",IF(A318&lt;&gt;A317,Dashboard!$B$2,INDEX(Dashboard!$B:$B,MATCH(Source!B317,Dashboard!$B:$B,0)+1))),"")</f>
        <v/>
      </c>
    </row>
    <row r="319" spans="1:2" x14ac:dyDescent="0.2">
      <c r="A319" t="str">
        <f>IFERROR(IF(ROW(A318)&lt;4,Dashboard!$A$2,IF(COUNTIF($A$3:A318,A318)&lt;COUNTA(Dashboard!$B:$B)-1, A318,IF(OR(A318="",INDEX(Dashboard!$A:$A,MATCH(A318,Dashboard!$A:$A,0)+1)=0),"",INDEX(Dashboard!$A:$A,MATCH(A318,Dashboard!$A:$A,0)+1)))),"")</f>
        <v/>
      </c>
      <c r="B319" t="str">
        <f>IFERROR(IF(A319="","",IF(A319&lt;&gt;A318,Dashboard!$B$2,INDEX(Dashboard!$B:$B,MATCH(Source!B318,Dashboard!$B:$B,0)+1))),"")</f>
        <v/>
      </c>
    </row>
    <row r="320" spans="1:2" x14ac:dyDescent="0.2">
      <c r="A320" t="str">
        <f>IFERROR(IF(ROW(A319)&lt;4,Dashboard!$A$2,IF(COUNTIF($A$3:A319,A319)&lt;COUNTA(Dashboard!$B:$B)-1, A319,IF(OR(A319="",INDEX(Dashboard!$A:$A,MATCH(A319,Dashboard!$A:$A,0)+1)=0),"",INDEX(Dashboard!$A:$A,MATCH(A319,Dashboard!$A:$A,0)+1)))),"")</f>
        <v/>
      </c>
      <c r="B320" t="str">
        <f>IFERROR(IF(A320="","",IF(A320&lt;&gt;A319,Dashboard!$B$2,INDEX(Dashboard!$B:$B,MATCH(Source!B319,Dashboard!$B:$B,0)+1))),"")</f>
        <v/>
      </c>
    </row>
    <row r="321" spans="1:2" x14ac:dyDescent="0.2">
      <c r="A321" t="str">
        <f>IFERROR(IF(ROW(A320)&lt;4,Dashboard!$A$2,IF(COUNTIF($A$3:A320,A320)&lt;COUNTA(Dashboard!$B:$B)-1, A320,IF(OR(A320="",INDEX(Dashboard!$A:$A,MATCH(A320,Dashboard!$A:$A,0)+1)=0),"",INDEX(Dashboard!$A:$A,MATCH(A320,Dashboard!$A:$A,0)+1)))),"")</f>
        <v/>
      </c>
      <c r="B321" t="str">
        <f>IFERROR(IF(A321="","",IF(A321&lt;&gt;A320,Dashboard!$B$2,INDEX(Dashboard!$B:$B,MATCH(Source!B320,Dashboard!$B:$B,0)+1))),"")</f>
        <v/>
      </c>
    </row>
    <row r="322" spans="1:2" x14ac:dyDescent="0.2">
      <c r="A322" t="str">
        <f>IFERROR(IF(ROW(A321)&lt;4,Dashboard!$A$2,IF(COUNTIF($A$3:A321,A321)&lt;COUNTA(Dashboard!$B:$B)-1, A321,IF(OR(A321="",INDEX(Dashboard!$A:$A,MATCH(A321,Dashboard!$A:$A,0)+1)=0),"",INDEX(Dashboard!$A:$A,MATCH(A321,Dashboard!$A:$A,0)+1)))),"")</f>
        <v/>
      </c>
      <c r="B322" t="str">
        <f>IFERROR(IF(A322="","",IF(A322&lt;&gt;A321,Dashboard!$B$2,INDEX(Dashboard!$B:$B,MATCH(Source!B321,Dashboard!$B:$B,0)+1))),"")</f>
        <v/>
      </c>
    </row>
    <row r="323" spans="1:2" x14ac:dyDescent="0.2">
      <c r="A323" t="str">
        <f>IFERROR(IF(ROW(A322)&lt;4,Dashboard!$A$2,IF(COUNTIF($A$3:A322,A322)&lt;COUNTA(Dashboard!$B:$B)-1, A322,IF(OR(A322="",INDEX(Dashboard!$A:$A,MATCH(A322,Dashboard!$A:$A,0)+1)=0),"",INDEX(Dashboard!$A:$A,MATCH(A322,Dashboard!$A:$A,0)+1)))),"")</f>
        <v/>
      </c>
      <c r="B323" t="str">
        <f>IFERROR(IF(A323="","",IF(A323&lt;&gt;A322,Dashboard!$B$2,INDEX(Dashboard!$B:$B,MATCH(Source!B322,Dashboard!$B:$B,0)+1))),"")</f>
        <v/>
      </c>
    </row>
    <row r="324" spans="1:2" x14ac:dyDescent="0.2">
      <c r="A324" t="str">
        <f>IFERROR(IF(ROW(A323)&lt;4,Dashboard!$A$2,IF(COUNTIF($A$3:A323,A323)&lt;COUNTA(Dashboard!$B:$B)-1, A323,IF(OR(A323="",INDEX(Dashboard!$A:$A,MATCH(A323,Dashboard!$A:$A,0)+1)=0),"",INDEX(Dashboard!$A:$A,MATCH(A323,Dashboard!$A:$A,0)+1)))),"")</f>
        <v/>
      </c>
      <c r="B324" t="str">
        <f>IFERROR(IF(A324="","",IF(A324&lt;&gt;A323,Dashboard!$B$2,INDEX(Dashboard!$B:$B,MATCH(Source!B323,Dashboard!$B:$B,0)+1))),"")</f>
        <v/>
      </c>
    </row>
    <row r="325" spans="1:2" x14ac:dyDescent="0.2">
      <c r="A325" t="str">
        <f>IFERROR(IF(ROW(A324)&lt;4,Dashboard!$A$2,IF(COUNTIF($A$3:A324,A324)&lt;COUNTA(Dashboard!$B:$B)-1, A324,IF(OR(A324="",INDEX(Dashboard!$A:$A,MATCH(A324,Dashboard!$A:$A,0)+1)=0),"",INDEX(Dashboard!$A:$A,MATCH(A324,Dashboard!$A:$A,0)+1)))),"")</f>
        <v/>
      </c>
      <c r="B325" t="str">
        <f>IFERROR(IF(A325="","",IF(A325&lt;&gt;A324,Dashboard!$B$2,INDEX(Dashboard!$B:$B,MATCH(Source!B324,Dashboard!$B:$B,0)+1))),"")</f>
        <v/>
      </c>
    </row>
    <row r="326" spans="1:2" x14ac:dyDescent="0.2">
      <c r="A326" t="str">
        <f>IFERROR(IF(ROW(A325)&lt;4,Dashboard!$A$2,IF(COUNTIF($A$3:A325,A325)&lt;COUNTA(Dashboard!$B:$B)-1, A325,IF(OR(A325="",INDEX(Dashboard!$A:$A,MATCH(A325,Dashboard!$A:$A,0)+1)=0),"",INDEX(Dashboard!$A:$A,MATCH(A325,Dashboard!$A:$A,0)+1)))),"")</f>
        <v/>
      </c>
      <c r="B326" t="str">
        <f>IFERROR(IF(A326="","",IF(A326&lt;&gt;A325,Dashboard!$B$2,INDEX(Dashboard!$B:$B,MATCH(Source!B325,Dashboard!$B:$B,0)+1))),"")</f>
        <v/>
      </c>
    </row>
    <row r="327" spans="1:2" x14ac:dyDescent="0.2">
      <c r="A327" t="str">
        <f>IFERROR(IF(ROW(A326)&lt;4,Dashboard!$A$2,IF(COUNTIF($A$3:A326,A326)&lt;COUNTA(Dashboard!$B:$B)-1, A326,IF(OR(A326="",INDEX(Dashboard!$A:$A,MATCH(A326,Dashboard!$A:$A,0)+1)=0),"",INDEX(Dashboard!$A:$A,MATCH(A326,Dashboard!$A:$A,0)+1)))),"")</f>
        <v/>
      </c>
      <c r="B327" t="str">
        <f>IFERROR(IF(A327="","",IF(A327&lt;&gt;A326,Dashboard!$B$2,INDEX(Dashboard!$B:$B,MATCH(Source!B326,Dashboard!$B:$B,0)+1))),"")</f>
        <v/>
      </c>
    </row>
    <row r="328" spans="1:2" x14ac:dyDescent="0.2">
      <c r="A328" t="str">
        <f>IFERROR(IF(ROW(A327)&lt;4,Dashboard!$A$2,IF(COUNTIF($A$3:A327,A327)&lt;COUNTA(Dashboard!$B:$B)-1, A327,IF(OR(A327="",INDEX(Dashboard!$A:$A,MATCH(A327,Dashboard!$A:$A,0)+1)=0),"",INDEX(Dashboard!$A:$A,MATCH(A327,Dashboard!$A:$A,0)+1)))),"")</f>
        <v/>
      </c>
      <c r="B328" t="str">
        <f>IFERROR(IF(A328="","",IF(A328&lt;&gt;A327,Dashboard!$B$2,INDEX(Dashboard!$B:$B,MATCH(Source!B327,Dashboard!$B:$B,0)+1))),"")</f>
        <v/>
      </c>
    </row>
    <row r="329" spans="1:2" x14ac:dyDescent="0.2">
      <c r="A329" t="str">
        <f>IFERROR(IF(ROW(A328)&lt;4,Dashboard!$A$2,IF(COUNTIF($A$3:A328,A328)&lt;COUNTA(Dashboard!$B:$B)-1, A328,IF(OR(A328="",INDEX(Dashboard!$A:$A,MATCH(A328,Dashboard!$A:$A,0)+1)=0),"",INDEX(Dashboard!$A:$A,MATCH(A328,Dashboard!$A:$A,0)+1)))),"")</f>
        <v/>
      </c>
      <c r="B329" t="str">
        <f>IFERROR(IF(A329="","",IF(A329&lt;&gt;A328,Dashboard!$B$2,INDEX(Dashboard!$B:$B,MATCH(Source!B328,Dashboard!$B:$B,0)+1))),"")</f>
        <v/>
      </c>
    </row>
    <row r="330" spans="1:2" x14ac:dyDescent="0.2">
      <c r="A330" t="str">
        <f>IFERROR(IF(ROW(A329)&lt;4,Dashboard!$A$2,IF(COUNTIF($A$3:A329,A329)&lt;COUNTA(Dashboard!$B:$B)-1, A329,IF(OR(A329="",INDEX(Dashboard!$A:$A,MATCH(A329,Dashboard!$A:$A,0)+1)=0),"",INDEX(Dashboard!$A:$A,MATCH(A329,Dashboard!$A:$A,0)+1)))),"")</f>
        <v/>
      </c>
      <c r="B330" t="str">
        <f>IFERROR(IF(A330="","",IF(A330&lt;&gt;A329,Dashboard!$B$2,INDEX(Dashboard!$B:$B,MATCH(Source!B329,Dashboard!$B:$B,0)+1))),"")</f>
        <v/>
      </c>
    </row>
    <row r="331" spans="1:2" x14ac:dyDescent="0.2">
      <c r="A331" t="str">
        <f>IFERROR(IF(ROW(A330)&lt;4,Dashboard!$A$2,IF(COUNTIF($A$3:A330,A330)&lt;COUNTA(Dashboard!$B:$B)-1, A330,IF(OR(A330="",INDEX(Dashboard!$A:$A,MATCH(A330,Dashboard!$A:$A,0)+1)=0),"",INDEX(Dashboard!$A:$A,MATCH(A330,Dashboard!$A:$A,0)+1)))),"")</f>
        <v/>
      </c>
      <c r="B331" t="str">
        <f>IFERROR(IF(A331="","",IF(A331&lt;&gt;A330,Dashboard!$B$2,INDEX(Dashboard!$B:$B,MATCH(Source!B330,Dashboard!$B:$B,0)+1))),"")</f>
        <v/>
      </c>
    </row>
    <row r="332" spans="1:2" x14ac:dyDescent="0.2">
      <c r="A332" t="str">
        <f>IFERROR(IF(ROW(A331)&lt;4,Dashboard!$A$2,IF(COUNTIF($A$3:A331,A331)&lt;COUNTA(Dashboard!$B:$B)-1, A331,IF(OR(A331="",INDEX(Dashboard!$A:$A,MATCH(A331,Dashboard!$A:$A,0)+1)=0),"",INDEX(Dashboard!$A:$A,MATCH(A331,Dashboard!$A:$A,0)+1)))),"")</f>
        <v/>
      </c>
      <c r="B332" t="str">
        <f>IFERROR(IF(A332="","",IF(A332&lt;&gt;A331,Dashboard!$B$2,INDEX(Dashboard!$B:$B,MATCH(Source!B331,Dashboard!$B:$B,0)+1))),"")</f>
        <v/>
      </c>
    </row>
    <row r="333" spans="1:2" x14ac:dyDescent="0.2">
      <c r="A333" t="str">
        <f>IFERROR(IF(ROW(A332)&lt;4,Dashboard!$A$2,IF(COUNTIF($A$3:A332,A332)&lt;COUNTA(Dashboard!$B:$B)-1, A332,IF(OR(A332="",INDEX(Dashboard!$A:$A,MATCH(A332,Dashboard!$A:$A,0)+1)=0),"",INDEX(Dashboard!$A:$A,MATCH(A332,Dashboard!$A:$A,0)+1)))),"")</f>
        <v/>
      </c>
      <c r="B333" t="str">
        <f>IFERROR(IF(A333="","",IF(A333&lt;&gt;A332,Dashboard!$B$2,INDEX(Dashboard!$B:$B,MATCH(Source!B332,Dashboard!$B:$B,0)+1))),"")</f>
        <v/>
      </c>
    </row>
    <row r="334" spans="1:2" x14ac:dyDescent="0.2">
      <c r="A334" t="str">
        <f>IFERROR(IF(ROW(A333)&lt;4,Dashboard!$A$2,IF(COUNTIF($A$3:A333,A333)&lt;COUNTA(Dashboard!$B:$B)-1, A333,IF(OR(A333="",INDEX(Dashboard!$A:$A,MATCH(A333,Dashboard!$A:$A,0)+1)=0),"",INDEX(Dashboard!$A:$A,MATCH(A333,Dashboard!$A:$A,0)+1)))),"")</f>
        <v/>
      </c>
      <c r="B334" t="str">
        <f>IFERROR(IF(A334="","",IF(A334&lt;&gt;A333,Dashboard!$B$2,INDEX(Dashboard!$B:$B,MATCH(Source!B333,Dashboard!$B:$B,0)+1))),"")</f>
        <v/>
      </c>
    </row>
    <row r="335" spans="1:2" x14ac:dyDescent="0.2">
      <c r="A335" t="str">
        <f>IFERROR(IF(ROW(A334)&lt;4,Dashboard!$A$2,IF(COUNTIF($A$3:A334,A334)&lt;COUNTA(Dashboard!$B:$B)-1, A334,IF(OR(A334="",INDEX(Dashboard!$A:$A,MATCH(A334,Dashboard!$A:$A,0)+1)=0),"",INDEX(Dashboard!$A:$A,MATCH(A334,Dashboard!$A:$A,0)+1)))),"")</f>
        <v/>
      </c>
      <c r="B335" t="str">
        <f>IFERROR(IF(A335="","",IF(A335&lt;&gt;A334,Dashboard!$B$2,INDEX(Dashboard!$B:$B,MATCH(Source!B334,Dashboard!$B:$B,0)+1))),"")</f>
        <v/>
      </c>
    </row>
    <row r="336" spans="1:2" x14ac:dyDescent="0.2">
      <c r="A336" t="str">
        <f>IFERROR(IF(ROW(A335)&lt;4,Dashboard!$A$2,IF(COUNTIF($A$3:A335,A335)&lt;COUNTA(Dashboard!$B:$B)-1, A335,IF(OR(A335="",INDEX(Dashboard!$A:$A,MATCH(A335,Dashboard!$A:$A,0)+1)=0),"",INDEX(Dashboard!$A:$A,MATCH(A335,Dashboard!$A:$A,0)+1)))),"")</f>
        <v/>
      </c>
      <c r="B336" t="str">
        <f>IFERROR(IF(A336="","",IF(A336&lt;&gt;A335,Dashboard!$B$2,INDEX(Dashboard!$B:$B,MATCH(Source!B335,Dashboard!$B:$B,0)+1))),"")</f>
        <v/>
      </c>
    </row>
    <row r="337" spans="1:2" x14ac:dyDescent="0.2">
      <c r="A337" t="str">
        <f>IFERROR(IF(ROW(A336)&lt;4,Dashboard!$A$2,IF(COUNTIF($A$3:A336,A336)&lt;COUNTA(Dashboard!$B:$B)-1, A336,IF(OR(A336="",INDEX(Dashboard!$A:$A,MATCH(A336,Dashboard!$A:$A,0)+1)=0),"",INDEX(Dashboard!$A:$A,MATCH(A336,Dashboard!$A:$A,0)+1)))),"")</f>
        <v/>
      </c>
      <c r="B337" t="str">
        <f>IFERROR(IF(A337="","",IF(A337&lt;&gt;A336,Dashboard!$B$2,INDEX(Dashboard!$B:$B,MATCH(Source!B336,Dashboard!$B:$B,0)+1))),"")</f>
        <v/>
      </c>
    </row>
    <row r="338" spans="1:2" x14ac:dyDescent="0.2">
      <c r="A338" t="str">
        <f>IFERROR(IF(ROW(A337)&lt;4,Dashboard!$A$2,IF(COUNTIF($A$3:A337,A337)&lt;COUNTA(Dashboard!$B:$B)-1, A337,IF(OR(A337="",INDEX(Dashboard!$A:$A,MATCH(A337,Dashboard!$A:$A,0)+1)=0),"",INDEX(Dashboard!$A:$A,MATCH(A337,Dashboard!$A:$A,0)+1)))),"")</f>
        <v/>
      </c>
      <c r="B338" t="str">
        <f>IFERROR(IF(A338="","",IF(A338&lt;&gt;A337,Dashboard!$B$2,INDEX(Dashboard!$B:$B,MATCH(Source!B337,Dashboard!$B:$B,0)+1))),"")</f>
        <v/>
      </c>
    </row>
    <row r="339" spans="1:2" x14ac:dyDescent="0.2">
      <c r="A339" t="str">
        <f>IFERROR(IF(ROW(A338)&lt;4,Dashboard!$A$2,IF(COUNTIF($A$3:A338,A338)&lt;COUNTA(Dashboard!$B:$B)-1, A338,IF(OR(A338="",INDEX(Dashboard!$A:$A,MATCH(A338,Dashboard!$A:$A,0)+1)=0),"",INDEX(Dashboard!$A:$A,MATCH(A338,Dashboard!$A:$A,0)+1)))),"")</f>
        <v/>
      </c>
      <c r="B339" t="str">
        <f>IFERROR(IF(A339="","",IF(A339&lt;&gt;A338,Dashboard!$B$2,INDEX(Dashboard!$B:$B,MATCH(Source!B338,Dashboard!$B:$B,0)+1))),"")</f>
        <v/>
      </c>
    </row>
    <row r="340" spans="1:2" x14ac:dyDescent="0.2">
      <c r="A340" t="str">
        <f>IFERROR(IF(ROW(A339)&lt;4,Dashboard!$A$2,IF(COUNTIF($A$3:A339,A339)&lt;COUNTA(Dashboard!$B:$B)-1, A339,IF(OR(A339="",INDEX(Dashboard!$A:$A,MATCH(A339,Dashboard!$A:$A,0)+1)=0),"",INDEX(Dashboard!$A:$A,MATCH(A339,Dashboard!$A:$A,0)+1)))),"")</f>
        <v/>
      </c>
      <c r="B340" t="str">
        <f>IFERROR(IF(A340="","",IF(A340&lt;&gt;A339,Dashboard!$B$2,INDEX(Dashboard!$B:$B,MATCH(Source!B339,Dashboard!$B:$B,0)+1))),"")</f>
        <v/>
      </c>
    </row>
    <row r="341" spans="1:2" x14ac:dyDescent="0.2">
      <c r="A341" t="str">
        <f>IFERROR(IF(ROW(A340)&lt;4,Dashboard!$A$2,IF(COUNTIF($A$3:A340,A340)&lt;COUNTA(Dashboard!$B:$B)-1, A340,IF(OR(A340="",INDEX(Dashboard!$A:$A,MATCH(A340,Dashboard!$A:$A,0)+1)=0),"",INDEX(Dashboard!$A:$A,MATCH(A340,Dashboard!$A:$A,0)+1)))),"")</f>
        <v/>
      </c>
      <c r="B341" t="str">
        <f>IFERROR(IF(A341="","",IF(A341&lt;&gt;A340,Dashboard!$B$2,INDEX(Dashboard!$B:$B,MATCH(Source!B340,Dashboard!$B:$B,0)+1))),"")</f>
        <v/>
      </c>
    </row>
    <row r="342" spans="1:2" x14ac:dyDescent="0.2">
      <c r="A342" t="str">
        <f>IFERROR(IF(ROW(A341)&lt;4,Dashboard!$A$2,IF(COUNTIF($A$3:A341,A341)&lt;COUNTA(Dashboard!$B:$B)-1, A341,IF(OR(A341="",INDEX(Dashboard!$A:$A,MATCH(A341,Dashboard!$A:$A,0)+1)=0),"",INDEX(Dashboard!$A:$A,MATCH(A341,Dashboard!$A:$A,0)+1)))),"")</f>
        <v/>
      </c>
      <c r="B342" t="str">
        <f>IFERROR(IF(A342="","",IF(A342&lt;&gt;A341,Dashboard!$B$2,INDEX(Dashboard!$B:$B,MATCH(Source!B341,Dashboard!$B:$B,0)+1))),"")</f>
        <v/>
      </c>
    </row>
    <row r="343" spans="1:2" x14ac:dyDescent="0.2">
      <c r="A343" t="str">
        <f>IFERROR(IF(ROW(A342)&lt;4,Dashboard!$A$2,IF(COUNTIF($A$3:A342,A342)&lt;COUNTA(Dashboard!$B:$B)-1, A342,IF(OR(A342="",INDEX(Dashboard!$A:$A,MATCH(A342,Dashboard!$A:$A,0)+1)=0),"",INDEX(Dashboard!$A:$A,MATCH(A342,Dashboard!$A:$A,0)+1)))),"")</f>
        <v/>
      </c>
      <c r="B343" t="str">
        <f>IFERROR(IF(A343="","",IF(A343&lt;&gt;A342,Dashboard!$B$2,INDEX(Dashboard!$B:$B,MATCH(Source!B342,Dashboard!$B:$B,0)+1))),"")</f>
        <v/>
      </c>
    </row>
    <row r="344" spans="1:2" x14ac:dyDescent="0.2">
      <c r="A344" t="str">
        <f>IFERROR(IF(ROW(A343)&lt;4,Dashboard!$A$2,IF(COUNTIF($A$3:A343,A343)&lt;COUNTA(Dashboard!$B:$B)-1, A343,IF(OR(A343="",INDEX(Dashboard!$A:$A,MATCH(A343,Dashboard!$A:$A,0)+1)=0),"",INDEX(Dashboard!$A:$A,MATCH(A343,Dashboard!$A:$A,0)+1)))),"")</f>
        <v/>
      </c>
      <c r="B344" t="str">
        <f>IFERROR(IF(A344="","",IF(A344&lt;&gt;A343,Dashboard!$B$2,INDEX(Dashboard!$B:$B,MATCH(Source!B343,Dashboard!$B:$B,0)+1))),"")</f>
        <v/>
      </c>
    </row>
    <row r="345" spans="1:2" x14ac:dyDescent="0.2">
      <c r="A345" t="str">
        <f>IFERROR(IF(ROW(A344)&lt;4,Dashboard!$A$2,IF(COUNTIF($A$3:A344,A344)&lt;COUNTA(Dashboard!$B:$B)-1, A344,IF(OR(A344="",INDEX(Dashboard!$A:$A,MATCH(A344,Dashboard!$A:$A,0)+1)=0),"",INDEX(Dashboard!$A:$A,MATCH(A344,Dashboard!$A:$A,0)+1)))),"")</f>
        <v/>
      </c>
      <c r="B345" t="str">
        <f>IFERROR(IF(A345="","",IF(A345&lt;&gt;A344,Dashboard!$B$2,INDEX(Dashboard!$B:$B,MATCH(Source!B344,Dashboard!$B:$B,0)+1))),"")</f>
        <v/>
      </c>
    </row>
    <row r="346" spans="1:2" x14ac:dyDescent="0.2">
      <c r="A346" t="str">
        <f>IFERROR(IF(ROW(A345)&lt;4,Dashboard!$A$2,IF(COUNTIF($A$3:A345,A345)&lt;COUNTA(Dashboard!$B:$B)-1, A345,IF(OR(A345="",INDEX(Dashboard!$A:$A,MATCH(A345,Dashboard!$A:$A,0)+1)=0),"",INDEX(Dashboard!$A:$A,MATCH(A345,Dashboard!$A:$A,0)+1)))),"")</f>
        <v/>
      </c>
      <c r="B346" t="str">
        <f>IFERROR(IF(A346="","",IF(A346&lt;&gt;A345,Dashboard!$B$2,INDEX(Dashboard!$B:$B,MATCH(Source!B345,Dashboard!$B:$B,0)+1))),"")</f>
        <v/>
      </c>
    </row>
    <row r="347" spans="1:2" x14ac:dyDescent="0.2">
      <c r="A347" t="str">
        <f>IFERROR(IF(ROW(A346)&lt;4,Dashboard!$A$2,IF(COUNTIF($A$3:A346,A346)&lt;COUNTA(Dashboard!$B:$B)-1, A346,IF(OR(A346="",INDEX(Dashboard!$A:$A,MATCH(A346,Dashboard!$A:$A,0)+1)=0),"",INDEX(Dashboard!$A:$A,MATCH(A346,Dashboard!$A:$A,0)+1)))),"")</f>
        <v/>
      </c>
      <c r="B347" t="str">
        <f>IFERROR(IF(A347="","",IF(A347&lt;&gt;A346,Dashboard!$B$2,INDEX(Dashboard!$B:$B,MATCH(Source!B346,Dashboard!$B:$B,0)+1))),"")</f>
        <v/>
      </c>
    </row>
    <row r="348" spans="1:2" x14ac:dyDescent="0.2">
      <c r="A348" t="str">
        <f>IFERROR(IF(ROW(A347)&lt;4,Dashboard!$A$2,IF(COUNTIF($A$3:A347,A347)&lt;COUNTA(Dashboard!$B:$B)-1, A347,IF(OR(A347="",INDEX(Dashboard!$A:$A,MATCH(A347,Dashboard!$A:$A,0)+1)=0),"",INDEX(Dashboard!$A:$A,MATCH(A347,Dashboard!$A:$A,0)+1)))),"")</f>
        <v/>
      </c>
      <c r="B348" t="str">
        <f>IFERROR(IF(A348="","",IF(A348&lt;&gt;A347,Dashboard!$B$2,INDEX(Dashboard!$B:$B,MATCH(Source!B347,Dashboard!$B:$B,0)+1))),"")</f>
        <v/>
      </c>
    </row>
    <row r="349" spans="1:2" x14ac:dyDescent="0.2">
      <c r="A349" t="str">
        <f>IFERROR(IF(ROW(A348)&lt;4,Dashboard!$A$2,IF(COUNTIF($A$3:A348,A348)&lt;COUNTA(Dashboard!$B:$B)-1, A348,IF(OR(A348="",INDEX(Dashboard!$A:$A,MATCH(A348,Dashboard!$A:$A,0)+1)=0),"",INDEX(Dashboard!$A:$A,MATCH(A348,Dashboard!$A:$A,0)+1)))),"")</f>
        <v/>
      </c>
      <c r="B349" t="str">
        <f>IFERROR(IF(A349="","",IF(A349&lt;&gt;A348,Dashboard!$B$2,INDEX(Dashboard!$B:$B,MATCH(Source!B348,Dashboard!$B:$B,0)+1))),"")</f>
        <v/>
      </c>
    </row>
    <row r="350" spans="1:2" x14ac:dyDescent="0.2">
      <c r="A350" t="str">
        <f>IFERROR(IF(ROW(A349)&lt;4,Dashboard!$A$2,IF(COUNTIF($A$3:A349,A349)&lt;COUNTA(Dashboard!$B:$B)-1, A349,IF(OR(A349="",INDEX(Dashboard!$A:$A,MATCH(A349,Dashboard!$A:$A,0)+1)=0),"",INDEX(Dashboard!$A:$A,MATCH(A349,Dashboard!$A:$A,0)+1)))),"")</f>
        <v/>
      </c>
      <c r="B350" t="str">
        <f>IFERROR(IF(A350="","",IF(A350&lt;&gt;A349,Dashboard!$B$2,INDEX(Dashboard!$B:$B,MATCH(Source!B349,Dashboard!$B:$B,0)+1))),"")</f>
        <v/>
      </c>
    </row>
    <row r="351" spans="1:2" x14ac:dyDescent="0.2">
      <c r="A351" t="str">
        <f>IFERROR(IF(ROW(A350)&lt;4,Dashboard!$A$2,IF(COUNTIF($A$3:A350,A350)&lt;COUNTA(Dashboard!$B:$B)-1, A350,IF(OR(A350="",INDEX(Dashboard!$A:$A,MATCH(A350,Dashboard!$A:$A,0)+1)=0),"",INDEX(Dashboard!$A:$A,MATCH(A350,Dashboard!$A:$A,0)+1)))),"")</f>
        <v/>
      </c>
      <c r="B351" t="str">
        <f>IFERROR(IF(A351="","",IF(A351&lt;&gt;A350,Dashboard!$B$2,INDEX(Dashboard!$B:$B,MATCH(Source!B350,Dashboard!$B:$B,0)+1))),"")</f>
        <v/>
      </c>
    </row>
    <row r="352" spans="1:2" x14ac:dyDescent="0.2">
      <c r="A352" t="str">
        <f>IFERROR(IF(ROW(A351)&lt;4,Dashboard!$A$2,IF(COUNTIF($A$3:A351,A351)&lt;COUNTA(Dashboard!$B:$B)-1, A351,IF(OR(A351="",INDEX(Dashboard!$A:$A,MATCH(A351,Dashboard!$A:$A,0)+1)=0),"",INDEX(Dashboard!$A:$A,MATCH(A351,Dashboard!$A:$A,0)+1)))),"")</f>
        <v/>
      </c>
      <c r="B352" t="str">
        <f>IFERROR(IF(A352="","",IF(A352&lt;&gt;A351,Dashboard!$B$2,INDEX(Dashboard!$B:$B,MATCH(Source!B351,Dashboard!$B:$B,0)+1))),"")</f>
        <v/>
      </c>
    </row>
    <row r="353" spans="1:2" x14ac:dyDescent="0.2">
      <c r="A353" t="str">
        <f>IFERROR(IF(ROW(A352)&lt;4,Dashboard!$A$2,IF(COUNTIF($A$3:A352,A352)&lt;COUNTA(Dashboard!$B:$B)-1, A352,IF(OR(A352="",INDEX(Dashboard!$A:$A,MATCH(A352,Dashboard!$A:$A,0)+1)=0),"",INDEX(Dashboard!$A:$A,MATCH(A352,Dashboard!$A:$A,0)+1)))),"")</f>
        <v/>
      </c>
      <c r="B353" t="str">
        <f>IFERROR(IF(A353="","",IF(A353&lt;&gt;A352,Dashboard!$B$2,INDEX(Dashboard!$B:$B,MATCH(Source!B352,Dashboard!$B:$B,0)+1))),"")</f>
        <v/>
      </c>
    </row>
    <row r="354" spans="1:2" x14ac:dyDescent="0.2">
      <c r="A354" t="str">
        <f>IFERROR(IF(ROW(A353)&lt;4,Dashboard!$A$2,IF(COUNTIF($A$3:A353,A353)&lt;COUNTA(Dashboard!$B:$B)-1, A353,IF(OR(A353="",INDEX(Dashboard!$A:$A,MATCH(A353,Dashboard!$A:$A,0)+1)=0),"",INDEX(Dashboard!$A:$A,MATCH(A353,Dashboard!$A:$A,0)+1)))),"")</f>
        <v/>
      </c>
      <c r="B354" t="str">
        <f>IFERROR(IF(A354="","",IF(A354&lt;&gt;A353,Dashboard!$B$2,INDEX(Dashboard!$B:$B,MATCH(Source!B353,Dashboard!$B:$B,0)+1))),"")</f>
        <v/>
      </c>
    </row>
    <row r="355" spans="1:2" x14ac:dyDescent="0.2">
      <c r="A355" t="str">
        <f>IFERROR(IF(ROW(A354)&lt;4,Dashboard!$A$2,IF(COUNTIF($A$3:A354,A354)&lt;COUNTA(Dashboard!$B:$B)-1, A354,IF(OR(A354="",INDEX(Dashboard!$A:$A,MATCH(A354,Dashboard!$A:$A,0)+1)=0),"",INDEX(Dashboard!$A:$A,MATCH(A354,Dashboard!$A:$A,0)+1)))),"")</f>
        <v/>
      </c>
      <c r="B355" t="str">
        <f>IFERROR(IF(A355="","",IF(A355&lt;&gt;A354,Dashboard!$B$2,INDEX(Dashboard!$B:$B,MATCH(Source!B354,Dashboard!$B:$B,0)+1))),"")</f>
        <v/>
      </c>
    </row>
    <row r="356" spans="1:2" x14ac:dyDescent="0.2">
      <c r="A356" t="str">
        <f>IFERROR(IF(ROW(A355)&lt;4,Dashboard!$A$2,IF(COUNTIF($A$3:A355,A355)&lt;COUNTA(Dashboard!$B:$B)-1, A355,IF(OR(A355="",INDEX(Dashboard!$A:$A,MATCH(A355,Dashboard!$A:$A,0)+1)=0),"",INDEX(Dashboard!$A:$A,MATCH(A355,Dashboard!$A:$A,0)+1)))),"")</f>
        <v/>
      </c>
      <c r="B356" t="str">
        <f>IFERROR(IF(A356="","",IF(A356&lt;&gt;A355,Dashboard!$B$2,INDEX(Dashboard!$B:$B,MATCH(Source!B355,Dashboard!$B:$B,0)+1))),"")</f>
        <v/>
      </c>
    </row>
    <row r="357" spans="1:2" x14ac:dyDescent="0.2">
      <c r="A357" t="str">
        <f>IFERROR(IF(ROW(A356)&lt;4,Dashboard!$A$2,IF(COUNTIF($A$3:A356,A356)&lt;COUNTA(Dashboard!$B:$B)-1, A356,IF(OR(A356="",INDEX(Dashboard!$A:$A,MATCH(A356,Dashboard!$A:$A,0)+1)=0),"",INDEX(Dashboard!$A:$A,MATCH(A356,Dashboard!$A:$A,0)+1)))),"")</f>
        <v/>
      </c>
      <c r="B357" t="str">
        <f>IFERROR(IF(A357="","",IF(A357&lt;&gt;A356,Dashboard!$B$2,INDEX(Dashboard!$B:$B,MATCH(Source!B356,Dashboard!$B:$B,0)+1))),"")</f>
        <v/>
      </c>
    </row>
    <row r="358" spans="1:2" x14ac:dyDescent="0.2">
      <c r="A358" t="str">
        <f>IFERROR(IF(ROW(A357)&lt;4,Dashboard!$A$2,IF(COUNTIF($A$3:A357,A357)&lt;COUNTA(Dashboard!$B:$B)-1, A357,IF(OR(A357="",INDEX(Dashboard!$A:$A,MATCH(A357,Dashboard!$A:$A,0)+1)=0),"",INDEX(Dashboard!$A:$A,MATCH(A357,Dashboard!$A:$A,0)+1)))),"")</f>
        <v/>
      </c>
      <c r="B358" t="str">
        <f>IFERROR(IF(A358="","",IF(A358&lt;&gt;A357,Dashboard!$B$2,INDEX(Dashboard!$B:$B,MATCH(Source!B357,Dashboard!$B:$B,0)+1))),"")</f>
        <v/>
      </c>
    </row>
    <row r="359" spans="1:2" x14ac:dyDescent="0.2">
      <c r="A359" t="str">
        <f>IFERROR(IF(ROW(A358)&lt;4,Dashboard!$A$2,IF(COUNTIF($A$3:A358,A358)&lt;COUNTA(Dashboard!$B:$B)-1, A358,IF(OR(A358="",INDEX(Dashboard!$A:$A,MATCH(A358,Dashboard!$A:$A,0)+1)=0),"",INDEX(Dashboard!$A:$A,MATCH(A358,Dashboard!$A:$A,0)+1)))),"")</f>
        <v/>
      </c>
      <c r="B359" t="str">
        <f>IFERROR(IF(A359="","",IF(A359&lt;&gt;A358,Dashboard!$B$2,INDEX(Dashboard!$B:$B,MATCH(Source!B358,Dashboard!$B:$B,0)+1))),"")</f>
        <v/>
      </c>
    </row>
    <row r="360" spans="1:2" x14ac:dyDescent="0.2">
      <c r="A360" t="str">
        <f>IFERROR(IF(ROW(A359)&lt;4,Dashboard!$A$2,IF(COUNTIF($A$3:A359,A359)&lt;COUNTA(Dashboard!$B:$B)-1, A359,IF(OR(A359="",INDEX(Dashboard!$A:$A,MATCH(A359,Dashboard!$A:$A,0)+1)=0),"",INDEX(Dashboard!$A:$A,MATCH(A359,Dashboard!$A:$A,0)+1)))),"")</f>
        <v/>
      </c>
      <c r="B360" t="str">
        <f>IFERROR(IF(A360="","",IF(A360&lt;&gt;A359,Dashboard!$B$2,INDEX(Dashboard!$B:$B,MATCH(Source!B359,Dashboard!$B:$B,0)+1))),"")</f>
        <v/>
      </c>
    </row>
    <row r="361" spans="1:2" x14ac:dyDescent="0.2">
      <c r="A361" t="str">
        <f>IFERROR(IF(ROW(A360)&lt;4,Dashboard!$A$2,IF(COUNTIF($A$3:A360,A360)&lt;COUNTA(Dashboard!$B:$B)-1, A360,IF(OR(A360="",INDEX(Dashboard!$A:$A,MATCH(A360,Dashboard!$A:$A,0)+1)=0),"",INDEX(Dashboard!$A:$A,MATCH(A360,Dashboard!$A:$A,0)+1)))),"")</f>
        <v/>
      </c>
      <c r="B361" t="str">
        <f>IFERROR(IF(A361="","",IF(A361&lt;&gt;A360,Dashboard!$B$2,INDEX(Dashboard!$B:$B,MATCH(Source!B360,Dashboard!$B:$B,0)+1))),"")</f>
        <v/>
      </c>
    </row>
    <row r="362" spans="1:2" x14ac:dyDescent="0.2">
      <c r="A362" t="str">
        <f>IFERROR(IF(ROW(A361)&lt;4,Dashboard!$A$2,IF(COUNTIF($A$3:A361,A361)&lt;COUNTA(Dashboard!$B:$B)-1, A361,IF(OR(A361="",INDEX(Dashboard!$A:$A,MATCH(A361,Dashboard!$A:$A,0)+1)=0),"",INDEX(Dashboard!$A:$A,MATCH(A361,Dashboard!$A:$A,0)+1)))),"")</f>
        <v/>
      </c>
      <c r="B362" t="str">
        <f>IFERROR(IF(A362="","",IF(A362&lt;&gt;A361,Dashboard!$B$2,INDEX(Dashboard!$B:$B,MATCH(Source!B361,Dashboard!$B:$B,0)+1))),"")</f>
        <v/>
      </c>
    </row>
    <row r="363" spans="1:2" x14ac:dyDescent="0.2">
      <c r="A363" t="str">
        <f>IFERROR(IF(ROW(A362)&lt;4,Dashboard!$A$2,IF(COUNTIF($A$3:A362,A362)&lt;COUNTA(Dashboard!$B:$B)-1, A362,IF(OR(A362="",INDEX(Dashboard!$A:$A,MATCH(A362,Dashboard!$A:$A,0)+1)=0),"",INDEX(Dashboard!$A:$A,MATCH(A362,Dashboard!$A:$A,0)+1)))),"")</f>
        <v/>
      </c>
      <c r="B363" t="str">
        <f>IFERROR(IF(A363="","",IF(A363&lt;&gt;A362,Dashboard!$B$2,INDEX(Dashboard!$B:$B,MATCH(Source!B362,Dashboard!$B:$B,0)+1))),"")</f>
        <v/>
      </c>
    </row>
    <row r="364" spans="1:2" x14ac:dyDescent="0.2">
      <c r="A364" t="str">
        <f>IFERROR(IF(ROW(A363)&lt;4,Dashboard!$A$2,IF(COUNTIF($A$3:A363,A363)&lt;COUNTA(Dashboard!$B:$B)-1, A363,IF(OR(A363="",INDEX(Dashboard!$A:$A,MATCH(A363,Dashboard!$A:$A,0)+1)=0),"",INDEX(Dashboard!$A:$A,MATCH(A363,Dashboard!$A:$A,0)+1)))),"")</f>
        <v/>
      </c>
      <c r="B364" t="str">
        <f>IFERROR(IF(A364="","",IF(A364&lt;&gt;A363,Dashboard!$B$2,INDEX(Dashboard!$B:$B,MATCH(Source!B363,Dashboard!$B:$B,0)+1))),"")</f>
        <v/>
      </c>
    </row>
    <row r="365" spans="1:2" x14ac:dyDescent="0.2">
      <c r="A365" t="str">
        <f>IFERROR(IF(ROW(A364)&lt;4,Dashboard!$A$2,IF(COUNTIF($A$3:A364,A364)&lt;COUNTA(Dashboard!$B:$B)-1, A364,IF(OR(A364="",INDEX(Dashboard!$A:$A,MATCH(A364,Dashboard!$A:$A,0)+1)=0),"",INDEX(Dashboard!$A:$A,MATCH(A364,Dashboard!$A:$A,0)+1)))),"")</f>
        <v/>
      </c>
      <c r="B365" t="str">
        <f>IFERROR(IF(A365="","",IF(A365&lt;&gt;A364,Dashboard!$B$2,INDEX(Dashboard!$B:$B,MATCH(Source!B364,Dashboard!$B:$B,0)+1))),"")</f>
        <v/>
      </c>
    </row>
    <row r="366" spans="1:2" x14ac:dyDescent="0.2">
      <c r="A366" t="str">
        <f>IFERROR(IF(ROW(A365)&lt;4,Dashboard!$A$2,IF(COUNTIF($A$3:A365,A365)&lt;COUNTA(Dashboard!$B:$B)-1, A365,IF(OR(A365="",INDEX(Dashboard!$A:$A,MATCH(A365,Dashboard!$A:$A,0)+1)=0),"",INDEX(Dashboard!$A:$A,MATCH(A365,Dashboard!$A:$A,0)+1)))),"")</f>
        <v/>
      </c>
      <c r="B366" t="str">
        <f>IFERROR(IF(A366="","",IF(A366&lt;&gt;A365,Dashboard!$B$2,INDEX(Dashboard!$B:$B,MATCH(Source!B365,Dashboard!$B:$B,0)+1))),"")</f>
        <v/>
      </c>
    </row>
    <row r="367" spans="1:2" x14ac:dyDescent="0.2">
      <c r="A367" t="str">
        <f>IFERROR(IF(ROW(A366)&lt;4,Dashboard!$A$2,IF(COUNTIF($A$3:A366,A366)&lt;COUNTA(Dashboard!$B:$B)-1, A366,IF(OR(A366="",INDEX(Dashboard!$A:$A,MATCH(A366,Dashboard!$A:$A,0)+1)=0),"",INDEX(Dashboard!$A:$A,MATCH(A366,Dashboard!$A:$A,0)+1)))),"")</f>
        <v/>
      </c>
      <c r="B367" t="str">
        <f>IFERROR(IF(A367="","",IF(A367&lt;&gt;A366,Dashboard!$B$2,INDEX(Dashboard!$B:$B,MATCH(Source!B366,Dashboard!$B:$B,0)+1))),"")</f>
        <v/>
      </c>
    </row>
    <row r="368" spans="1:2" x14ac:dyDescent="0.2">
      <c r="A368" t="str">
        <f>IFERROR(IF(ROW(A367)&lt;4,Dashboard!$A$2,IF(COUNTIF($A$3:A367,A367)&lt;COUNTA(Dashboard!$B:$B)-1, A367,IF(OR(A367="",INDEX(Dashboard!$A:$A,MATCH(A367,Dashboard!$A:$A,0)+1)=0),"",INDEX(Dashboard!$A:$A,MATCH(A367,Dashboard!$A:$A,0)+1)))),"")</f>
        <v/>
      </c>
      <c r="B368" t="str">
        <f>IFERROR(IF(A368="","",IF(A368&lt;&gt;A367,Dashboard!$B$2,INDEX(Dashboard!$B:$B,MATCH(Source!B367,Dashboard!$B:$B,0)+1))),"")</f>
        <v/>
      </c>
    </row>
    <row r="369" spans="1:2" x14ac:dyDescent="0.2">
      <c r="A369" t="str">
        <f>IFERROR(IF(ROW(A368)&lt;4,Dashboard!$A$2,IF(COUNTIF($A$3:A368,A368)&lt;COUNTA(Dashboard!$B:$B)-1, A368,IF(OR(A368="",INDEX(Dashboard!$A:$A,MATCH(A368,Dashboard!$A:$A,0)+1)=0),"",INDEX(Dashboard!$A:$A,MATCH(A368,Dashboard!$A:$A,0)+1)))),"")</f>
        <v/>
      </c>
      <c r="B369" t="str">
        <f>IFERROR(IF(A369="","",IF(A369&lt;&gt;A368,Dashboard!$B$2,INDEX(Dashboard!$B:$B,MATCH(Source!B368,Dashboard!$B:$B,0)+1))),"")</f>
        <v/>
      </c>
    </row>
    <row r="370" spans="1:2" x14ac:dyDescent="0.2">
      <c r="A370" t="str">
        <f>IFERROR(IF(ROW(A369)&lt;4,Dashboard!$A$2,IF(COUNTIF($A$3:A369,A369)&lt;COUNTA(Dashboard!$B:$B)-1, A369,IF(OR(A369="",INDEX(Dashboard!$A:$A,MATCH(A369,Dashboard!$A:$A,0)+1)=0),"",INDEX(Dashboard!$A:$A,MATCH(A369,Dashboard!$A:$A,0)+1)))),"")</f>
        <v/>
      </c>
      <c r="B370" t="str">
        <f>IFERROR(IF(A370="","",IF(A370&lt;&gt;A369,Dashboard!$B$2,INDEX(Dashboard!$B:$B,MATCH(Source!B369,Dashboard!$B:$B,0)+1))),"")</f>
        <v/>
      </c>
    </row>
    <row r="371" spans="1:2" x14ac:dyDescent="0.2">
      <c r="A371" t="str">
        <f>IFERROR(IF(ROW(A370)&lt;4,Dashboard!$A$2,IF(COUNTIF($A$3:A370,A370)&lt;COUNTA(Dashboard!$B:$B)-1, A370,IF(OR(A370="",INDEX(Dashboard!$A:$A,MATCH(A370,Dashboard!$A:$A,0)+1)=0),"",INDEX(Dashboard!$A:$A,MATCH(A370,Dashboard!$A:$A,0)+1)))),"")</f>
        <v/>
      </c>
      <c r="B371" t="str">
        <f>IFERROR(IF(A371="","",IF(A371&lt;&gt;A370,Dashboard!$B$2,INDEX(Dashboard!$B:$B,MATCH(Source!B370,Dashboard!$B:$B,0)+1))),"")</f>
        <v/>
      </c>
    </row>
    <row r="372" spans="1:2" x14ac:dyDescent="0.2">
      <c r="A372" t="str">
        <f>IFERROR(IF(ROW(A371)&lt;4,Dashboard!$A$2,IF(COUNTIF($A$3:A371,A371)&lt;COUNTA(Dashboard!$B:$B)-1, A371,IF(OR(A371="",INDEX(Dashboard!$A:$A,MATCH(A371,Dashboard!$A:$A,0)+1)=0),"",INDEX(Dashboard!$A:$A,MATCH(A371,Dashboard!$A:$A,0)+1)))),"")</f>
        <v/>
      </c>
      <c r="B372" t="str">
        <f>IFERROR(IF(A372="","",IF(A372&lt;&gt;A371,Dashboard!$B$2,INDEX(Dashboard!$B:$B,MATCH(Source!B371,Dashboard!$B:$B,0)+1))),"")</f>
        <v/>
      </c>
    </row>
    <row r="373" spans="1:2" x14ac:dyDescent="0.2">
      <c r="A373" t="str">
        <f>IFERROR(IF(ROW(A372)&lt;4,Dashboard!$A$2,IF(COUNTIF($A$3:A372,A372)&lt;COUNTA(Dashboard!$B:$B)-1, A372,IF(OR(A372="",INDEX(Dashboard!$A:$A,MATCH(A372,Dashboard!$A:$A,0)+1)=0),"",INDEX(Dashboard!$A:$A,MATCH(A372,Dashboard!$A:$A,0)+1)))),"")</f>
        <v/>
      </c>
      <c r="B373" t="str">
        <f>IFERROR(IF(A373="","",IF(A373&lt;&gt;A372,Dashboard!$B$2,INDEX(Dashboard!$B:$B,MATCH(Source!B372,Dashboard!$B:$B,0)+1))),"")</f>
        <v/>
      </c>
    </row>
    <row r="374" spans="1:2" x14ac:dyDescent="0.2">
      <c r="A374" t="str">
        <f>IFERROR(IF(ROW(A373)&lt;4,Dashboard!$A$2,IF(COUNTIF($A$3:A373,A373)&lt;COUNTA(Dashboard!$B:$B)-1, A373,IF(OR(A373="",INDEX(Dashboard!$A:$A,MATCH(A373,Dashboard!$A:$A,0)+1)=0),"",INDEX(Dashboard!$A:$A,MATCH(A373,Dashboard!$A:$A,0)+1)))),"")</f>
        <v/>
      </c>
      <c r="B374" t="str">
        <f>IFERROR(IF(A374="","",IF(A374&lt;&gt;A373,Dashboard!$B$2,INDEX(Dashboard!$B:$B,MATCH(Source!B373,Dashboard!$B:$B,0)+1))),"")</f>
        <v/>
      </c>
    </row>
    <row r="375" spans="1:2" x14ac:dyDescent="0.2">
      <c r="A375" t="str">
        <f>IFERROR(IF(ROW(A374)&lt;4,Dashboard!$A$2,IF(COUNTIF($A$3:A374,A374)&lt;COUNTA(Dashboard!$B:$B)-1, A374,IF(OR(A374="",INDEX(Dashboard!$A:$A,MATCH(A374,Dashboard!$A:$A,0)+1)=0),"",INDEX(Dashboard!$A:$A,MATCH(A374,Dashboard!$A:$A,0)+1)))),"")</f>
        <v/>
      </c>
      <c r="B375" t="str">
        <f>IFERROR(IF(A375="","",IF(A375&lt;&gt;A374,Dashboard!$B$2,INDEX(Dashboard!$B:$B,MATCH(Source!B374,Dashboard!$B:$B,0)+1))),"")</f>
        <v/>
      </c>
    </row>
    <row r="376" spans="1:2" x14ac:dyDescent="0.2">
      <c r="A376" t="str">
        <f>IFERROR(IF(ROW(A375)&lt;4,Dashboard!$A$2,IF(COUNTIF($A$3:A375,A375)&lt;COUNTA(Dashboard!$B:$B)-1, A375,IF(OR(A375="",INDEX(Dashboard!$A:$A,MATCH(A375,Dashboard!$A:$A,0)+1)=0),"",INDEX(Dashboard!$A:$A,MATCH(A375,Dashboard!$A:$A,0)+1)))),"")</f>
        <v/>
      </c>
      <c r="B376" t="str">
        <f>IFERROR(IF(A376="","",IF(A376&lt;&gt;A375,Dashboard!$B$2,INDEX(Dashboard!$B:$B,MATCH(Source!B375,Dashboard!$B:$B,0)+1))),"")</f>
        <v/>
      </c>
    </row>
    <row r="377" spans="1:2" x14ac:dyDescent="0.2">
      <c r="A377" t="str">
        <f>IFERROR(IF(ROW(A376)&lt;4,Dashboard!$A$2,IF(COUNTIF($A$3:A376,A376)&lt;COUNTA(Dashboard!$B:$B)-1, A376,IF(OR(A376="",INDEX(Dashboard!$A:$A,MATCH(A376,Dashboard!$A:$A,0)+1)=0),"",INDEX(Dashboard!$A:$A,MATCH(A376,Dashboard!$A:$A,0)+1)))),"")</f>
        <v/>
      </c>
      <c r="B377" t="str">
        <f>IFERROR(IF(A377="","",IF(A377&lt;&gt;A376,Dashboard!$B$2,INDEX(Dashboard!$B:$B,MATCH(Source!B376,Dashboard!$B:$B,0)+1))),"")</f>
        <v/>
      </c>
    </row>
    <row r="378" spans="1:2" x14ac:dyDescent="0.2">
      <c r="A378" t="str">
        <f>IFERROR(IF(ROW(A377)&lt;4,Dashboard!$A$2,IF(COUNTIF($A$3:A377,A377)&lt;COUNTA(Dashboard!$B:$B)-1, A377,IF(OR(A377="",INDEX(Dashboard!$A:$A,MATCH(A377,Dashboard!$A:$A,0)+1)=0),"",INDEX(Dashboard!$A:$A,MATCH(A377,Dashboard!$A:$A,0)+1)))),"")</f>
        <v/>
      </c>
      <c r="B378" t="str">
        <f>IFERROR(IF(A378="","",IF(A378&lt;&gt;A377,Dashboard!$B$2,INDEX(Dashboard!$B:$B,MATCH(Source!B377,Dashboard!$B:$B,0)+1))),"")</f>
        <v/>
      </c>
    </row>
    <row r="379" spans="1:2" x14ac:dyDescent="0.2">
      <c r="A379" t="str">
        <f>IFERROR(IF(ROW(A378)&lt;4,Dashboard!$A$2,IF(COUNTIF($A$3:A378,A378)&lt;COUNTA(Dashboard!$B:$B)-1, A378,IF(OR(A378="",INDEX(Dashboard!$A:$A,MATCH(A378,Dashboard!$A:$A,0)+1)=0),"",INDEX(Dashboard!$A:$A,MATCH(A378,Dashboard!$A:$A,0)+1)))),"")</f>
        <v/>
      </c>
      <c r="B379" t="str">
        <f>IFERROR(IF(A379="","",IF(A379&lt;&gt;A378,Dashboard!$B$2,INDEX(Dashboard!$B:$B,MATCH(Source!B378,Dashboard!$B:$B,0)+1))),"")</f>
        <v/>
      </c>
    </row>
    <row r="380" spans="1:2" x14ac:dyDescent="0.2">
      <c r="A380" t="str">
        <f>IFERROR(IF(ROW(A379)&lt;4,Dashboard!$A$2,IF(COUNTIF($A$3:A379,A379)&lt;COUNTA(Dashboard!$B:$B)-1, A379,IF(OR(A379="",INDEX(Dashboard!$A:$A,MATCH(A379,Dashboard!$A:$A,0)+1)=0),"",INDEX(Dashboard!$A:$A,MATCH(A379,Dashboard!$A:$A,0)+1)))),"")</f>
        <v/>
      </c>
      <c r="B380" t="str">
        <f>IFERROR(IF(A380="","",IF(A380&lt;&gt;A379,Dashboard!$B$2,INDEX(Dashboard!$B:$B,MATCH(Source!B379,Dashboard!$B:$B,0)+1))),"")</f>
        <v/>
      </c>
    </row>
    <row r="381" spans="1:2" x14ac:dyDescent="0.2">
      <c r="A381" t="str">
        <f>IFERROR(IF(ROW(A380)&lt;4,Dashboard!$A$2,IF(COUNTIF($A$3:A380,A380)&lt;COUNTA(Dashboard!$B:$B)-1, A380,IF(OR(A380="",INDEX(Dashboard!$A:$A,MATCH(A380,Dashboard!$A:$A,0)+1)=0),"",INDEX(Dashboard!$A:$A,MATCH(A380,Dashboard!$A:$A,0)+1)))),"")</f>
        <v/>
      </c>
      <c r="B381" t="str">
        <f>IFERROR(IF(A381="","",IF(A381&lt;&gt;A380,Dashboard!$B$2,INDEX(Dashboard!$B:$B,MATCH(Source!B380,Dashboard!$B:$B,0)+1))),"")</f>
        <v/>
      </c>
    </row>
    <row r="382" spans="1:2" x14ac:dyDescent="0.2">
      <c r="A382" t="str">
        <f>IFERROR(IF(ROW(A381)&lt;4,Dashboard!$A$2,IF(COUNTIF($A$3:A381,A381)&lt;COUNTA(Dashboard!$B:$B)-1, A381,IF(OR(A381="",INDEX(Dashboard!$A:$A,MATCH(A381,Dashboard!$A:$A,0)+1)=0),"",INDEX(Dashboard!$A:$A,MATCH(A381,Dashboard!$A:$A,0)+1)))),"")</f>
        <v/>
      </c>
      <c r="B382" t="str">
        <f>IFERROR(IF(A382="","",IF(A382&lt;&gt;A381,Dashboard!$B$2,INDEX(Dashboard!$B:$B,MATCH(Source!B381,Dashboard!$B:$B,0)+1))),"")</f>
        <v/>
      </c>
    </row>
    <row r="383" spans="1:2" x14ac:dyDescent="0.2">
      <c r="A383" t="str">
        <f>IFERROR(IF(ROW(A382)&lt;4,Dashboard!$A$2,IF(COUNTIF($A$3:A382,A382)&lt;COUNTA(Dashboard!$B:$B)-1, A382,IF(OR(A382="",INDEX(Dashboard!$A:$A,MATCH(A382,Dashboard!$A:$A,0)+1)=0),"",INDEX(Dashboard!$A:$A,MATCH(A382,Dashboard!$A:$A,0)+1)))),"")</f>
        <v/>
      </c>
      <c r="B383" t="str">
        <f>IFERROR(IF(A383="","",IF(A383&lt;&gt;A382,Dashboard!$B$2,INDEX(Dashboard!$B:$B,MATCH(Source!B382,Dashboard!$B:$B,0)+1))),"")</f>
        <v/>
      </c>
    </row>
    <row r="384" spans="1:2" x14ac:dyDescent="0.2">
      <c r="A384" t="str">
        <f>IFERROR(IF(ROW(A383)&lt;4,Dashboard!$A$2,IF(COUNTIF($A$3:A383,A383)&lt;COUNTA(Dashboard!$B:$B)-1, A383,IF(OR(A383="",INDEX(Dashboard!$A:$A,MATCH(A383,Dashboard!$A:$A,0)+1)=0),"",INDEX(Dashboard!$A:$A,MATCH(A383,Dashboard!$A:$A,0)+1)))),"")</f>
        <v/>
      </c>
      <c r="B384" t="str">
        <f>IFERROR(IF(A384="","",IF(A384&lt;&gt;A383,Dashboard!$B$2,INDEX(Dashboard!$B:$B,MATCH(Source!B383,Dashboard!$B:$B,0)+1))),"")</f>
        <v/>
      </c>
    </row>
    <row r="385" spans="1:2" x14ac:dyDescent="0.2">
      <c r="A385" t="str">
        <f>IFERROR(IF(ROW(A384)&lt;4,Dashboard!$A$2,IF(COUNTIF($A$3:A384,A384)&lt;COUNTA(Dashboard!$B:$B)-1, A384,IF(OR(A384="",INDEX(Dashboard!$A:$A,MATCH(A384,Dashboard!$A:$A,0)+1)=0),"",INDEX(Dashboard!$A:$A,MATCH(A384,Dashboard!$A:$A,0)+1)))),"")</f>
        <v/>
      </c>
      <c r="B385" t="str">
        <f>IFERROR(IF(A385="","",IF(A385&lt;&gt;A384,Dashboard!$B$2,INDEX(Dashboard!$B:$B,MATCH(Source!B384,Dashboard!$B:$B,0)+1))),"")</f>
        <v/>
      </c>
    </row>
    <row r="386" spans="1:2" x14ac:dyDescent="0.2">
      <c r="A386" t="str">
        <f>IFERROR(IF(ROW(A385)&lt;4,Dashboard!$A$2,IF(COUNTIF($A$3:A385,A385)&lt;COUNTA(Dashboard!$B:$B)-1, A385,IF(OR(A385="",INDEX(Dashboard!$A:$A,MATCH(A385,Dashboard!$A:$A,0)+1)=0),"",INDEX(Dashboard!$A:$A,MATCH(A385,Dashboard!$A:$A,0)+1)))),"")</f>
        <v/>
      </c>
      <c r="B386" t="str">
        <f>IFERROR(IF(A386="","",IF(A386&lt;&gt;A385,Dashboard!$B$2,INDEX(Dashboard!$B:$B,MATCH(Source!B385,Dashboard!$B:$B,0)+1))),"")</f>
        <v/>
      </c>
    </row>
    <row r="387" spans="1:2" x14ac:dyDescent="0.2">
      <c r="A387" t="str">
        <f>IFERROR(IF(ROW(A386)&lt;4,Dashboard!$A$2,IF(COUNTIF($A$3:A386,A386)&lt;COUNTA(Dashboard!$B:$B)-1, A386,IF(OR(A386="",INDEX(Dashboard!$A:$A,MATCH(A386,Dashboard!$A:$A,0)+1)=0),"",INDEX(Dashboard!$A:$A,MATCH(A386,Dashboard!$A:$A,0)+1)))),"")</f>
        <v/>
      </c>
      <c r="B387" t="str">
        <f>IFERROR(IF(A387="","",IF(A387&lt;&gt;A386,Dashboard!$B$2,INDEX(Dashboard!$B:$B,MATCH(Source!B386,Dashboard!$B:$B,0)+1))),"")</f>
        <v/>
      </c>
    </row>
    <row r="388" spans="1:2" x14ac:dyDescent="0.2">
      <c r="A388" t="str">
        <f>IFERROR(IF(ROW(A387)&lt;4,Dashboard!$A$2,IF(COUNTIF($A$3:A387,A387)&lt;COUNTA(Dashboard!$B:$B)-1, A387,IF(OR(A387="",INDEX(Dashboard!$A:$A,MATCH(A387,Dashboard!$A:$A,0)+1)=0),"",INDEX(Dashboard!$A:$A,MATCH(A387,Dashboard!$A:$A,0)+1)))),"")</f>
        <v/>
      </c>
      <c r="B388" t="str">
        <f>IFERROR(IF(A388="","",IF(A388&lt;&gt;A387,Dashboard!$B$2,INDEX(Dashboard!$B:$B,MATCH(Source!B387,Dashboard!$B:$B,0)+1))),"")</f>
        <v/>
      </c>
    </row>
    <row r="389" spans="1:2" x14ac:dyDescent="0.2">
      <c r="A389" t="str">
        <f>IFERROR(IF(ROW(A388)&lt;4,Dashboard!$A$2,IF(COUNTIF($A$3:A388,A388)&lt;COUNTA(Dashboard!$B:$B)-1, A388,IF(OR(A388="",INDEX(Dashboard!$A:$A,MATCH(A388,Dashboard!$A:$A,0)+1)=0),"",INDEX(Dashboard!$A:$A,MATCH(A388,Dashboard!$A:$A,0)+1)))),"")</f>
        <v/>
      </c>
      <c r="B389" t="str">
        <f>IFERROR(IF(A389="","",IF(A389&lt;&gt;A388,Dashboard!$B$2,INDEX(Dashboard!$B:$B,MATCH(Source!B388,Dashboard!$B:$B,0)+1))),"")</f>
        <v/>
      </c>
    </row>
    <row r="390" spans="1:2" x14ac:dyDescent="0.2">
      <c r="A390" t="str">
        <f>IFERROR(IF(ROW(A389)&lt;4,Dashboard!$A$2,IF(COUNTIF($A$3:A389,A389)&lt;COUNTA(Dashboard!$B:$B)-1, A389,IF(OR(A389="",INDEX(Dashboard!$A:$A,MATCH(A389,Dashboard!$A:$A,0)+1)=0),"",INDEX(Dashboard!$A:$A,MATCH(A389,Dashboard!$A:$A,0)+1)))),"")</f>
        <v/>
      </c>
      <c r="B390" t="str">
        <f>IFERROR(IF(A390="","",IF(A390&lt;&gt;A389,Dashboard!$B$2,INDEX(Dashboard!$B:$B,MATCH(Source!B389,Dashboard!$B:$B,0)+1))),"")</f>
        <v/>
      </c>
    </row>
    <row r="391" spans="1:2" x14ac:dyDescent="0.2">
      <c r="A391" t="str">
        <f>IFERROR(IF(ROW(A390)&lt;4,Dashboard!$A$2,IF(COUNTIF($A$3:A390,A390)&lt;COUNTA(Dashboard!$B:$B)-1, A390,IF(OR(A390="",INDEX(Dashboard!$A:$A,MATCH(A390,Dashboard!$A:$A,0)+1)=0),"",INDEX(Dashboard!$A:$A,MATCH(A390,Dashboard!$A:$A,0)+1)))),"")</f>
        <v/>
      </c>
      <c r="B391" t="str">
        <f>IFERROR(IF(A391="","",IF(A391&lt;&gt;A390,Dashboard!$B$2,INDEX(Dashboard!$B:$B,MATCH(Source!B390,Dashboard!$B:$B,0)+1))),"")</f>
        <v/>
      </c>
    </row>
    <row r="392" spans="1:2" x14ac:dyDescent="0.2">
      <c r="A392" t="str">
        <f>IFERROR(IF(ROW(A391)&lt;4,Dashboard!$A$2,IF(COUNTIF($A$3:A391,A391)&lt;COUNTA(Dashboard!$B:$B)-1, A391,IF(OR(A391="",INDEX(Dashboard!$A:$A,MATCH(A391,Dashboard!$A:$A,0)+1)=0),"",INDEX(Dashboard!$A:$A,MATCH(A391,Dashboard!$A:$A,0)+1)))),"")</f>
        <v/>
      </c>
      <c r="B392" t="str">
        <f>IFERROR(IF(A392="","",IF(A392&lt;&gt;A391,Dashboard!$B$2,INDEX(Dashboard!$B:$B,MATCH(Source!B391,Dashboard!$B:$B,0)+1))),"")</f>
        <v/>
      </c>
    </row>
    <row r="393" spans="1:2" x14ac:dyDescent="0.2">
      <c r="A393" t="str">
        <f>IFERROR(IF(ROW(A392)&lt;4,Dashboard!$A$2,IF(COUNTIF($A$3:A392,A392)&lt;COUNTA(Dashboard!$B:$B)-1, A392,IF(OR(A392="",INDEX(Dashboard!$A:$A,MATCH(A392,Dashboard!$A:$A,0)+1)=0),"",INDEX(Dashboard!$A:$A,MATCH(A392,Dashboard!$A:$A,0)+1)))),"")</f>
        <v/>
      </c>
      <c r="B393" t="str">
        <f>IFERROR(IF(A393="","",IF(A393&lt;&gt;A392,Dashboard!$B$2,INDEX(Dashboard!$B:$B,MATCH(Source!B392,Dashboard!$B:$B,0)+1))),"")</f>
        <v/>
      </c>
    </row>
    <row r="394" spans="1:2" x14ac:dyDescent="0.2">
      <c r="A394" t="str">
        <f>IFERROR(IF(ROW(A393)&lt;4,Dashboard!$A$2,IF(COUNTIF($A$3:A393,A393)&lt;COUNTA(Dashboard!$B:$B)-1, A393,IF(OR(A393="",INDEX(Dashboard!$A:$A,MATCH(A393,Dashboard!$A:$A,0)+1)=0),"",INDEX(Dashboard!$A:$A,MATCH(A393,Dashboard!$A:$A,0)+1)))),"")</f>
        <v/>
      </c>
      <c r="B394" t="str">
        <f>IFERROR(IF(A394="","",IF(A394&lt;&gt;A393,Dashboard!$B$2,INDEX(Dashboard!$B:$B,MATCH(Source!B393,Dashboard!$B:$B,0)+1))),"")</f>
        <v/>
      </c>
    </row>
    <row r="395" spans="1:2" x14ac:dyDescent="0.2">
      <c r="A395" t="str">
        <f>IFERROR(IF(ROW(A394)&lt;4,Dashboard!$A$2,IF(COUNTIF($A$3:A394,A394)&lt;COUNTA(Dashboard!$B:$B)-1, A394,IF(OR(A394="",INDEX(Dashboard!$A:$A,MATCH(A394,Dashboard!$A:$A,0)+1)=0),"",INDEX(Dashboard!$A:$A,MATCH(A394,Dashboard!$A:$A,0)+1)))),"")</f>
        <v/>
      </c>
      <c r="B395" t="str">
        <f>IFERROR(IF(A395="","",IF(A395&lt;&gt;A394,Dashboard!$B$2,INDEX(Dashboard!$B:$B,MATCH(Source!B394,Dashboard!$B:$B,0)+1))),"")</f>
        <v/>
      </c>
    </row>
    <row r="396" spans="1:2" x14ac:dyDescent="0.2">
      <c r="A396" t="str">
        <f>IFERROR(IF(ROW(A395)&lt;4,Dashboard!$A$2,IF(COUNTIF($A$3:A395,A395)&lt;COUNTA(Dashboard!$B:$B)-1, A395,IF(OR(A395="",INDEX(Dashboard!$A:$A,MATCH(A395,Dashboard!$A:$A,0)+1)=0),"",INDEX(Dashboard!$A:$A,MATCH(A395,Dashboard!$A:$A,0)+1)))),"")</f>
        <v/>
      </c>
      <c r="B396" t="str">
        <f>IFERROR(IF(A396="","",IF(A396&lt;&gt;A395,Dashboard!$B$2,INDEX(Dashboard!$B:$B,MATCH(Source!B395,Dashboard!$B:$B,0)+1))),"")</f>
        <v/>
      </c>
    </row>
    <row r="397" spans="1:2" x14ac:dyDescent="0.2">
      <c r="A397" t="str">
        <f>IFERROR(IF(ROW(A396)&lt;4,Dashboard!$A$2,IF(COUNTIF($A$3:A396,A396)&lt;COUNTA(Dashboard!$B:$B)-1, A396,IF(OR(A396="",INDEX(Dashboard!$A:$A,MATCH(A396,Dashboard!$A:$A,0)+1)=0),"",INDEX(Dashboard!$A:$A,MATCH(A396,Dashboard!$A:$A,0)+1)))),"")</f>
        <v/>
      </c>
      <c r="B397" t="str">
        <f>IFERROR(IF(A397="","",IF(A397&lt;&gt;A396,Dashboard!$B$2,INDEX(Dashboard!$B:$B,MATCH(Source!B396,Dashboard!$B:$B,0)+1))),"")</f>
        <v/>
      </c>
    </row>
    <row r="398" spans="1:2" x14ac:dyDescent="0.2">
      <c r="A398" t="str">
        <f>IFERROR(IF(ROW(A397)&lt;4,Dashboard!$A$2,IF(COUNTIF($A$3:A397,A397)&lt;COUNTA(Dashboard!$B:$B)-1, A397,IF(OR(A397="",INDEX(Dashboard!$A:$A,MATCH(A397,Dashboard!$A:$A,0)+1)=0),"",INDEX(Dashboard!$A:$A,MATCH(A397,Dashboard!$A:$A,0)+1)))),"")</f>
        <v/>
      </c>
      <c r="B398" t="str">
        <f>IFERROR(IF(A398="","",IF(A398&lt;&gt;A397,Dashboard!$B$2,INDEX(Dashboard!$B:$B,MATCH(Source!B397,Dashboard!$B:$B,0)+1))),"")</f>
        <v/>
      </c>
    </row>
    <row r="399" spans="1:2" x14ac:dyDescent="0.2">
      <c r="A399" t="str">
        <f>IFERROR(IF(ROW(A398)&lt;4,Dashboard!$A$2,IF(COUNTIF($A$3:A398,A398)&lt;COUNTA(Dashboard!$B:$B)-1, A398,IF(OR(A398="",INDEX(Dashboard!$A:$A,MATCH(A398,Dashboard!$A:$A,0)+1)=0),"",INDEX(Dashboard!$A:$A,MATCH(A398,Dashboard!$A:$A,0)+1)))),"")</f>
        <v/>
      </c>
      <c r="B399" t="str">
        <f>IFERROR(IF(A399="","",IF(A399&lt;&gt;A398,Dashboard!$B$2,INDEX(Dashboard!$B:$B,MATCH(Source!B398,Dashboard!$B:$B,0)+1))),"")</f>
        <v/>
      </c>
    </row>
    <row r="400" spans="1:2" x14ac:dyDescent="0.2">
      <c r="A400" t="str">
        <f>IFERROR(IF(ROW(A399)&lt;4,Dashboard!$A$2,IF(COUNTIF($A$3:A399,A399)&lt;COUNTA(Dashboard!$B:$B)-1, A399,IF(OR(A399="",INDEX(Dashboard!$A:$A,MATCH(A399,Dashboard!$A:$A,0)+1)=0),"",INDEX(Dashboard!$A:$A,MATCH(A399,Dashboard!$A:$A,0)+1)))),"")</f>
        <v/>
      </c>
      <c r="B400" t="str">
        <f>IFERROR(IF(A400="","",IF(A400&lt;&gt;A399,Dashboard!$B$2,INDEX(Dashboard!$B:$B,MATCH(Source!B399,Dashboard!$B:$B,0)+1))),"")</f>
        <v/>
      </c>
    </row>
    <row r="401" spans="1:2" x14ac:dyDescent="0.2">
      <c r="A401" t="str">
        <f>IFERROR(IF(ROW(A400)&lt;4,Dashboard!$A$2,IF(COUNTIF($A$3:A400,A400)&lt;COUNTA(Dashboard!$B:$B)-1, A400,IF(OR(A400="",INDEX(Dashboard!$A:$A,MATCH(A400,Dashboard!$A:$A,0)+1)=0),"",INDEX(Dashboard!$A:$A,MATCH(A400,Dashboard!$A:$A,0)+1)))),"")</f>
        <v/>
      </c>
      <c r="B401" t="str">
        <f>IFERROR(IF(A401="","",IF(A401&lt;&gt;A400,Dashboard!$B$2,INDEX(Dashboard!$B:$B,MATCH(Source!B400,Dashboard!$B:$B,0)+1))),"")</f>
        <v/>
      </c>
    </row>
  </sheetData>
  <sheetProtection password="CA83" sheet="1" objects="1" scenarios="1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M31"/>
  <sheetViews>
    <sheetView zoomScale="80" zoomScaleNormal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6.25" defaultRowHeight="37.5" customHeight="1" x14ac:dyDescent="0.2"/>
  <cols>
    <col min="1" max="1" width="15.5" style="12" customWidth="1"/>
    <col min="2" max="5" width="6.25" customWidth="1"/>
    <col min="12" max="105" width="6.25" customWidth="1"/>
  </cols>
  <sheetData>
    <row r="1" spans="1:1001" s="10" customFormat="1" ht="82.5" customHeight="1" x14ac:dyDescent="0.2">
      <c r="A1" s="9" t="s">
        <v>34</v>
      </c>
      <c r="B1" s="10" t="str">
        <f>Source!C1</f>
        <v>Research</v>
      </c>
      <c r="C1" s="10" t="str">
        <f>Source!D1</f>
        <v/>
      </c>
      <c r="D1" s="10" t="str">
        <f>Source!E1</f>
        <v/>
      </c>
      <c r="E1" s="10" t="str">
        <f>Source!F1</f>
        <v/>
      </c>
      <c r="F1" s="10" t="str">
        <f>Source!G1</f>
        <v/>
      </c>
      <c r="G1" s="10" t="str">
        <f>Source!H1</f>
        <v/>
      </c>
      <c r="H1" s="10" t="str">
        <f>Source!I1</f>
        <v/>
      </c>
      <c r="I1" s="10" t="str">
        <f>Source!J1</f>
        <v/>
      </c>
      <c r="J1" s="10" t="str">
        <f>Source!K1</f>
        <v/>
      </c>
      <c r="K1" s="10" t="str">
        <f>Source!L1</f>
        <v/>
      </c>
      <c r="L1" s="10" t="str">
        <f>Source!M1</f>
        <v>Apply</v>
      </c>
      <c r="M1" s="10" t="str">
        <f>Source!N1</f>
        <v/>
      </c>
      <c r="N1" s="10" t="str">
        <f>Source!O1</f>
        <v/>
      </c>
      <c r="O1" s="10" t="str">
        <f>Source!P1</f>
        <v/>
      </c>
      <c r="P1" s="10" t="str">
        <f>Source!Q1</f>
        <v/>
      </c>
      <c r="Q1" s="10" t="str">
        <f>Source!R1</f>
        <v/>
      </c>
      <c r="R1" s="10" t="str">
        <f>Source!S1</f>
        <v/>
      </c>
      <c r="S1" s="10" t="str">
        <f>Source!T1</f>
        <v/>
      </c>
      <c r="T1" s="10" t="str">
        <f>Source!U1</f>
        <v/>
      </c>
      <c r="U1" s="10" t="str">
        <f>Source!V1</f>
        <v/>
      </c>
      <c r="V1" s="10" t="str">
        <f>Source!W1</f>
        <v/>
      </c>
      <c r="W1" s="10" t="str">
        <f>Source!X1</f>
        <v/>
      </c>
      <c r="X1" s="10" t="str">
        <f>Source!Y1</f>
        <v/>
      </c>
      <c r="Y1" s="10" t="str">
        <f>Source!Z1</f>
        <v/>
      </c>
      <c r="Z1" s="10" t="str">
        <f>Source!AA1</f>
        <v/>
      </c>
      <c r="AA1" s="10" t="str">
        <f>Source!AB1</f>
        <v/>
      </c>
      <c r="AB1" s="10" t="str">
        <f>Source!AC1</f>
        <v>Account Onboarding</v>
      </c>
      <c r="AC1" s="10" t="str">
        <f>Source!AD1</f>
        <v/>
      </c>
      <c r="AD1" s="10" t="str">
        <f>Source!AE1</f>
        <v/>
      </c>
      <c r="AE1" s="10" t="str">
        <f>Source!AF1</f>
        <v/>
      </c>
      <c r="AF1" s="10" t="str">
        <f>Source!AG1</f>
        <v/>
      </c>
      <c r="AG1" s="10" t="str">
        <f>Source!AH1</f>
        <v/>
      </c>
      <c r="AH1" s="10" t="str">
        <f>Source!AI1</f>
        <v/>
      </c>
      <c r="AI1" s="10" t="str">
        <f>Source!AJ1</f>
        <v/>
      </c>
      <c r="AJ1" s="10" t="str">
        <f>Source!AK1</f>
        <v/>
      </c>
      <c r="AK1" s="10" t="str">
        <f>Source!AL1</f>
        <v/>
      </c>
      <c r="AL1" s="10" t="str">
        <f>Source!AM1</f>
        <v/>
      </c>
      <c r="AM1" s="10" t="str">
        <f>Source!AN1</f>
        <v/>
      </c>
      <c r="AN1" s="10" t="str">
        <f>Source!AO1</f>
        <v/>
      </c>
      <c r="AO1" s="10" t="str">
        <f>Source!AP1</f>
        <v/>
      </c>
      <c r="AP1" s="10" t="str">
        <f>Source!AQ1</f>
        <v/>
      </c>
      <c r="AQ1" s="10" t="str">
        <f>Source!AR1</f>
        <v/>
      </c>
      <c r="AR1" s="10" t="str">
        <f>Source!AS1</f>
        <v/>
      </c>
      <c r="AS1" s="10" t="str">
        <f>Source!AT1</f>
        <v/>
      </c>
      <c r="AT1" s="10" t="str">
        <f>Source!AU1</f>
        <v/>
      </c>
      <c r="AU1" s="10" t="str">
        <f>Source!AV1</f>
        <v>Usage</v>
      </c>
      <c r="AV1" s="10" t="str">
        <f>Source!AW1</f>
        <v/>
      </c>
      <c r="AW1" s="10" t="str">
        <f>Source!AX1</f>
        <v/>
      </c>
      <c r="AX1" s="10" t="str">
        <f>Source!AY1</f>
        <v/>
      </c>
      <c r="AY1" s="10" t="str">
        <f>Source!AZ1</f>
        <v/>
      </c>
      <c r="AZ1" s="10" t="str">
        <f>Source!BA1</f>
        <v/>
      </c>
      <c r="BA1" s="10" t="str">
        <f>Source!BB1</f>
        <v/>
      </c>
      <c r="BB1" s="10" t="str">
        <f>Source!BC1</f>
        <v/>
      </c>
      <c r="BC1" s="10" t="str">
        <f>Source!BD1</f>
        <v/>
      </c>
      <c r="BD1" s="10" t="str">
        <f>Source!BE1</f>
        <v/>
      </c>
      <c r="BE1" s="10" t="str">
        <f>Source!BF1</f>
        <v/>
      </c>
      <c r="BF1" s="10" t="str">
        <f>Source!BG1</f>
        <v/>
      </c>
      <c r="BG1" s="10" t="str">
        <f>Source!BH1</f>
        <v/>
      </c>
      <c r="BH1" s="10" t="str">
        <f>Source!BI1</f>
        <v/>
      </c>
      <c r="BI1" s="10" t="str">
        <f>Source!BJ1</f>
        <v/>
      </c>
      <c r="BJ1" s="10" t="str">
        <f>Source!BK1</f>
        <v/>
      </c>
      <c r="BK1" s="10" t="str">
        <f>Source!BL1</f>
        <v/>
      </c>
      <c r="BL1" s="10" t="str">
        <f>Source!BM1</f>
        <v/>
      </c>
      <c r="BM1" s="10" t="str">
        <f>Source!BN1</f>
        <v/>
      </c>
      <c r="BN1" s="10" t="str">
        <f>Source!BO1</f>
        <v>Maintenance/Servicing</v>
      </c>
      <c r="BO1" s="10" t="str">
        <f>Source!BP1</f>
        <v/>
      </c>
      <c r="BP1" s="10" t="str">
        <f>Source!BQ1</f>
        <v/>
      </c>
      <c r="BQ1" s="10" t="str">
        <f>Source!BR1</f>
        <v/>
      </c>
      <c r="BR1" s="10" t="str">
        <f>Source!BS1</f>
        <v/>
      </c>
      <c r="BS1" s="10" t="str">
        <f>Source!BT1</f>
        <v/>
      </c>
      <c r="BT1" s="10" t="str">
        <f>Source!BU1</f>
        <v/>
      </c>
      <c r="BU1" s="10" t="str">
        <f>Source!BV1</f>
        <v/>
      </c>
      <c r="BV1" s="10" t="str">
        <f>Source!BW1</f>
        <v/>
      </c>
      <c r="BW1" s="10" t="str">
        <f>Source!BX1</f>
        <v/>
      </c>
      <c r="BX1" s="10" t="str">
        <f>Source!BY1</f>
        <v/>
      </c>
      <c r="BY1" s="10" t="str">
        <f>Source!BZ1</f>
        <v/>
      </c>
      <c r="BZ1" s="10" t="str">
        <f>Source!CA1</f>
        <v/>
      </c>
      <c r="CA1" s="10" t="str">
        <f>Source!CB1</f>
        <v/>
      </c>
      <c r="CB1" s="10" t="str">
        <f>Source!CC1</f>
        <v/>
      </c>
      <c r="CC1" s="10" t="str">
        <f>Source!CD1</f>
        <v/>
      </c>
      <c r="CD1" s="10" t="str">
        <f>Source!CE1</f>
        <v/>
      </c>
      <c r="CE1" s="10" t="str">
        <f>Source!CF1</f>
        <v/>
      </c>
      <c r="CF1" s="10" t="str">
        <f>Source!CG1</f>
        <v/>
      </c>
      <c r="CG1" s="10" t="str">
        <f>Source!CH1</f>
        <v/>
      </c>
      <c r="CH1" s="10" t="str">
        <f>Source!CI1</f>
        <v/>
      </c>
      <c r="CI1" s="10" t="str">
        <f>Source!CJ1</f>
        <v/>
      </c>
      <c r="CJ1" s="10" t="str">
        <f>Source!CK1</f>
        <v/>
      </c>
      <c r="CK1" s="10" t="str">
        <f>Source!CL1</f>
        <v/>
      </c>
      <c r="CL1" s="10" t="str">
        <f>Source!CM1</f>
        <v/>
      </c>
      <c r="CM1" s="10" t="str">
        <f>Source!CN1</f>
        <v/>
      </c>
      <c r="CN1" s="10" t="str">
        <f>Source!CO1</f>
        <v/>
      </c>
      <c r="CO1" s="10" t="str">
        <f>Source!CP1</f>
        <v/>
      </c>
      <c r="CP1" s="10" t="str">
        <f>Source!CQ1</f>
        <v/>
      </c>
      <c r="CQ1" s="10" t="str">
        <f>Source!CR1</f>
        <v/>
      </c>
      <c r="CR1" s="10" t="str">
        <f>Source!CS1</f>
        <v/>
      </c>
      <c r="CS1" s="10" t="str">
        <f>Source!CT1</f>
        <v/>
      </c>
      <c r="CT1" s="10" t="str">
        <f>Source!CU1</f>
        <v/>
      </c>
      <c r="CU1" s="10" t="str">
        <f>Source!CV1</f>
        <v>Close Account</v>
      </c>
      <c r="CV1" s="10" t="str">
        <f>Source!CW1</f>
        <v/>
      </c>
      <c r="CW1" s="10" t="str">
        <f>Source!CX1</f>
        <v/>
      </c>
      <c r="CX1" s="10" t="str">
        <f>Source!CY1</f>
        <v/>
      </c>
      <c r="CY1" s="10" t="str">
        <f>Source!CZ1</f>
        <v/>
      </c>
      <c r="CZ1" s="10" t="str">
        <f>Source!DA1</f>
        <v/>
      </c>
      <c r="DA1" s="10" t="str">
        <f>Source!DB1</f>
        <v/>
      </c>
      <c r="DB1" s="10" t="str">
        <f>Source!DC1</f>
        <v/>
      </c>
      <c r="DC1" s="10" t="str">
        <f>Source!DD1</f>
        <v/>
      </c>
      <c r="DD1" s="10" t="str">
        <f>Source!DE1</f>
        <v/>
      </c>
      <c r="DE1" s="10" t="str">
        <f>Source!DF1</f>
        <v/>
      </c>
      <c r="DF1" s="10" t="str">
        <f>Source!DG1</f>
        <v/>
      </c>
      <c r="DG1" s="10" t="str">
        <f>Source!DH1</f>
        <v/>
      </c>
      <c r="DH1" s="10" t="str">
        <f>Source!DI1</f>
        <v/>
      </c>
      <c r="DI1" s="10" t="str">
        <f>Source!DJ1</f>
        <v/>
      </c>
      <c r="DJ1" s="10" t="str">
        <f>Source!DK1</f>
        <v/>
      </c>
      <c r="DK1" s="10" t="str">
        <f>Source!DL1</f>
        <v/>
      </c>
      <c r="DL1" s="10" t="str">
        <f>Source!DM1</f>
        <v/>
      </c>
      <c r="DM1" s="10" t="str">
        <f>Source!DN1</f>
        <v/>
      </c>
      <c r="DN1" s="10" t="str">
        <f>Source!DO1</f>
        <v/>
      </c>
      <c r="DO1" s="10" t="str">
        <f>Source!DP1</f>
        <v/>
      </c>
      <c r="DP1" s="10" t="str">
        <f>Source!DQ1</f>
        <v/>
      </c>
      <c r="DQ1" s="10" t="str">
        <f>Source!DR1</f>
        <v/>
      </c>
      <c r="DR1" s="10" t="str">
        <f>Source!DS1</f>
        <v/>
      </c>
      <c r="DS1" s="10" t="str">
        <f>Source!DT1</f>
        <v/>
      </c>
      <c r="DT1" s="10" t="str">
        <f>Source!DU1</f>
        <v/>
      </c>
      <c r="DU1" s="10" t="str">
        <f>Source!DV1</f>
        <v/>
      </c>
      <c r="DV1" s="10" t="str">
        <f>Source!DW1</f>
        <v/>
      </c>
      <c r="DW1" s="10" t="str">
        <f>Source!DX1</f>
        <v/>
      </c>
      <c r="DX1" s="10" t="str">
        <f>Source!DY1</f>
        <v/>
      </c>
      <c r="DY1" s="10" t="str">
        <f>Source!DZ1</f>
        <v/>
      </c>
      <c r="DZ1" s="10" t="str">
        <f>Source!EA1</f>
        <v/>
      </c>
      <c r="EA1" s="10" t="str">
        <f>Source!EB1</f>
        <v/>
      </c>
      <c r="EB1" s="10" t="str">
        <f>Source!EC1</f>
        <v/>
      </c>
      <c r="EC1" s="10" t="str">
        <f>Source!ED1</f>
        <v/>
      </c>
      <c r="ED1" s="10" t="str">
        <f>Source!EE1</f>
        <v/>
      </c>
      <c r="EE1" s="10" t="str">
        <f>Source!EF1</f>
        <v/>
      </c>
      <c r="EF1" s="10" t="str">
        <f>Source!EG1</f>
        <v/>
      </c>
      <c r="EG1" s="10" t="str">
        <f>Source!EH1</f>
        <v/>
      </c>
      <c r="EH1" s="10" t="str">
        <f>Source!EI1</f>
        <v/>
      </c>
      <c r="EI1" s="10" t="str">
        <f>Source!EJ1</f>
        <v/>
      </c>
      <c r="EJ1" s="10" t="str">
        <f>Source!EK1</f>
        <v/>
      </c>
      <c r="EK1" s="10" t="str">
        <f>Source!EL1</f>
        <v/>
      </c>
      <c r="EL1" s="10" t="str">
        <f>Source!EM1</f>
        <v/>
      </c>
      <c r="EM1" s="10" t="str">
        <f>Source!EN1</f>
        <v/>
      </c>
      <c r="EN1" s="10" t="str">
        <f>Source!EO1</f>
        <v/>
      </c>
      <c r="EO1" s="10" t="str">
        <f>Source!EP1</f>
        <v/>
      </c>
      <c r="EP1" s="10" t="str">
        <f>Source!EQ1</f>
        <v/>
      </c>
      <c r="EQ1" s="10" t="str">
        <f>Source!ER1</f>
        <v/>
      </c>
      <c r="ER1" s="10" t="str">
        <f>Source!ES1</f>
        <v/>
      </c>
      <c r="ES1" s="10" t="str">
        <f>Source!ET1</f>
        <v/>
      </c>
      <c r="ET1" s="10" t="str">
        <f>Source!EU1</f>
        <v/>
      </c>
      <c r="EU1" s="10" t="str">
        <f>Source!EV1</f>
        <v/>
      </c>
      <c r="EV1" s="10" t="str">
        <f>Source!EW1</f>
        <v/>
      </c>
      <c r="EW1" s="10" t="str">
        <f>Source!EX1</f>
        <v/>
      </c>
      <c r="EX1" s="10" t="str">
        <f>Source!EY1</f>
        <v/>
      </c>
      <c r="EY1" s="10" t="str">
        <f>Source!EZ1</f>
        <v/>
      </c>
      <c r="EZ1" s="10" t="str">
        <f>Source!FA1</f>
        <v/>
      </c>
      <c r="FA1" s="10" t="str">
        <f>Source!FB1</f>
        <v/>
      </c>
      <c r="FB1" s="10" t="str">
        <f>Source!FC1</f>
        <v/>
      </c>
      <c r="FC1" s="10" t="str">
        <f>Source!FD1</f>
        <v/>
      </c>
      <c r="FD1" s="10" t="str">
        <f>Source!FE1</f>
        <v/>
      </c>
      <c r="FE1" s="10" t="str">
        <f>Source!FF1</f>
        <v/>
      </c>
      <c r="FF1" s="10" t="str">
        <f>Source!FG1</f>
        <v/>
      </c>
      <c r="FG1" s="10" t="str">
        <f>Source!FH1</f>
        <v/>
      </c>
      <c r="FH1" s="10" t="str">
        <f>Source!FI1</f>
        <v/>
      </c>
      <c r="FI1" s="10" t="str">
        <f>Source!FJ1</f>
        <v/>
      </c>
      <c r="FJ1" s="10" t="str">
        <f>Source!FK1</f>
        <v/>
      </c>
      <c r="FK1" s="10" t="str">
        <f>Source!FL1</f>
        <v/>
      </c>
      <c r="FL1" s="10" t="str">
        <f>Source!FM1</f>
        <v/>
      </c>
      <c r="FM1" s="10" t="str">
        <f>Source!FN1</f>
        <v/>
      </c>
      <c r="FN1" s="10" t="str">
        <f>Source!FO1</f>
        <v/>
      </c>
      <c r="FO1" s="10" t="str">
        <f>Source!FP1</f>
        <v/>
      </c>
      <c r="FP1" s="10" t="str">
        <f>Source!FQ1</f>
        <v/>
      </c>
      <c r="FQ1" s="10" t="str">
        <f>Source!FR1</f>
        <v/>
      </c>
      <c r="FR1" s="10" t="str">
        <f>Source!FS1</f>
        <v/>
      </c>
      <c r="FS1" s="10" t="str">
        <f>Source!FT1</f>
        <v/>
      </c>
      <c r="FT1" s="10" t="str">
        <f>Source!FU1</f>
        <v/>
      </c>
      <c r="FU1" s="10" t="str">
        <f>Source!FV1</f>
        <v/>
      </c>
      <c r="FV1" s="10" t="str">
        <f>Source!FW1</f>
        <v/>
      </c>
      <c r="FW1" s="10" t="str">
        <f>Source!FX1</f>
        <v/>
      </c>
      <c r="FX1" s="10" t="str">
        <f>Source!FY1</f>
        <v/>
      </c>
      <c r="FY1" s="10" t="str">
        <f>Source!FZ1</f>
        <v/>
      </c>
      <c r="FZ1" s="10" t="str">
        <f>Source!GA1</f>
        <v/>
      </c>
      <c r="GA1" s="10" t="str">
        <f>Source!GB1</f>
        <v/>
      </c>
      <c r="GB1" s="10" t="str">
        <f>Source!GC1</f>
        <v/>
      </c>
      <c r="GC1" s="10" t="str">
        <f>Source!GD1</f>
        <v/>
      </c>
      <c r="GD1" s="10" t="str">
        <f>Source!GE1</f>
        <v/>
      </c>
      <c r="GE1" s="10" t="str">
        <f>Source!GF1</f>
        <v/>
      </c>
      <c r="GF1" s="10" t="str">
        <f>Source!GG1</f>
        <v/>
      </c>
      <c r="GG1" s="10" t="str">
        <f>Source!GH1</f>
        <v/>
      </c>
      <c r="GH1" s="10" t="str">
        <f>Source!GI1</f>
        <v/>
      </c>
      <c r="GI1" s="10" t="str">
        <f>Source!GJ1</f>
        <v/>
      </c>
      <c r="GJ1" s="10" t="str">
        <f>Source!GK1</f>
        <v/>
      </c>
      <c r="GK1" s="10" t="str">
        <f>Source!GL1</f>
        <v/>
      </c>
      <c r="GL1" s="10" t="str">
        <f>Source!GM1</f>
        <v/>
      </c>
      <c r="GM1" s="10" t="str">
        <f>Source!GN1</f>
        <v/>
      </c>
      <c r="GN1" s="10" t="str">
        <f>Source!GO1</f>
        <v/>
      </c>
      <c r="GO1" s="10" t="str">
        <f>Source!GP1</f>
        <v/>
      </c>
      <c r="GP1" s="10" t="str">
        <f>Source!GQ1</f>
        <v/>
      </c>
      <c r="GQ1" s="10" t="str">
        <f>Source!GR1</f>
        <v/>
      </c>
      <c r="GR1" s="10" t="str">
        <f>Source!GS1</f>
        <v/>
      </c>
      <c r="GS1" s="10" t="str">
        <f>Source!GT1</f>
        <v/>
      </c>
      <c r="GT1" s="10" t="str">
        <f>Source!GU1</f>
        <v/>
      </c>
      <c r="GU1" s="10" t="str">
        <f>Source!GV1</f>
        <v/>
      </c>
      <c r="GV1" s="10" t="str">
        <f>Source!GW1</f>
        <v/>
      </c>
      <c r="GW1" s="10" t="str">
        <f>Source!GX1</f>
        <v/>
      </c>
      <c r="GX1" s="10" t="str">
        <f>Source!GY1</f>
        <v/>
      </c>
      <c r="GY1" s="10" t="str">
        <f>Source!GZ1</f>
        <v/>
      </c>
      <c r="GZ1" s="10" t="str">
        <f>Source!HA1</f>
        <v/>
      </c>
      <c r="HA1" s="10" t="str">
        <f>Source!HB1</f>
        <v/>
      </c>
      <c r="HB1" s="10" t="str">
        <f>Source!HC1</f>
        <v/>
      </c>
      <c r="HC1" s="10" t="str">
        <f>Source!HD1</f>
        <v/>
      </c>
      <c r="HD1" s="10" t="str">
        <f>Source!HE1</f>
        <v/>
      </c>
      <c r="HE1" s="10" t="str">
        <f>Source!HF1</f>
        <v/>
      </c>
      <c r="HF1" s="10" t="str">
        <f>Source!HG1</f>
        <v/>
      </c>
      <c r="HG1" s="10" t="str">
        <f>Source!HH1</f>
        <v/>
      </c>
      <c r="HH1" s="10" t="str">
        <f>Source!HI1</f>
        <v/>
      </c>
      <c r="HI1" s="10" t="str">
        <f>Source!HJ1</f>
        <v/>
      </c>
      <c r="HJ1" s="10" t="str">
        <f>Source!HK1</f>
        <v/>
      </c>
      <c r="HK1" s="10" t="str">
        <f>Source!HL1</f>
        <v/>
      </c>
      <c r="HL1" s="10" t="str">
        <f>Source!HM1</f>
        <v/>
      </c>
      <c r="HM1" s="10" t="str">
        <f>Source!HN1</f>
        <v/>
      </c>
      <c r="HN1" s="10" t="str">
        <f>Source!HO1</f>
        <v/>
      </c>
      <c r="HO1" s="10" t="str">
        <f>Source!HP1</f>
        <v/>
      </c>
      <c r="HP1" s="10" t="str">
        <f>Source!HQ1</f>
        <v/>
      </c>
      <c r="HQ1" s="10" t="str">
        <f>Source!HR1</f>
        <v/>
      </c>
      <c r="HR1" s="10" t="str">
        <f>Source!HS1</f>
        <v/>
      </c>
      <c r="HS1" s="10" t="str">
        <f>Source!HT1</f>
        <v/>
      </c>
      <c r="HT1" s="10" t="str">
        <f>Source!HU1</f>
        <v/>
      </c>
      <c r="HU1" s="10" t="str">
        <f>Source!HV1</f>
        <v/>
      </c>
      <c r="HV1" s="10" t="str">
        <f>Source!HW1</f>
        <v/>
      </c>
      <c r="HW1" s="10" t="str">
        <f>Source!HX1</f>
        <v/>
      </c>
      <c r="HX1" s="10" t="str">
        <f>Source!HY1</f>
        <v/>
      </c>
      <c r="HY1" s="10" t="str">
        <f>Source!HZ1</f>
        <v/>
      </c>
      <c r="HZ1" s="10" t="str">
        <f>Source!IA1</f>
        <v/>
      </c>
      <c r="IA1" s="10" t="str">
        <f>Source!IB1</f>
        <v/>
      </c>
      <c r="IB1" s="10" t="str">
        <f>Source!IC1</f>
        <v/>
      </c>
      <c r="IC1" s="10" t="str">
        <f>Source!ID1</f>
        <v/>
      </c>
      <c r="ID1" s="10" t="str">
        <f>Source!IE1</f>
        <v/>
      </c>
      <c r="IE1" s="10" t="str">
        <f>Source!IF1</f>
        <v/>
      </c>
      <c r="IF1" s="10" t="str">
        <f>Source!IG1</f>
        <v/>
      </c>
      <c r="IG1" s="10" t="str">
        <f>Source!IH1</f>
        <v/>
      </c>
      <c r="IH1" s="10" t="str">
        <f>Source!II1</f>
        <v/>
      </c>
      <c r="II1" s="10" t="str">
        <f>Source!IJ1</f>
        <v/>
      </c>
      <c r="IJ1" s="10" t="str">
        <f>Source!IK1</f>
        <v/>
      </c>
      <c r="IK1" s="10" t="str">
        <f>Source!IL1</f>
        <v/>
      </c>
      <c r="IL1" s="10" t="str">
        <f>Source!IM1</f>
        <v/>
      </c>
      <c r="IM1" s="10" t="str">
        <f>Source!IN1</f>
        <v/>
      </c>
      <c r="IN1" s="10" t="str">
        <f>Source!IO1</f>
        <v/>
      </c>
      <c r="IO1" s="10" t="str">
        <f>Source!IP1</f>
        <v/>
      </c>
      <c r="IP1" s="10" t="str">
        <f>Source!IQ1</f>
        <v/>
      </c>
      <c r="IQ1" s="10" t="str">
        <f>Source!IR1</f>
        <v/>
      </c>
      <c r="IR1" s="10" t="str">
        <f>Source!IS1</f>
        <v/>
      </c>
      <c r="IS1" s="10" t="str">
        <f>Source!IT1</f>
        <v/>
      </c>
      <c r="IT1" s="10" t="str">
        <f>Source!IU1</f>
        <v/>
      </c>
      <c r="IU1" s="10" t="str">
        <f>Source!IV1</f>
        <v/>
      </c>
      <c r="IV1" s="10" t="str">
        <f>Source!IW1</f>
        <v/>
      </c>
      <c r="IW1" s="10" t="str">
        <f>Source!IX1</f>
        <v/>
      </c>
      <c r="IX1" s="10" t="str">
        <f>Source!IY1</f>
        <v/>
      </c>
      <c r="IY1" s="10" t="str">
        <f>Source!IZ1</f>
        <v/>
      </c>
      <c r="IZ1" s="10" t="str">
        <f>Source!JA1</f>
        <v/>
      </c>
      <c r="JA1" s="10" t="str">
        <f>Source!JB1</f>
        <v/>
      </c>
      <c r="JB1" s="10" t="str">
        <f>Source!JC1</f>
        <v/>
      </c>
      <c r="JC1" s="10" t="str">
        <f>Source!JD1</f>
        <v/>
      </c>
      <c r="JD1" s="10" t="str">
        <f>Source!JE1</f>
        <v/>
      </c>
      <c r="JE1" s="10" t="str">
        <f>Source!JF1</f>
        <v/>
      </c>
      <c r="JF1" s="10" t="str">
        <f>Source!JG1</f>
        <v/>
      </c>
      <c r="JG1" s="10" t="str">
        <f>Source!JH1</f>
        <v/>
      </c>
      <c r="JH1" s="10" t="str">
        <f>Source!JI1</f>
        <v/>
      </c>
      <c r="JI1" s="10" t="str">
        <f>Source!JJ1</f>
        <v/>
      </c>
      <c r="JJ1" s="10" t="str">
        <f>Source!JK1</f>
        <v/>
      </c>
      <c r="JK1" s="10" t="str">
        <f>Source!JL1</f>
        <v/>
      </c>
      <c r="JL1" s="10" t="str">
        <f>Source!JM1</f>
        <v/>
      </c>
      <c r="JM1" s="10" t="str">
        <f>Source!JN1</f>
        <v/>
      </c>
      <c r="JN1" s="10" t="str">
        <f>Source!JO1</f>
        <v/>
      </c>
      <c r="JO1" s="10" t="str">
        <f>Source!JP1</f>
        <v/>
      </c>
      <c r="JP1" s="10" t="str">
        <f>Source!JQ1</f>
        <v/>
      </c>
      <c r="JQ1" s="10" t="str">
        <f>Source!JR1</f>
        <v/>
      </c>
      <c r="JR1" s="10" t="str">
        <f>Source!JS1</f>
        <v/>
      </c>
      <c r="JS1" s="10" t="str">
        <f>Source!JT1</f>
        <v/>
      </c>
      <c r="JT1" s="10" t="str">
        <f>Source!JU1</f>
        <v/>
      </c>
      <c r="JU1" s="10" t="str">
        <f>Source!JV1</f>
        <v/>
      </c>
      <c r="JV1" s="10" t="str">
        <f>Source!JW1</f>
        <v/>
      </c>
      <c r="JW1" s="10" t="str">
        <f>Source!JX1</f>
        <v/>
      </c>
      <c r="JX1" s="10" t="str">
        <f>Source!JY1</f>
        <v/>
      </c>
      <c r="JY1" s="10" t="str">
        <f>Source!JZ1</f>
        <v/>
      </c>
      <c r="JZ1" s="10" t="str">
        <f>Source!KA1</f>
        <v/>
      </c>
      <c r="KA1" s="10" t="str">
        <f>Source!KB1</f>
        <v/>
      </c>
      <c r="KB1" s="10" t="str">
        <f>Source!KC1</f>
        <v/>
      </c>
      <c r="KC1" s="10" t="str">
        <f>Source!KD1</f>
        <v/>
      </c>
      <c r="KD1" s="10" t="str">
        <f>Source!KE1</f>
        <v/>
      </c>
      <c r="KE1" s="10" t="str">
        <f>Source!KF1</f>
        <v/>
      </c>
      <c r="KF1" s="10" t="str">
        <f>Source!KG1</f>
        <v/>
      </c>
      <c r="KG1" s="10" t="str">
        <f>Source!KH1</f>
        <v/>
      </c>
      <c r="KH1" s="10" t="str">
        <f>Source!KI1</f>
        <v/>
      </c>
      <c r="KI1" s="10" t="str">
        <f>Source!KJ1</f>
        <v/>
      </c>
      <c r="KJ1" s="10" t="str">
        <f>Source!KK1</f>
        <v/>
      </c>
      <c r="KK1" s="10" t="str">
        <f>Source!KL1</f>
        <v/>
      </c>
      <c r="KL1" s="10" t="str">
        <f>Source!KM1</f>
        <v/>
      </c>
      <c r="KM1" s="10" t="str">
        <f>Source!KN1</f>
        <v/>
      </c>
      <c r="KN1" s="10" t="str">
        <f>Source!KO1</f>
        <v/>
      </c>
      <c r="KO1" s="10" t="str">
        <f>Source!KP1</f>
        <v/>
      </c>
      <c r="KP1" s="10" t="str">
        <f>Source!KQ1</f>
        <v/>
      </c>
      <c r="KQ1" s="10" t="str">
        <f>Source!KR1</f>
        <v/>
      </c>
      <c r="KR1" s="10" t="str">
        <f>Source!KS1</f>
        <v/>
      </c>
      <c r="KS1" s="10" t="str">
        <f>Source!KT1</f>
        <v/>
      </c>
      <c r="KT1" s="10" t="str">
        <f>Source!KU1</f>
        <v/>
      </c>
      <c r="KU1" s="10" t="str">
        <f>Source!KV1</f>
        <v/>
      </c>
      <c r="KV1" s="10" t="str">
        <f>Source!KW1</f>
        <v/>
      </c>
      <c r="KW1" s="10" t="str">
        <f>Source!KX1</f>
        <v/>
      </c>
      <c r="KX1" s="10" t="str">
        <f>Source!KY1</f>
        <v/>
      </c>
      <c r="KY1" s="10" t="str">
        <f>Source!KZ1</f>
        <v/>
      </c>
      <c r="KZ1" s="10" t="str">
        <f>Source!LA1</f>
        <v/>
      </c>
      <c r="LA1" s="10" t="str">
        <f>Source!LB1</f>
        <v/>
      </c>
      <c r="LB1" s="10" t="str">
        <f>Source!LC1</f>
        <v/>
      </c>
      <c r="LC1" s="10" t="str">
        <f>Source!LD1</f>
        <v/>
      </c>
      <c r="LD1" s="10" t="str">
        <f>Source!LE1</f>
        <v/>
      </c>
      <c r="LE1" s="10" t="str">
        <f>Source!LF1</f>
        <v/>
      </c>
      <c r="LF1" s="10" t="str">
        <f>Source!LG1</f>
        <v/>
      </c>
      <c r="LG1" s="10" t="str">
        <f>Source!LH1</f>
        <v/>
      </c>
      <c r="LH1" s="10" t="str">
        <f>Source!LI1</f>
        <v/>
      </c>
      <c r="LI1" s="10" t="str">
        <f>Source!LJ1</f>
        <v/>
      </c>
      <c r="LJ1" s="10" t="str">
        <f>Source!LK1</f>
        <v/>
      </c>
      <c r="LK1" s="10" t="str">
        <f>Source!LL1</f>
        <v/>
      </c>
      <c r="LL1" s="10" t="str">
        <f>Source!LM1</f>
        <v/>
      </c>
      <c r="LM1" s="10" t="str">
        <f>Source!LN1</f>
        <v/>
      </c>
      <c r="LN1" s="10" t="str">
        <f>Source!LO1</f>
        <v/>
      </c>
      <c r="LO1" s="10" t="str">
        <f>Source!LP1</f>
        <v/>
      </c>
      <c r="LP1" s="10" t="str">
        <f>Source!LQ1</f>
        <v/>
      </c>
      <c r="LQ1" s="10" t="str">
        <f>Source!LR1</f>
        <v/>
      </c>
      <c r="LR1" s="10" t="str">
        <f>Source!LS1</f>
        <v/>
      </c>
      <c r="LS1" s="10" t="str">
        <f>Source!LT1</f>
        <v/>
      </c>
      <c r="LT1" s="10" t="str">
        <f>Source!LU1</f>
        <v/>
      </c>
      <c r="LU1" s="10" t="str">
        <f>Source!LV1</f>
        <v/>
      </c>
      <c r="LV1" s="10" t="str">
        <f>Source!LW1</f>
        <v/>
      </c>
      <c r="LW1" s="10" t="str">
        <f>Source!LX1</f>
        <v/>
      </c>
      <c r="LX1" s="10" t="str">
        <f>Source!LY1</f>
        <v/>
      </c>
      <c r="LY1" s="10" t="str">
        <f>Source!LZ1</f>
        <v/>
      </c>
      <c r="LZ1" s="10" t="str">
        <f>Source!MA1</f>
        <v/>
      </c>
      <c r="MA1" s="10" t="str">
        <f>Source!MB1</f>
        <v/>
      </c>
      <c r="MB1" s="10" t="str">
        <f>Source!MC1</f>
        <v/>
      </c>
      <c r="MC1" s="10" t="str">
        <f>Source!MD1</f>
        <v/>
      </c>
      <c r="MD1" s="10" t="str">
        <f>Source!ME1</f>
        <v/>
      </c>
      <c r="ME1" s="10" t="str">
        <f>Source!MF1</f>
        <v/>
      </c>
      <c r="MF1" s="10" t="str">
        <f>Source!MG1</f>
        <v/>
      </c>
      <c r="MG1" s="10" t="str">
        <f>Source!MH1</f>
        <v/>
      </c>
      <c r="MH1" s="10" t="str">
        <f>Source!MI1</f>
        <v/>
      </c>
      <c r="MI1" s="10" t="str">
        <f>Source!MJ1</f>
        <v/>
      </c>
      <c r="MJ1" s="10" t="str">
        <f>Source!MK1</f>
        <v/>
      </c>
      <c r="MK1" s="10" t="str">
        <f>Source!ML1</f>
        <v/>
      </c>
      <c r="ML1" s="10" t="str">
        <f>Source!MM1</f>
        <v/>
      </c>
      <c r="MM1" s="10" t="str">
        <f>Source!MN1</f>
        <v/>
      </c>
      <c r="MN1" s="10" t="str">
        <f>Source!MO1</f>
        <v/>
      </c>
      <c r="MO1" s="10" t="str">
        <f>Source!MP1</f>
        <v/>
      </c>
      <c r="MP1" s="10" t="str">
        <f>Source!MQ1</f>
        <v/>
      </c>
      <c r="MQ1" s="10" t="str">
        <f>Source!MR1</f>
        <v/>
      </c>
      <c r="MR1" s="10" t="str">
        <f>Source!MS1</f>
        <v/>
      </c>
      <c r="MS1" s="10" t="str">
        <f>Source!MT1</f>
        <v/>
      </c>
      <c r="MT1" s="10" t="str">
        <f>Source!MU1</f>
        <v/>
      </c>
      <c r="MU1" s="10" t="str">
        <f>Source!MV1</f>
        <v/>
      </c>
      <c r="MV1" s="10" t="str">
        <f>Source!MW1</f>
        <v/>
      </c>
      <c r="MW1" s="10" t="str">
        <f>Source!MX1</f>
        <v/>
      </c>
      <c r="MX1" s="10" t="str">
        <f>Source!MY1</f>
        <v/>
      </c>
      <c r="MY1" s="10" t="str">
        <f>Source!MZ1</f>
        <v/>
      </c>
      <c r="MZ1" s="10" t="str">
        <f>Source!NA1</f>
        <v/>
      </c>
      <c r="NA1" s="10" t="str">
        <f>Source!NB1</f>
        <v/>
      </c>
      <c r="NB1" s="10" t="str">
        <f>Source!NC1</f>
        <v/>
      </c>
      <c r="NC1" s="10" t="str">
        <f>Source!ND1</f>
        <v/>
      </c>
      <c r="ND1" s="10" t="str">
        <f>Source!NE1</f>
        <v/>
      </c>
      <c r="NE1" s="10" t="str">
        <f>Source!NF1</f>
        <v/>
      </c>
      <c r="NF1" s="10" t="str">
        <f>Source!NG1</f>
        <v/>
      </c>
      <c r="NG1" s="10" t="str">
        <f>Source!NH1</f>
        <v/>
      </c>
      <c r="NH1" s="10" t="str">
        <f>Source!NI1</f>
        <v/>
      </c>
      <c r="NI1" s="10" t="str">
        <f>Source!NJ1</f>
        <v/>
      </c>
      <c r="NJ1" s="10" t="str">
        <f>Source!NK1</f>
        <v/>
      </c>
      <c r="NK1" s="10" t="str">
        <f>Source!NL1</f>
        <v/>
      </c>
      <c r="NL1" s="10" t="str">
        <f>Source!NM1</f>
        <v/>
      </c>
      <c r="NM1" s="10" t="str">
        <f>Source!NN1</f>
        <v/>
      </c>
      <c r="NN1" s="10" t="str">
        <f>Source!NO1</f>
        <v/>
      </c>
      <c r="NO1" s="10" t="str">
        <f>Source!NP1</f>
        <v/>
      </c>
      <c r="NP1" s="10" t="str">
        <f>Source!NQ1</f>
        <v/>
      </c>
      <c r="NQ1" s="10" t="str">
        <f>Source!NR1</f>
        <v/>
      </c>
      <c r="NR1" s="10" t="str">
        <f>Source!NS1</f>
        <v/>
      </c>
      <c r="NS1" s="10" t="str">
        <f>Source!NT1</f>
        <v/>
      </c>
      <c r="NT1" s="10" t="str">
        <f>Source!NU1</f>
        <v/>
      </c>
      <c r="NU1" s="10" t="str">
        <f>Source!NV1</f>
        <v/>
      </c>
      <c r="NV1" s="10" t="str">
        <f>Source!NW1</f>
        <v/>
      </c>
      <c r="NW1" s="10" t="str">
        <f>Source!NX1</f>
        <v/>
      </c>
      <c r="NX1" s="10" t="str">
        <f>Source!NY1</f>
        <v/>
      </c>
      <c r="NY1" s="10" t="str">
        <f>Source!NZ1</f>
        <v/>
      </c>
      <c r="NZ1" s="10" t="str">
        <f>Source!OA1</f>
        <v/>
      </c>
      <c r="OA1" s="10" t="str">
        <f>Source!OB1</f>
        <v/>
      </c>
      <c r="OB1" s="10" t="str">
        <f>Source!OC1</f>
        <v/>
      </c>
      <c r="OC1" s="10" t="str">
        <f>Source!OD1</f>
        <v/>
      </c>
      <c r="OD1" s="10" t="str">
        <f>Source!OE1</f>
        <v/>
      </c>
      <c r="OE1" s="10" t="str">
        <f>Source!OF1</f>
        <v/>
      </c>
      <c r="OF1" s="10" t="str">
        <f>Source!OG1</f>
        <v/>
      </c>
      <c r="OG1" s="10" t="str">
        <f>Source!OH1</f>
        <v/>
      </c>
      <c r="OH1" s="10" t="str">
        <f>Source!OI1</f>
        <v/>
      </c>
      <c r="OI1" s="10" t="str">
        <f>Source!OJ1</f>
        <v/>
      </c>
      <c r="OJ1" s="10" t="str">
        <f>Source!OK1</f>
        <v/>
      </c>
      <c r="OK1" s="10" t="str">
        <f>Source!OL1</f>
        <v/>
      </c>
      <c r="OL1" s="10" t="str">
        <f>Source!OM1</f>
        <v/>
      </c>
      <c r="OM1" s="10" t="str">
        <f>Source!ON1</f>
        <v/>
      </c>
      <c r="ON1" s="10" t="str">
        <f>Source!OO1</f>
        <v/>
      </c>
      <c r="OO1" s="10" t="str">
        <f>Source!OP1</f>
        <v/>
      </c>
      <c r="OP1" s="10" t="str">
        <f>Source!OQ1</f>
        <v/>
      </c>
      <c r="OQ1" s="10" t="str">
        <f>Source!OR1</f>
        <v/>
      </c>
      <c r="OR1" s="10" t="str">
        <f>Source!OS1</f>
        <v/>
      </c>
      <c r="OS1" s="10" t="str">
        <f>Source!OT1</f>
        <v/>
      </c>
      <c r="OT1" s="10" t="str">
        <f>Source!OU1</f>
        <v/>
      </c>
      <c r="OU1" s="10" t="str">
        <f>Source!OV1</f>
        <v/>
      </c>
      <c r="OV1" s="10" t="str">
        <f>Source!OW1</f>
        <v/>
      </c>
      <c r="OW1" s="10" t="str">
        <f>Source!OX1</f>
        <v/>
      </c>
      <c r="OX1" s="10" t="str">
        <f>Source!OY1</f>
        <v/>
      </c>
      <c r="OY1" s="10" t="str">
        <f>Source!OZ1</f>
        <v/>
      </c>
      <c r="OZ1" s="10" t="str">
        <f>Source!PA1</f>
        <v/>
      </c>
      <c r="PA1" s="10" t="str">
        <f>Source!PB1</f>
        <v/>
      </c>
      <c r="PB1" s="10" t="str">
        <f>Source!PC1</f>
        <v/>
      </c>
      <c r="PC1" s="10" t="str">
        <f>Source!PD1</f>
        <v/>
      </c>
      <c r="PD1" s="10" t="str">
        <f>Source!PE1</f>
        <v/>
      </c>
      <c r="PE1" s="10" t="str">
        <f>Source!PF1</f>
        <v/>
      </c>
      <c r="PF1" s="10" t="str">
        <f>Source!PG1</f>
        <v/>
      </c>
      <c r="PG1" s="10" t="str">
        <f>Source!PH1</f>
        <v/>
      </c>
      <c r="PH1" s="10" t="str">
        <f>Source!PI1</f>
        <v/>
      </c>
      <c r="PI1" s="10" t="str">
        <f>Source!PJ1</f>
        <v/>
      </c>
      <c r="PJ1" s="10" t="str">
        <f>Source!PK1</f>
        <v/>
      </c>
      <c r="PK1" s="10" t="str">
        <f>Source!PL1</f>
        <v/>
      </c>
      <c r="PL1" s="10" t="str">
        <f>Source!PM1</f>
        <v/>
      </c>
      <c r="PM1" s="10" t="str">
        <f>Source!PN1</f>
        <v/>
      </c>
      <c r="PN1" s="10" t="str">
        <f>Source!PO1</f>
        <v/>
      </c>
      <c r="PO1" s="10" t="str">
        <f>Source!PP1</f>
        <v/>
      </c>
      <c r="PP1" s="10" t="str">
        <f>Source!PQ1</f>
        <v/>
      </c>
      <c r="PQ1" s="10" t="str">
        <f>Source!PR1</f>
        <v/>
      </c>
      <c r="PR1" s="10" t="str">
        <f>Source!PS1</f>
        <v/>
      </c>
      <c r="PS1" s="10" t="str">
        <f>Source!PT1</f>
        <v/>
      </c>
      <c r="PT1" s="10" t="str">
        <f>Source!PU1</f>
        <v/>
      </c>
      <c r="PU1" s="10" t="str">
        <f>Source!PV1</f>
        <v/>
      </c>
      <c r="PV1" s="10" t="str">
        <f>Source!PW1</f>
        <v/>
      </c>
      <c r="PW1" s="10" t="str">
        <f>Source!PX1</f>
        <v/>
      </c>
      <c r="PX1" s="10" t="str">
        <f>Source!PY1</f>
        <v/>
      </c>
      <c r="PY1" s="10" t="str">
        <f>Source!PZ1</f>
        <v/>
      </c>
      <c r="PZ1" s="10" t="str">
        <f>Source!QA1</f>
        <v/>
      </c>
      <c r="QA1" s="10" t="str">
        <f>Source!QB1</f>
        <v/>
      </c>
      <c r="QB1" s="10" t="str">
        <f>Source!QC1</f>
        <v/>
      </c>
      <c r="QC1" s="10" t="str">
        <f>Source!QD1</f>
        <v/>
      </c>
      <c r="QD1" s="10" t="str">
        <f>Source!QE1</f>
        <v/>
      </c>
      <c r="QE1" s="10" t="str">
        <f>Source!QF1</f>
        <v/>
      </c>
      <c r="QF1" s="10" t="str">
        <f>Source!QG1</f>
        <v/>
      </c>
      <c r="QG1" s="10" t="str">
        <f>Source!QH1</f>
        <v/>
      </c>
      <c r="QH1" s="10" t="str">
        <f>Source!QI1</f>
        <v/>
      </c>
      <c r="QI1" s="10" t="str">
        <f>Source!QJ1</f>
        <v/>
      </c>
      <c r="QJ1" s="10" t="str">
        <f>Source!QK1</f>
        <v/>
      </c>
      <c r="QK1" s="10" t="str">
        <f>Source!QL1</f>
        <v/>
      </c>
      <c r="QL1" s="10" t="str">
        <f>Source!QM1</f>
        <v/>
      </c>
      <c r="QM1" s="10" t="str">
        <f>Source!QN1</f>
        <v/>
      </c>
      <c r="QN1" s="10" t="str">
        <f>Source!QO1</f>
        <v/>
      </c>
      <c r="QO1" s="10" t="str">
        <f>Source!QP1</f>
        <v/>
      </c>
      <c r="QP1" s="10" t="str">
        <f>Source!QQ1</f>
        <v/>
      </c>
      <c r="QQ1" s="10" t="str">
        <f>Source!QR1</f>
        <v/>
      </c>
      <c r="QR1" s="10" t="str">
        <f>Source!QS1</f>
        <v/>
      </c>
      <c r="QS1" s="10" t="str">
        <f>Source!QT1</f>
        <v/>
      </c>
      <c r="QT1" s="10" t="str">
        <f>Source!QU1</f>
        <v/>
      </c>
      <c r="QU1" s="10" t="str">
        <f>Source!QV1</f>
        <v/>
      </c>
      <c r="QV1" s="10" t="str">
        <f>Source!QW1</f>
        <v/>
      </c>
      <c r="QW1" s="10" t="str">
        <f>Source!QX1</f>
        <v/>
      </c>
      <c r="QX1" s="10" t="str">
        <f>Source!QY1</f>
        <v/>
      </c>
      <c r="QY1" s="10" t="str">
        <f>Source!QZ1</f>
        <v/>
      </c>
      <c r="QZ1" s="10" t="str">
        <f>Source!RA1</f>
        <v/>
      </c>
      <c r="RA1" s="10" t="str">
        <f>Source!RB1</f>
        <v/>
      </c>
      <c r="RB1" s="10" t="str">
        <f>Source!RC1</f>
        <v/>
      </c>
      <c r="RC1" s="10" t="str">
        <f>Source!RD1</f>
        <v/>
      </c>
      <c r="RD1" s="10" t="str">
        <f>Source!RE1</f>
        <v/>
      </c>
      <c r="RE1" s="10" t="str">
        <f>Source!RF1</f>
        <v/>
      </c>
      <c r="RF1" s="10" t="str">
        <f>Source!RG1</f>
        <v/>
      </c>
      <c r="RG1" s="10" t="str">
        <f>Source!RH1</f>
        <v/>
      </c>
      <c r="RH1" s="10" t="str">
        <f>Source!RI1</f>
        <v/>
      </c>
      <c r="RI1" s="10" t="str">
        <f>Source!RJ1</f>
        <v/>
      </c>
      <c r="RJ1" s="10" t="str">
        <f>Source!RK1</f>
        <v/>
      </c>
      <c r="RK1" s="10" t="str">
        <f>Source!RL1</f>
        <v/>
      </c>
      <c r="RL1" s="10" t="str">
        <f>Source!RM1</f>
        <v/>
      </c>
      <c r="RM1" s="10" t="str">
        <f>Source!RN1</f>
        <v/>
      </c>
      <c r="RN1" s="10" t="str">
        <f>Source!RO1</f>
        <v/>
      </c>
      <c r="RO1" s="10" t="str">
        <f>Source!RP1</f>
        <v/>
      </c>
      <c r="RP1" s="10" t="str">
        <f>Source!RQ1</f>
        <v/>
      </c>
      <c r="RQ1" s="10" t="str">
        <f>Source!RR1</f>
        <v/>
      </c>
      <c r="RR1" s="10" t="str">
        <f>Source!RS1</f>
        <v/>
      </c>
      <c r="RS1" s="10" t="str">
        <f>Source!RT1</f>
        <v/>
      </c>
      <c r="RT1" s="10" t="str">
        <f>Source!RU1</f>
        <v/>
      </c>
      <c r="RU1" s="10" t="str">
        <f>Source!RV1</f>
        <v/>
      </c>
      <c r="RV1" s="10" t="str">
        <f>Source!RW1</f>
        <v/>
      </c>
      <c r="RW1" s="10" t="str">
        <f>Source!RX1</f>
        <v/>
      </c>
      <c r="RX1" s="10" t="str">
        <f>Source!RY1</f>
        <v/>
      </c>
      <c r="RY1" s="10" t="str">
        <f>Source!RZ1</f>
        <v/>
      </c>
      <c r="RZ1" s="10" t="str">
        <f>Source!SA1</f>
        <v/>
      </c>
      <c r="SA1" s="10" t="str">
        <f>Source!SB1</f>
        <v/>
      </c>
      <c r="SB1" s="10" t="str">
        <f>Source!SC1</f>
        <v/>
      </c>
      <c r="SC1" s="10" t="str">
        <f>Source!SD1</f>
        <v/>
      </c>
      <c r="SD1" s="10" t="str">
        <f>Source!SE1</f>
        <v/>
      </c>
      <c r="SE1" s="10" t="str">
        <f>Source!SF1</f>
        <v/>
      </c>
      <c r="SF1" s="10" t="str">
        <f>Source!SG1</f>
        <v/>
      </c>
      <c r="SG1" s="10" t="str">
        <f>Source!SH1</f>
        <v/>
      </c>
      <c r="SH1" s="10" t="str">
        <f>Source!SI1</f>
        <v/>
      </c>
      <c r="SI1" s="10" t="str">
        <f>Source!SJ1</f>
        <v/>
      </c>
      <c r="SJ1" s="10" t="str">
        <f>Source!SK1</f>
        <v/>
      </c>
      <c r="SK1" s="10" t="str">
        <f>Source!SL1</f>
        <v/>
      </c>
      <c r="SL1" s="10" t="str">
        <f>Source!SM1</f>
        <v/>
      </c>
      <c r="SM1" s="10" t="str">
        <f>Source!SN1</f>
        <v/>
      </c>
      <c r="SN1" s="10" t="str">
        <f>Source!SO1</f>
        <v/>
      </c>
      <c r="SO1" s="10" t="str">
        <f>Source!SP1</f>
        <v/>
      </c>
      <c r="SP1" s="10" t="str">
        <f>Source!SQ1</f>
        <v/>
      </c>
      <c r="SQ1" s="10" t="str">
        <f>Source!SR1</f>
        <v/>
      </c>
      <c r="SR1" s="10" t="str">
        <f>Source!SS1</f>
        <v/>
      </c>
      <c r="SS1" s="10" t="str">
        <f>Source!ST1</f>
        <v/>
      </c>
      <c r="ST1" s="10" t="str">
        <f>Source!SU1</f>
        <v/>
      </c>
      <c r="SU1" s="10" t="str">
        <f>Source!SV1</f>
        <v/>
      </c>
      <c r="SV1" s="10" t="str">
        <f>Source!SW1</f>
        <v/>
      </c>
      <c r="SW1" s="10" t="str">
        <f>Source!SX1</f>
        <v/>
      </c>
      <c r="SX1" s="10" t="str">
        <f>Source!SY1</f>
        <v/>
      </c>
      <c r="SY1" s="10" t="str">
        <f>Source!SZ1</f>
        <v/>
      </c>
      <c r="SZ1" s="10" t="str">
        <f>Source!TA1</f>
        <v/>
      </c>
      <c r="TA1" s="10" t="str">
        <f>Source!TB1</f>
        <v/>
      </c>
      <c r="TB1" s="10" t="str">
        <f>Source!TC1</f>
        <v/>
      </c>
      <c r="TC1" s="10" t="str">
        <f>Source!TD1</f>
        <v/>
      </c>
      <c r="TD1" s="10" t="str">
        <f>Source!TE1</f>
        <v/>
      </c>
      <c r="TE1" s="10" t="str">
        <f>Source!TF1</f>
        <v/>
      </c>
      <c r="TF1" s="10" t="str">
        <f>Source!TG1</f>
        <v/>
      </c>
      <c r="TG1" s="10" t="str">
        <f>Source!TH1</f>
        <v/>
      </c>
      <c r="TH1" s="10" t="str">
        <f>Source!TI1</f>
        <v/>
      </c>
      <c r="TI1" s="10" t="str">
        <f>Source!TJ1</f>
        <v/>
      </c>
      <c r="TJ1" s="10" t="str">
        <f>Source!TK1</f>
        <v/>
      </c>
      <c r="TK1" s="10" t="str">
        <f>Source!TL1</f>
        <v/>
      </c>
      <c r="TL1" s="10" t="str">
        <f>Source!TM1</f>
        <v/>
      </c>
      <c r="TM1" s="10" t="str">
        <f>Source!TN1</f>
        <v/>
      </c>
      <c r="TN1" s="10" t="str">
        <f>Source!TO1</f>
        <v/>
      </c>
      <c r="TO1" s="10" t="str">
        <f>Source!TP1</f>
        <v/>
      </c>
      <c r="TP1" s="10" t="str">
        <f>Source!TQ1</f>
        <v/>
      </c>
      <c r="TQ1" s="10" t="str">
        <f>Source!TR1</f>
        <v/>
      </c>
      <c r="TR1" s="10" t="str">
        <f>Source!TS1</f>
        <v/>
      </c>
      <c r="TS1" s="10" t="str">
        <f>Source!TT1</f>
        <v/>
      </c>
      <c r="TT1" s="10" t="str">
        <f>Source!TU1</f>
        <v/>
      </c>
      <c r="TU1" s="10" t="str">
        <f>Source!TV1</f>
        <v/>
      </c>
      <c r="TV1" s="10" t="str">
        <f>Source!TW1</f>
        <v/>
      </c>
      <c r="TW1" s="10" t="str">
        <f>Source!TX1</f>
        <v/>
      </c>
      <c r="TX1" s="10" t="str">
        <f>Source!TY1</f>
        <v/>
      </c>
      <c r="TY1" s="10" t="str">
        <f>Source!TZ1</f>
        <v/>
      </c>
      <c r="TZ1" s="10" t="str">
        <f>Source!UA1</f>
        <v/>
      </c>
      <c r="UA1" s="10" t="str">
        <f>Source!UB1</f>
        <v/>
      </c>
      <c r="UB1" s="10" t="str">
        <f>Source!UC1</f>
        <v/>
      </c>
      <c r="UC1" s="10" t="str">
        <f>Source!UD1</f>
        <v/>
      </c>
      <c r="UD1" s="10" t="str">
        <f>Source!UE1</f>
        <v/>
      </c>
      <c r="UE1" s="10" t="str">
        <f>Source!UF1</f>
        <v/>
      </c>
      <c r="UF1" s="10" t="str">
        <f>Source!UG1</f>
        <v/>
      </c>
      <c r="UG1" s="10" t="str">
        <f>Source!UH1</f>
        <v/>
      </c>
      <c r="UH1" s="10" t="str">
        <f>Source!UI1</f>
        <v/>
      </c>
      <c r="UI1" s="10" t="str">
        <f>Source!UJ1</f>
        <v/>
      </c>
      <c r="UJ1" s="10" t="str">
        <f>Source!UK1</f>
        <v/>
      </c>
      <c r="UK1" s="10" t="str">
        <f>Source!UL1</f>
        <v/>
      </c>
      <c r="UL1" s="10" t="str">
        <f>Source!UM1</f>
        <v/>
      </c>
      <c r="UM1" s="10" t="str">
        <f>Source!UN1</f>
        <v/>
      </c>
      <c r="UN1" s="10" t="str">
        <f>Source!UO1</f>
        <v/>
      </c>
      <c r="UO1" s="10" t="str">
        <f>Source!UP1</f>
        <v/>
      </c>
      <c r="UP1" s="10" t="str">
        <f>Source!UQ1</f>
        <v/>
      </c>
      <c r="UQ1" s="10" t="str">
        <f>Source!UR1</f>
        <v/>
      </c>
      <c r="UR1" s="10" t="str">
        <f>Source!US1</f>
        <v/>
      </c>
      <c r="US1" s="10" t="str">
        <f>Source!UT1</f>
        <v/>
      </c>
      <c r="UT1" s="10" t="str">
        <f>Source!UU1</f>
        <v/>
      </c>
      <c r="UU1" s="10" t="str">
        <f>Source!UV1</f>
        <v/>
      </c>
      <c r="UV1" s="10" t="str">
        <f>Source!UW1</f>
        <v/>
      </c>
      <c r="UW1" s="10" t="str">
        <f>Source!UX1</f>
        <v/>
      </c>
      <c r="UX1" s="10" t="str">
        <f>Source!UY1</f>
        <v/>
      </c>
      <c r="UY1" s="10" t="str">
        <f>Source!UZ1</f>
        <v/>
      </c>
      <c r="UZ1" s="10" t="str">
        <f>Source!VA1</f>
        <v/>
      </c>
      <c r="VA1" s="10" t="str">
        <f>Source!VB1</f>
        <v/>
      </c>
      <c r="VB1" s="10" t="str">
        <f>Source!VC1</f>
        <v/>
      </c>
      <c r="VC1" s="10" t="str">
        <f>Source!VD1</f>
        <v/>
      </c>
      <c r="VD1" s="10" t="str">
        <f>Source!VE1</f>
        <v/>
      </c>
      <c r="VE1" s="10" t="str">
        <f>Source!VF1</f>
        <v/>
      </c>
      <c r="VF1" s="10" t="str">
        <f>Source!VG1</f>
        <v/>
      </c>
      <c r="VG1" s="10" t="str">
        <f>Source!VH1</f>
        <v/>
      </c>
      <c r="VH1" s="10" t="str">
        <f>Source!VI1</f>
        <v/>
      </c>
      <c r="VI1" s="10" t="str">
        <f>Source!VJ1</f>
        <v/>
      </c>
      <c r="VJ1" s="10" t="str">
        <f>Source!VK1</f>
        <v/>
      </c>
      <c r="VK1" s="10" t="str">
        <f>Source!VL1</f>
        <v/>
      </c>
      <c r="VL1" s="10" t="str">
        <f>Source!VM1</f>
        <v/>
      </c>
      <c r="VM1" s="10" t="str">
        <f>Source!VN1</f>
        <v/>
      </c>
      <c r="VN1" s="10" t="str">
        <f>Source!VO1</f>
        <v/>
      </c>
      <c r="VO1" s="10" t="str">
        <f>Source!VP1</f>
        <v/>
      </c>
      <c r="VP1" s="10" t="str">
        <f>Source!VQ1</f>
        <v/>
      </c>
      <c r="VQ1" s="10" t="str">
        <f>Source!VR1</f>
        <v/>
      </c>
      <c r="VR1" s="10" t="str">
        <f>Source!VS1</f>
        <v/>
      </c>
      <c r="VS1" s="10" t="str">
        <f>Source!VT1</f>
        <v/>
      </c>
      <c r="VT1" s="10" t="str">
        <f>Source!VU1</f>
        <v/>
      </c>
      <c r="VU1" s="10" t="str">
        <f>Source!VV1</f>
        <v/>
      </c>
      <c r="VV1" s="10" t="str">
        <f>Source!VW1</f>
        <v/>
      </c>
      <c r="VW1" s="10" t="str">
        <f>Source!VX1</f>
        <v/>
      </c>
      <c r="VX1" s="10" t="str">
        <f>Source!VY1</f>
        <v/>
      </c>
      <c r="VY1" s="10" t="str">
        <f>Source!VZ1</f>
        <v/>
      </c>
      <c r="VZ1" s="10" t="str">
        <f>Source!WA1</f>
        <v/>
      </c>
      <c r="WA1" s="10" t="str">
        <f>Source!WB1</f>
        <v/>
      </c>
      <c r="WB1" s="10" t="str">
        <f>Source!WC1</f>
        <v/>
      </c>
      <c r="WC1" s="10" t="str">
        <f>Source!WD1</f>
        <v/>
      </c>
      <c r="WD1" s="10" t="str">
        <f>Source!WE1</f>
        <v/>
      </c>
      <c r="WE1" s="10" t="str">
        <f>Source!WF1</f>
        <v/>
      </c>
      <c r="WF1" s="10" t="str">
        <f>Source!WG1</f>
        <v/>
      </c>
      <c r="WG1" s="10" t="str">
        <f>Source!WH1</f>
        <v/>
      </c>
      <c r="WH1" s="10" t="str">
        <f>Source!WI1</f>
        <v/>
      </c>
      <c r="WI1" s="10" t="str">
        <f>Source!WJ1</f>
        <v/>
      </c>
      <c r="WJ1" s="10" t="str">
        <f>Source!WK1</f>
        <v/>
      </c>
      <c r="WK1" s="10" t="str">
        <f>Source!WL1</f>
        <v/>
      </c>
      <c r="WL1" s="10" t="str">
        <f>Source!WM1</f>
        <v/>
      </c>
      <c r="WM1" s="10" t="str">
        <f>Source!WN1</f>
        <v/>
      </c>
      <c r="WN1" s="10" t="str">
        <f>Source!WO1</f>
        <v/>
      </c>
      <c r="WO1" s="10" t="str">
        <f>Source!WP1</f>
        <v/>
      </c>
      <c r="WP1" s="10" t="str">
        <f>Source!WQ1</f>
        <v/>
      </c>
      <c r="WQ1" s="10" t="str">
        <f>Source!WR1</f>
        <v/>
      </c>
      <c r="WR1" s="10" t="str">
        <f>Source!WS1</f>
        <v/>
      </c>
      <c r="WS1" s="10" t="str">
        <f>Source!WT1</f>
        <v/>
      </c>
      <c r="WT1" s="10" t="str">
        <f>Source!WU1</f>
        <v/>
      </c>
      <c r="WU1" s="10" t="str">
        <f>Source!WV1</f>
        <v/>
      </c>
      <c r="WV1" s="10" t="str">
        <f>Source!WW1</f>
        <v/>
      </c>
      <c r="WW1" s="10" t="str">
        <f>Source!WX1</f>
        <v/>
      </c>
      <c r="WX1" s="10" t="str">
        <f>Source!WY1</f>
        <v/>
      </c>
      <c r="WY1" s="10" t="str">
        <f>Source!WZ1</f>
        <v/>
      </c>
      <c r="WZ1" s="10" t="str">
        <f>Source!XA1</f>
        <v/>
      </c>
      <c r="XA1" s="10" t="str">
        <f>Source!XB1</f>
        <v/>
      </c>
      <c r="XB1" s="10" t="str">
        <f>Source!XC1</f>
        <v/>
      </c>
      <c r="XC1" s="10" t="str">
        <f>Source!XD1</f>
        <v/>
      </c>
      <c r="XD1" s="10" t="str">
        <f>Source!XE1</f>
        <v/>
      </c>
      <c r="XE1" s="10" t="str">
        <f>Source!XF1</f>
        <v/>
      </c>
      <c r="XF1" s="10" t="str">
        <f>Source!XG1</f>
        <v/>
      </c>
      <c r="XG1" s="10" t="str">
        <f>Source!XH1</f>
        <v/>
      </c>
      <c r="XH1" s="10" t="str">
        <f>Source!XI1</f>
        <v/>
      </c>
      <c r="XI1" s="10" t="str">
        <f>Source!XJ1</f>
        <v/>
      </c>
      <c r="XJ1" s="10" t="str">
        <f>Source!XK1</f>
        <v/>
      </c>
      <c r="XK1" s="10" t="str">
        <f>Source!XL1</f>
        <v/>
      </c>
      <c r="XL1" s="10" t="str">
        <f>Source!XM1</f>
        <v/>
      </c>
      <c r="XM1" s="10" t="str">
        <f>Source!XN1</f>
        <v/>
      </c>
      <c r="XN1" s="10" t="str">
        <f>Source!XO1</f>
        <v/>
      </c>
      <c r="XO1" s="10" t="str">
        <f>Source!XP1</f>
        <v/>
      </c>
      <c r="XP1" s="10" t="str">
        <f>Source!XQ1</f>
        <v/>
      </c>
      <c r="XQ1" s="10" t="str">
        <f>Source!XR1</f>
        <v/>
      </c>
      <c r="XR1" s="10" t="str">
        <f>Source!XS1</f>
        <v/>
      </c>
      <c r="XS1" s="10" t="str">
        <f>Source!XT1</f>
        <v/>
      </c>
      <c r="XT1" s="10" t="str">
        <f>Source!XU1</f>
        <v/>
      </c>
      <c r="XU1" s="10" t="str">
        <f>Source!XV1</f>
        <v/>
      </c>
      <c r="XV1" s="10" t="str">
        <f>Source!XW1</f>
        <v/>
      </c>
      <c r="XW1" s="10" t="str">
        <f>Source!XX1</f>
        <v/>
      </c>
      <c r="XX1" s="10" t="str">
        <f>Source!XY1</f>
        <v/>
      </c>
      <c r="XY1" s="10" t="str">
        <f>Source!XZ1</f>
        <v/>
      </c>
      <c r="XZ1" s="10" t="str">
        <f>Source!YA1</f>
        <v/>
      </c>
      <c r="YA1" s="10" t="str">
        <f>Source!YB1</f>
        <v/>
      </c>
      <c r="YB1" s="10" t="str">
        <f>Source!YC1</f>
        <v/>
      </c>
      <c r="YC1" s="10" t="str">
        <f>Source!YD1</f>
        <v/>
      </c>
      <c r="YD1" s="10" t="str">
        <f>Source!YE1</f>
        <v/>
      </c>
      <c r="YE1" s="10" t="str">
        <f>Source!YF1</f>
        <v/>
      </c>
      <c r="YF1" s="10" t="str">
        <f>Source!YG1</f>
        <v/>
      </c>
      <c r="YG1" s="10" t="str">
        <f>Source!YH1</f>
        <v/>
      </c>
      <c r="YH1" s="10" t="str">
        <f>Source!YI1</f>
        <v/>
      </c>
      <c r="YI1" s="10" t="str">
        <f>Source!YJ1</f>
        <v/>
      </c>
      <c r="YJ1" s="10" t="str">
        <f>Source!YK1</f>
        <v/>
      </c>
      <c r="YK1" s="10" t="str">
        <f>Source!YL1</f>
        <v/>
      </c>
      <c r="YL1" s="10" t="str">
        <f>Source!YM1</f>
        <v/>
      </c>
      <c r="YM1" s="10" t="str">
        <f>Source!YN1</f>
        <v/>
      </c>
      <c r="YN1" s="10" t="str">
        <f>Source!YO1</f>
        <v/>
      </c>
      <c r="YO1" s="10" t="str">
        <f>Source!YP1</f>
        <v/>
      </c>
      <c r="YP1" s="10" t="str">
        <f>Source!YQ1</f>
        <v/>
      </c>
      <c r="YQ1" s="10" t="str">
        <f>Source!YR1</f>
        <v/>
      </c>
      <c r="YR1" s="10" t="str">
        <f>Source!YS1</f>
        <v/>
      </c>
      <c r="YS1" s="10" t="str">
        <f>Source!YT1</f>
        <v/>
      </c>
      <c r="YT1" s="10" t="str">
        <f>Source!YU1</f>
        <v/>
      </c>
      <c r="YU1" s="10" t="str">
        <f>Source!YV1</f>
        <v/>
      </c>
      <c r="YV1" s="10" t="str">
        <f>Source!YW1</f>
        <v/>
      </c>
      <c r="YW1" s="10" t="str">
        <f>Source!YX1</f>
        <v/>
      </c>
      <c r="YX1" s="10" t="str">
        <f>Source!YY1</f>
        <v/>
      </c>
      <c r="YY1" s="10" t="str">
        <f>Source!YZ1</f>
        <v/>
      </c>
      <c r="YZ1" s="10" t="str">
        <f>Source!ZA1</f>
        <v/>
      </c>
      <c r="ZA1" s="10" t="str">
        <f>Source!ZB1</f>
        <v/>
      </c>
      <c r="ZB1" s="10" t="str">
        <f>Source!ZC1</f>
        <v/>
      </c>
      <c r="ZC1" s="10" t="str">
        <f>Source!ZD1</f>
        <v/>
      </c>
      <c r="ZD1" s="10" t="str">
        <f>Source!ZE1</f>
        <v/>
      </c>
      <c r="ZE1" s="10" t="str">
        <f>Source!ZF1</f>
        <v/>
      </c>
      <c r="ZF1" s="10" t="str">
        <f>Source!ZG1</f>
        <v/>
      </c>
      <c r="ZG1" s="10" t="str">
        <f>Source!ZH1</f>
        <v/>
      </c>
      <c r="ZH1" s="10" t="str">
        <f>Source!ZI1</f>
        <v/>
      </c>
      <c r="ZI1" s="10" t="str">
        <f>Source!ZJ1</f>
        <v/>
      </c>
      <c r="ZJ1" s="10" t="str">
        <f>Source!ZK1</f>
        <v/>
      </c>
      <c r="ZK1" s="10" t="str">
        <f>Source!ZL1</f>
        <v/>
      </c>
      <c r="ZL1" s="10" t="str">
        <f>Source!ZM1</f>
        <v/>
      </c>
      <c r="ZM1" s="10" t="str">
        <f>Source!ZN1</f>
        <v/>
      </c>
      <c r="ZN1" s="10" t="str">
        <f>Source!ZO1</f>
        <v/>
      </c>
      <c r="ZO1" s="10" t="str">
        <f>Source!ZP1</f>
        <v/>
      </c>
      <c r="ZP1" s="10" t="str">
        <f>Source!ZQ1</f>
        <v/>
      </c>
      <c r="ZQ1" s="10" t="str">
        <f>Source!ZR1</f>
        <v/>
      </c>
      <c r="ZR1" s="10" t="str">
        <f>Source!ZS1</f>
        <v/>
      </c>
      <c r="ZS1" s="10" t="str">
        <f>Source!ZT1</f>
        <v/>
      </c>
      <c r="ZT1" s="10" t="str">
        <f>Source!ZU1</f>
        <v/>
      </c>
      <c r="ZU1" s="10" t="str">
        <f>Source!ZV1</f>
        <v/>
      </c>
      <c r="ZV1" s="10" t="str">
        <f>Source!ZW1</f>
        <v/>
      </c>
      <c r="ZW1" s="10" t="str">
        <f>Source!ZX1</f>
        <v/>
      </c>
      <c r="ZX1" s="10" t="str">
        <f>Source!ZY1</f>
        <v/>
      </c>
      <c r="ZY1" s="10" t="str">
        <f>Source!ZZ1</f>
        <v/>
      </c>
      <c r="ZZ1" s="10" t="str">
        <f>Source!AAA1</f>
        <v/>
      </c>
      <c r="AAA1" s="10" t="str">
        <f>Source!AAB1</f>
        <v/>
      </c>
      <c r="AAB1" s="10" t="str">
        <f>Source!AAC1</f>
        <v/>
      </c>
      <c r="AAC1" s="10" t="str">
        <f>Source!AAD1</f>
        <v/>
      </c>
      <c r="AAD1" s="10" t="str">
        <f>Source!AAE1</f>
        <v/>
      </c>
      <c r="AAE1" s="10" t="str">
        <f>Source!AAF1</f>
        <v/>
      </c>
      <c r="AAF1" s="10" t="str">
        <f>Source!AAG1</f>
        <v/>
      </c>
      <c r="AAG1" s="10" t="str">
        <f>Source!AAH1</f>
        <v/>
      </c>
      <c r="AAH1" s="10" t="str">
        <f>Source!AAI1</f>
        <v/>
      </c>
      <c r="AAI1" s="10" t="str">
        <f>Source!AAJ1</f>
        <v/>
      </c>
      <c r="AAJ1" s="10" t="str">
        <f>Source!AAK1</f>
        <v/>
      </c>
      <c r="AAK1" s="10" t="str">
        <f>Source!AAL1</f>
        <v/>
      </c>
      <c r="AAL1" s="10" t="str">
        <f>Source!AAM1</f>
        <v/>
      </c>
      <c r="AAM1" s="10" t="str">
        <f>Source!AAN1</f>
        <v/>
      </c>
      <c r="AAN1" s="10" t="str">
        <f>Source!AAO1</f>
        <v/>
      </c>
      <c r="AAO1" s="10" t="str">
        <f>Source!AAP1</f>
        <v/>
      </c>
      <c r="AAP1" s="10" t="str">
        <f>Source!AAQ1</f>
        <v/>
      </c>
      <c r="AAQ1" s="10" t="str">
        <f>Source!AAR1</f>
        <v/>
      </c>
      <c r="AAR1" s="10" t="str">
        <f>Source!AAS1</f>
        <v/>
      </c>
      <c r="AAS1" s="10" t="str">
        <f>Source!AAT1</f>
        <v/>
      </c>
      <c r="AAT1" s="10" t="str">
        <f>Source!AAU1</f>
        <v/>
      </c>
      <c r="AAU1" s="10" t="str">
        <f>Source!AAV1</f>
        <v/>
      </c>
      <c r="AAV1" s="10" t="str">
        <f>Source!AAW1</f>
        <v/>
      </c>
      <c r="AAW1" s="10" t="str">
        <f>Source!AAX1</f>
        <v/>
      </c>
      <c r="AAX1" s="10" t="str">
        <f>Source!AAY1</f>
        <v/>
      </c>
      <c r="AAY1" s="10" t="str">
        <f>Source!AAZ1</f>
        <v/>
      </c>
      <c r="AAZ1" s="10" t="str">
        <f>Source!ABA1</f>
        <v/>
      </c>
      <c r="ABA1" s="10" t="str">
        <f>Source!ABB1</f>
        <v/>
      </c>
      <c r="ABB1" s="10" t="str">
        <f>Source!ABC1</f>
        <v/>
      </c>
      <c r="ABC1" s="10" t="str">
        <f>Source!ABD1</f>
        <v/>
      </c>
      <c r="ABD1" s="10" t="str">
        <f>Source!ABE1</f>
        <v/>
      </c>
      <c r="ABE1" s="10" t="str">
        <f>Source!ABF1</f>
        <v/>
      </c>
      <c r="ABF1" s="10" t="str">
        <f>Source!ABG1</f>
        <v/>
      </c>
      <c r="ABG1" s="10" t="str">
        <f>Source!ABH1</f>
        <v/>
      </c>
      <c r="ABH1" s="10" t="str">
        <f>Source!ABI1</f>
        <v/>
      </c>
      <c r="ABI1" s="10" t="str">
        <f>Source!ABJ1</f>
        <v/>
      </c>
      <c r="ABJ1" s="10" t="str">
        <f>Source!ABK1</f>
        <v/>
      </c>
      <c r="ABK1" s="10" t="str">
        <f>Source!ABL1</f>
        <v/>
      </c>
      <c r="ABL1" s="10" t="str">
        <f>Source!ABM1</f>
        <v/>
      </c>
      <c r="ABM1" s="10" t="str">
        <f>Source!ABN1</f>
        <v/>
      </c>
      <c r="ABN1" s="10" t="str">
        <f>Source!ABO1</f>
        <v/>
      </c>
      <c r="ABO1" s="10" t="str">
        <f>Source!ABP1</f>
        <v/>
      </c>
      <c r="ABP1" s="10" t="str">
        <f>Source!ABQ1</f>
        <v/>
      </c>
      <c r="ABQ1" s="10" t="str">
        <f>Source!ABR1</f>
        <v/>
      </c>
      <c r="ABR1" s="10" t="str">
        <f>Source!ABS1</f>
        <v/>
      </c>
      <c r="ABS1" s="10" t="str">
        <f>Source!ABT1</f>
        <v/>
      </c>
      <c r="ABT1" s="10" t="str">
        <f>Source!ABU1</f>
        <v/>
      </c>
      <c r="ABU1" s="10" t="str">
        <f>Source!ABV1</f>
        <v/>
      </c>
      <c r="ABV1" s="10" t="str">
        <f>Source!ABW1</f>
        <v/>
      </c>
      <c r="ABW1" s="10" t="str">
        <f>Source!ABX1</f>
        <v/>
      </c>
      <c r="ABX1" s="10" t="str">
        <f>Source!ABY1</f>
        <v/>
      </c>
      <c r="ABY1" s="10" t="str">
        <f>Source!ABZ1</f>
        <v/>
      </c>
      <c r="ABZ1" s="10" t="str">
        <f>Source!ACA1</f>
        <v/>
      </c>
      <c r="ACA1" s="10" t="str">
        <f>Source!ACB1</f>
        <v/>
      </c>
      <c r="ACB1" s="10" t="str">
        <f>Source!ACC1</f>
        <v/>
      </c>
      <c r="ACC1" s="10" t="str">
        <f>Source!ACD1</f>
        <v/>
      </c>
      <c r="ACD1" s="10" t="str">
        <f>Source!ACE1</f>
        <v/>
      </c>
      <c r="ACE1" s="10" t="str">
        <f>Source!ACF1</f>
        <v/>
      </c>
      <c r="ACF1" s="10" t="str">
        <f>Source!ACG1</f>
        <v/>
      </c>
      <c r="ACG1" s="10" t="str">
        <f>Source!ACH1</f>
        <v/>
      </c>
      <c r="ACH1" s="10" t="str">
        <f>Source!ACI1</f>
        <v/>
      </c>
      <c r="ACI1" s="10" t="str">
        <f>Source!ACJ1</f>
        <v/>
      </c>
      <c r="ACJ1" s="10" t="str">
        <f>Source!ACK1</f>
        <v/>
      </c>
      <c r="ACK1" s="10" t="str">
        <f>Source!ACL1</f>
        <v/>
      </c>
      <c r="ACL1" s="10" t="str">
        <f>Source!ACM1</f>
        <v/>
      </c>
      <c r="ACM1" s="10" t="str">
        <f>Source!ACN1</f>
        <v/>
      </c>
      <c r="ACN1" s="10" t="str">
        <f>Source!ACO1</f>
        <v/>
      </c>
      <c r="ACO1" s="10" t="str">
        <f>Source!ACP1</f>
        <v/>
      </c>
      <c r="ACP1" s="10" t="str">
        <f>Source!ACQ1</f>
        <v/>
      </c>
      <c r="ACQ1" s="10" t="str">
        <f>Source!ACR1</f>
        <v/>
      </c>
      <c r="ACR1" s="10" t="str">
        <f>Source!ACS1</f>
        <v/>
      </c>
      <c r="ACS1" s="10" t="str">
        <f>Source!ACT1</f>
        <v/>
      </c>
      <c r="ACT1" s="10" t="str">
        <f>Source!ACU1</f>
        <v/>
      </c>
      <c r="ACU1" s="10" t="str">
        <f>Source!ACV1</f>
        <v/>
      </c>
      <c r="ACV1" s="10" t="str">
        <f>Source!ACW1</f>
        <v/>
      </c>
      <c r="ACW1" s="10" t="str">
        <f>Source!ACX1</f>
        <v/>
      </c>
      <c r="ACX1" s="10" t="str">
        <f>Source!ACY1</f>
        <v/>
      </c>
      <c r="ACY1" s="10" t="str">
        <f>Source!ACZ1</f>
        <v/>
      </c>
      <c r="ACZ1" s="10" t="str">
        <f>Source!ADA1</f>
        <v/>
      </c>
      <c r="ADA1" s="10" t="str">
        <f>Source!ADB1</f>
        <v/>
      </c>
      <c r="ADB1" s="10" t="str">
        <f>Source!ADC1</f>
        <v/>
      </c>
      <c r="ADC1" s="10" t="str">
        <f>Source!ADD1</f>
        <v/>
      </c>
      <c r="ADD1" s="10" t="str">
        <f>Source!ADE1</f>
        <v/>
      </c>
      <c r="ADE1" s="10" t="str">
        <f>Source!ADF1</f>
        <v/>
      </c>
      <c r="ADF1" s="10" t="str">
        <f>Source!ADG1</f>
        <v/>
      </c>
      <c r="ADG1" s="10" t="str">
        <f>Source!ADH1</f>
        <v/>
      </c>
      <c r="ADH1" s="10" t="str">
        <f>Source!ADI1</f>
        <v/>
      </c>
      <c r="ADI1" s="10" t="str">
        <f>Source!ADJ1</f>
        <v/>
      </c>
      <c r="ADJ1" s="10" t="str">
        <f>Source!ADK1</f>
        <v/>
      </c>
      <c r="ADK1" s="10" t="str">
        <f>Source!ADL1</f>
        <v/>
      </c>
      <c r="ADL1" s="10" t="str">
        <f>Source!ADM1</f>
        <v/>
      </c>
      <c r="ADM1" s="10" t="str">
        <f>Source!ADN1</f>
        <v/>
      </c>
      <c r="ADN1" s="10" t="str">
        <f>Source!ADO1</f>
        <v/>
      </c>
      <c r="ADO1" s="10" t="str">
        <f>Source!ADP1</f>
        <v/>
      </c>
      <c r="ADP1" s="10" t="str">
        <f>Source!ADQ1</f>
        <v/>
      </c>
      <c r="ADQ1" s="10" t="str">
        <f>Source!ADR1</f>
        <v/>
      </c>
      <c r="ADR1" s="10" t="str">
        <f>Source!ADS1</f>
        <v/>
      </c>
      <c r="ADS1" s="10" t="str">
        <f>Source!ADT1</f>
        <v/>
      </c>
      <c r="ADT1" s="10" t="str">
        <f>Source!ADU1</f>
        <v/>
      </c>
      <c r="ADU1" s="10" t="str">
        <f>Source!ADV1</f>
        <v/>
      </c>
      <c r="ADV1" s="10" t="str">
        <f>Source!ADW1</f>
        <v/>
      </c>
      <c r="ADW1" s="10" t="str">
        <f>Source!ADX1</f>
        <v/>
      </c>
      <c r="ADX1" s="10" t="str">
        <f>Source!ADY1</f>
        <v/>
      </c>
      <c r="ADY1" s="10" t="str">
        <f>Source!ADZ1</f>
        <v/>
      </c>
      <c r="ADZ1" s="10" t="str">
        <f>Source!AEA1</f>
        <v/>
      </c>
      <c r="AEA1" s="10" t="str">
        <f>Source!AEB1</f>
        <v/>
      </c>
      <c r="AEB1" s="10" t="str">
        <f>Source!AEC1</f>
        <v/>
      </c>
      <c r="AEC1" s="10" t="str">
        <f>Source!AED1</f>
        <v/>
      </c>
      <c r="AED1" s="10" t="str">
        <f>Source!AEE1</f>
        <v/>
      </c>
      <c r="AEE1" s="10" t="str">
        <f>Source!AEF1</f>
        <v/>
      </c>
      <c r="AEF1" s="10" t="str">
        <f>Source!AEG1</f>
        <v/>
      </c>
      <c r="AEG1" s="10" t="str">
        <f>Source!AEH1</f>
        <v/>
      </c>
      <c r="AEH1" s="10" t="str">
        <f>Source!AEI1</f>
        <v/>
      </c>
      <c r="AEI1" s="10" t="str">
        <f>Source!AEJ1</f>
        <v/>
      </c>
      <c r="AEJ1" s="10" t="str">
        <f>Source!AEK1</f>
        <v/>
      </c>
      <c r="AEK1" s="10" t="str">
        <f>Source!AEL1</f>
        <v/>
      </c>
      <c r="AEL1" s="10" t="str">
        <f>Source!AEM1</f>
        <v/>
      </c>
      <c r="AEM1" s="10" t="str">
        <f>Source!AEN1</f>
        <v/>
      </c>
      <c r="AEN1" s="10" t="str">
        <f>Source!AEO1</f>
        <v/>
      </c>
      <c r="AEO1" s="10" t="str">
        <f>Source!AEP1</f>
        <v/>
      </c>
      <c r="AEP1" s="10" t="str">
        <f>Source!AEQ1</f>
        <v/>
      </c>
      <c r="AEQ1" s="10" t="str">
        <f>Source!AER1</f>
        <v/>
      </c>
      <c r="AER1" s="10" t="str">
        <f>Source!AES1</f>
        <v/>
      </c>
      <c r="AES1" s="10" t="str">
        <f>Source!AET1</f>
        <v/>
      </c>
      <c r="AET1" s="10" t="str">
        <f>Source!AEU1</f>
        <v/>
      </c>
      <c r="AEU1" s="10" t="str">
        <f>Source!AEV1</f>
        <v/>
      </c>
      <c r="AEV1" s="10" t="str">
        <f>Source!AEW1</f>
        <v/>
      </c>
      <c r="AEW1" s="10" t="str">
        <f>Source!AEX1</f>
        <v/>
      </c>
      <c r="AEX1" s="10" t="str">
        <f>Source!AEY1</f>
        <v/>
      </c>
      <c r="AEY1" s="10" t="str">
        <f>Source!AEZ1</f>
        <v/>
      </c>
      <c r="AEZ1" s="10" t="str">
        <f>Source!AFA1</f>
        <v/>
      </c>
      <c r="AFA1" s="10" t="str">
        <f>Source!AFB1</f>
        <v/>
      </c>
      <c r="AFB1" s="10" t="str">
        <f>Source!AFC1</f>
        <v/>
      </c>
      <c r="AFC1" s="10" t="str">
        <f>Source!AFD1</f>
        <v/>
      </c>
      <c r="AFD1" s="10" t="str">
        <f>Source!AFE1</f>
        <v/>
      </c>
      <c r="AFE1" s="10" t="str">
        <f>Source!AFF1</f>
        <v/>
      </c>
      <c r="AFF1" s="10" t="str">
        <f>Source!AFG1</f>
        <v/>
      </c>
      <c r="AFG1" s="10" t="str">
        <f>Source!AFH1</f>
        <v/>
      </c>
      <c r="AFH1" s="10" t="str">
        <f>Source!AFI1</f>
        <v/>
      </c>
      <c r="AFI1" s="10" t="str">
        <f>Source!AFJ1</f>
        <v/>
      </c>
      <c r="AFJ1" s="10" t="str">
        <f>Source!AFK1</f>
        <v/>
      </c>
      <c r="AFK1" s="10" t="str">
        <f>Source!AFL1</f>
        <v/>
      </c>
      <c r="AFL1" s="10" t="str">
        <f>Source!AFM1</f>
        <v/>
      </c>
      <c r="AFM1" s="10" t="str">
        <f>Source!AFN1</f>
        <v/>
      </c>
      <c r="AFN1" s="10" t="str">
        <f>Source!AFO1</f>
        <v/>
      </c>
      <c r="AFO1" s="10" t="str">
        <f>Source!AFP1</f>
        <v/>
      </c>
      <c r="AFP1" s="10" t="str">
        <f>Source!AFQ1</f>
        <v/>
      </c>
      <c r="AFQ1" s="10" t="str">
        <f>Source!AFR1</f>
        <v/>
      </c>
      <c r="AFR1" s="10" t="str">
        <f>Source!AFS1</f>
        <v/>
      </c>
      <c r="AFS1" s="10" t="str">
        <f>Source!AFT1</f>
        <v/>
      </c>
      <c r="AFT1" s="10" t="str">
        <f>Source!AFU1</f>
        <v/>
      </c>
      <c r="AFU1" s="10" t="str">
        <f>Source!AFV1</f>
        <v/>
      </c>
      <c r="AFV1" s="10" t="str">
        <f>Source!AFW1</f>
        <v/>
      </c>
      <c r="AFW1" s="10" t="str">
        <f>Source!AFX1</f>
        <v/>
      </c>
      <c r="AFX1" s="10" t="str">
        <f>Source!AFY1</f>
        <v/>
      </c>
      <c r="AFY1" s="10" t="str">
        <f>Source!AFZ1</f>
        <v/>
      </c>
      <c r="AFZ1" s="10" t="str">
        <f>Source!AGA1</f>
        <v/>
      </c>
      <c r="AGA1" s="10" t="str">
        <f>Source!AGB1</f>
        <v/>
      </c>
      <c r="AGB1" s="10" t="str">
        <f>Source!AGC1</f>
        <v/>
      </c>
      <c r="AGC1" s="10" t="str">
        <f>Source!AGD1</f>
        <v/>
      </c>
      <c r="AGD1" s="10" t="str">
        <f>Source!AGE1</f>
        <v/>
      </c>
      <c r="AGE1" s="10" t="str">
        <f>Source!AGF1</f>
        <v/>
      </c>
      <c r="AGF1" s="10" t="str">
        <f>Source!AGG1</f>
        <v/>
      </c>
      <c r="AGG1" s="10" t="str">
        <f>Source!AGH1</f>
        <v/>
      </c>
      <c r="AGH1" s="10" t="str">
        <f>Source!AGI1</f>
        <v/>
      </c>
      <c r="AGI1" s="10" t="str">
        <f>Source!AGJ1</f>
        <v/>
      </c>
      <c r="AGJ1" s="10" t="str">
        <f>Source!AGK1</f>
        <v/>
      </c>
      <c r="AGK1" s="10" t="str">
        <f>Source!AGL1</f>
        <v/>
      </c>
      <c r="AGL1" s="10" t="str">
        <f>Source!AGM1</f>
        <v/>
      </c>
      <c r="AGM1" s="10" t="str">
        <f>Source!AGN1</f>
        <v/>
      </c>
      <c r="AGN1" s="10" t="str">
        <f>Source!AGO1</f>
        <v/>
      </c>
      <c r="AGO1" s="10" t="str">
        <f>Source!AGP1</f>
        <v/>
      </c>
      <c r="AGP1" s="10" t="str">
        <f>Source!AGQ1</f>
        <v/>
      </c>
      <c r="AGQ1" s="10" t="str">
        <f>Source!AGR1</f>
        <v/>
      </c>
      <c r="AGR1" s="10" t="str">
        <f>Source!AGS1</f>
        <v/>
      </c>
      <c r="AGS1" s="10" t="str">
        <f>Source!AGT1</f>
        <v/>
      </c>
      <c r="AGT1" s="10" t="str">
        <f>Source!AGU1</f>
        <v/>
      </c>
      <c r="AGU1" s="10" t="str">
        <f>Source!AGV1</f>
        <v/>
      </c>
      <c r="AGV1" s="10" t="str">
        <f>Source!AGW1</f>
        <v/>
      </c>
      <c r="AGW1" s="10" t="str">
        <f>Source!AGX1</f>
        <v/>
      </c>
      <c r="AGX1" s="10" t="str">
        <f>Source!AGY1</f>
        <v/>
      </c>
      <c r="AGY1" s="10" t="str">
        <f>Source!AGZ1</f>
        <v/>
      </c>
      <c r="AGZ1" s="10" t="str">
        <f>Source!AHA1</f>
        <v/>
      </c>
      <c r="AHA1" s="10" t="str">
        <f>Source!AHB1</f>
        <v/>
      </c>
      <c r="AHB1" s="10" t="str">
        <f>Source!AHC1</f>
        <v/>
      </c>
      <c r="AHC1" s="10" t="str">
        <f>Source!AHD1</f>
        <v/>
      </c>
      <c r="AHD1" s="10" t="str">
        <f>Source!AHE1</f>
        <v/>
      </c>
      <c r="AHE1" s="10" t="str">
        <f>Source!AHF1</f>
        <v/>
      </c>
      <c r="AHF1" s="10" t="str">
        <f>Source!AHG1</f>
        <v/>
      </c>
      <c r="AHG1" s="10" t="str">
        <f>Source!AHH1</f>
        <v/>
      </c>
      <c r="AHH1" s="10" t="str">
        <f>Source!AHI1</f>
        <v/>
      </c>
      <c r="AHI1" s="10" t="str">
        <f>Source!AHJ1</f>
        <v/>
      </c>
      <c r="AHJ1" s="10" t="str">
        <f>Source!AHK1</f>
        <v/>
      </c>
      <c r="AHK1" s="10" t="str">
        <f>Source!AHL1</f>
        <v/>
      </c>
      <c r="AHL1" s="10" t="str">
        <f>Source!AHM1</f>
        <v/>
      </c>
      <c r="AHM1" s="10" t="str">
        <f>Source!AHN1</f>
        <v/>
      </c>
      <c r="AHN1" s="10" t="str">
        <f>Source!AHO1</f>
        <v/>
      </c>
      <c r="AHO1" s="10" t="str">
        <f>Source!AHP1</f>
        <v/>
      </c>
      <c r="AHP1" s="10" t="str">
        <f>Source!AHQ1</f>
        <v/>
      </c>
      <c r="AHQ1" s="10" t="str">
        <f>Source!AHR1</f>
        <v/>
      </c>
      <c r="AHR1" s="10" t="str">
        <f>Source!AHS1</f>
        <v/>
      </c>
      <c r="AHS1" s="10" t="str">
        <f>Source!AHT1</f>
        <v/>
      </c>
      <c r="AHT1" s="10" t="str">
        <f>Source!AHU1</f>
        <v/>
      </c>
      <c r="AHU1" s="10" t="str">
        <f>Source!AHV1</f>
        <v/>
      </c>
      <c r="AHV1" s="10" t="str">
        <f>Source!AHW1</f>
        <v/>
      </c>
      <c r="AHW1" s="10" t="str">
        <f>Source!AHX1</f>
        <v/>
      </c>
      <c r="AHX1" s="10" t="str">
        <f>Source!AHY1</f>
        <v/>
      </c>
      <c r="AHY1" s="10" t="str">
        <f>Source!AHZ1</f>
        <v/>
      </c>
      <c r="AHZ1" s="10" t="str">
        <f>Source!AIA1</f>
        <v/>
      </c>
      <c r="AIA1" s="10" t="str">
        <f>Source!AIB1</f>
        <v/>
      </c>
      <c r="AIB1" s="10" t="str">
        <f>Source!AIC1</f>
        <v/>
      </c>
      <c r="AIC1" s="10" t="str">
        <f>Source!AID1</f>
        <v/>
      </c>
      <c r="AID1" s="10" t="str">
        <f>Source!AIE1</f>
        <v/>
      </c>
      <c r="AIE1" s="10" t="str">
        <f>Source!AIF1</f>
        <v/>
      </c>
      <c r="AIF1" s="10" t="str">
        <f>Source!AIG1</f>
        <v/>
      </c>
      <c r="AIG1" s="10" t="str">
        <f>Source!AIH1</f>
        <v/>
      </c>
      <c r="AIH1" s="10" t="str">
        <f>Source!AII1</f>
        <v/>
      </c>
      <c r="AII1" s="10" t="str">
        <f>Source!AIJ1</f>
        <v/>
      </c>
      <c r="AIJ1" s="10" t="str">
        <f>Source!AIK1</f>
        <v/>
      </c>
      <c r="AIK1" s="10" t="str">
        <f>Source!AIL1</f>
        <v/>
      </c>
      <c r="AIL1" s="10" t="str">
        <f>Source!AIM1</f>
        <v/>
      </c>
      <c r="AIM1" s="10" t="str">
        <f>Source!AIN1</f>
        <v/>
      </c>
      <c r="AIN1" s="10" t="str">
        <f>Source!AIO1</f>
        <v/>
      </c>
      <c r="AIO1" s="10" t="str">
        <f>Source!AIP1</f>
        <v/>
      </c>
      <c r="AIP1" s="10" t="str">
        <f>Source!AIQ1</f>
        <v/>
      </c>
      <c r="AIQ1" s="10" t="str">
        <f>Source!AIR1</f>
        <v/>
      </c>
      <c r="AIR1" s="10" t="str">
        <f>Source!AIS1</f>
        <v/>
      </c>
      <c r="AIS1" s="10" t="str">
        <f>Source!AIT1</f>
        <v/>
      </c>
      <c r="AIT1" s="10" t="str">
        <f>Source!AIU1</f>
        <v/>
      </c>
      <c r="AIU1" s="10" t="str">
        <f>Source!AIV1</f>
        <v/>
      </c>
      <c r="AIV1" s="10" t="str">
        <f>Source!AIW1</f>
        <v/>
      </c>
      <c r="AIW1" s="10" t="str">
        <f>Source!AIX1</f>
        <v/>
      </c>
      <c r="AIX1" s="10" t="str">
        <f>Source!AIY1</f>
        <v/>
      </c>
      <c r="AIY1" s="10" t="str">
        <f>Source!AIZ1</f>
        <v/>
      </c>
      <c r="AIZ1" s="10" t="str">
        <f>Source!AJA1</f>
        <v/>
      </c>
      <c r="AJA1" s="10" t="str">
        <f>Source!AJB1</f>
        <v/>
      </c>
      <c r="AJB1" s="10" t="str">
        <f>Source!AJC1</f>
        <v/>
      </c>
      <c r="AJC1" s="10" t="str">
        <f>Source!AJD1</f>
        <v/>
      </c>
      <c r="AJD1" s="10" t="str">
        <f>Source!AJE1</f>
        <v/>
      </c>
      <c r="AJE1" s="10" t="str">
        <f>Source!AJF1</f>
        <v/>
      </c>
      <c r="AJF1" s="10" t="str">
        <f>Source!AJG1</f>
        <v/>
      </c>
      <c r="AJG1" s="10" t="str">
        <f>Source!AJH1</f>
        <v/>
      </c>
      <c r="AJH1" s="10" t="str">
        <f>Source!AJI1</f>
        <v/>
      </c>
      <c r="AJI1" s="10" t="str">
        <f>Source!AJJ1</f>
        <v/>
      </c>
      <c r="AJJ1" s="10" t="str">
        <f>Source!AJK1</f>
        <v/>
      </c>
      <c r="AJK1" s="10" t="str">
        <f>Source!AJL1</f>
        <v/>
      </c>
      <c r="AJL1" s="10" t="str">
        <f>Source!AJM1</f>
        <v/>
      </c>
      <c r="AJM1" s="10" t="str">
        <f>Source!AJN1</f>
        <v/>
      </c>
      <c r="AJN1" s="10" t="str">
        <f>Source!AJO1</f>
        <v/>
      </c>
      <c r="AJO1" s="10" t="str">
        <f>Source!AJP1</f>
        <v/>
      </c>
      <c r="AJP1" s="10" t="str">
        <f>Source!AJQ1</f>
        <v/>
      </c>
      <c r="AJQ1" s="10" t="str">
        <f>Source!AJR1</f>
        <v/>
      </c>
      <c r="AJR1" s="10" t="str">
        <f>Source!AJS1</f>
        <v/>
      </c>
      <c r="AJS1" s="10" t="str">
        <f>Source!AJT1</f>
        <v/>
      </c>
      <c r="AJT1" s="10" t="str">
        <f>Source!AJU1</f>
        <v/>
      </c>
      <c r="AJU1" s="10" t="str">
        <f>Source!AJV1</f>
        <v/>
      </c>
      <c r="AJV1" s="10" t="str">
        <f>Source!AJW1</f>
        <v/>
      </c>
      <c r="AJW1" s="10" t="str">
        <f>Source!AJX1</f>
        <v/>
      </c>
      <c r="AJX1" s="10" t="str">
        <f>Source!AJY1</f>
        <v/>
      </c>
      <c r="AJY1" s="10" t="str">
        <f>Source!AJZ1</f>
        <v/>
      </c>
      <c r="AJZ1" s="10" t="str">
        <f>Source!AKA1</f>
        <v/>
      </c>
      <c r="AKA1" s="10" t="str">
        <f>Source!AKB1</f>
        <v/>
      </c>
      <c r="AKB1" s="10" t="str">
        <f>Source!AKC1</f>
        <v/>
      </c>
      <c r="AKC1" s="10" t="str">
        <f>Source!AKD1</f>
        <v/>
      </c>
      <c r="AKD1" s="10" t="str">
        <f>Source!AKE1</f>
        <v/>
      </c>
      <c r="AKE1" s="10" t="str">
        <f>Source!AKF1</f>
        <v/>
      </c>
      <c r="AKF1" s="10" t="str">
        <f>Source!AKG1</f>
        <v/>
      </c>
      <c r="AKG1" s="10" t="str">
        <f>Source!AKH1</f>
        <v/>
      </c>
      <c r="AKH1" s="10" t="str">
        <f>Source!AKI1</f>
        <v/>
      </c>
      <c r="AKI1" s="10" t="str">
        <f>Source!AKJ1</f>
        <v/>
      </c>
      <c r="AKJ1" s="10" t="str">
        <f>Source!AKK1</f>
        <v/>
      </c>
      <c r="AKK1" s="10" t="str">
        <f>Source!AKL1</f>
        <v/>
      </c>
      <c r="AKL1" s="10" t="str">
        <f>Source!AKM1</f>
        <v/>
      </c>
      <c r="AKM1" s="10" t="str">
        <f>Source!AKN1</f>
        <v/>
      </c>
      <c r="AKN1" s="10" t="str">
        <f>Source!AKO1</f>
        <v/>
      </c>
      <c r="AKO1" s="10" t="str">
        <f>Source!AKP1</f>
        <v/>
      </c>
      <c r="AKP1" s="10" t="str">
        <f>Source!AKQ1</f>
        <v/>
      </c>
      <c r="AKQ1" s="10" t="str">
        <f>Source!AKR1</f>
        <v/>
      </c>
      <c r="AKR1" s="10" t="str">
        <f>Source!AKS1</f>
        <v/>
      </c>
      <c r="AKS1" s="10" t="str">
        <f>Source!AKT1</f>
        <v/>
      </c>
      <c r="AKT1" s="10" t="str">
        <f>Source!AKU1</f>
        <v/>
      </c>
      <c r="AKU1" s="10" t="str">
        <f>Source!AKV1</f>
        <v/>
      </c>
      <c r="AKV1" s="10" t="str">
        <f>Source!AKW1</f>
        <v/>
      </c>
      <c r="AKW1" s="10" t="str">
        <f>Source!AKX1</f>
        <v/>
      </c>
      <c r="AKX1" s="10" t="str">
        <f>Source!AKY1</f>
        <v/>
      </c>
      <c r="AKY1" s="10" t="str">
        <f>Source!AKZ1</f>
        <v/>
      </c>
      <c r="AKZ1" s="10" t="str">
        <f>Source!ALA1</f>
        <v/>
      </c>
      <c r="ALA1" s="10" t="str">
        <f>Source!ALB1</f>
        <v/>
      </c>
      <c r="ALB1" s="10" t="str">
        <f>Source!ALC1</f>
        <v/>
      </c>
      <c r="ALC1" s="10" t="str">
        <f>Source!ALD1</f>
        <v/>
      </c>
      <c r="ALD1" s="10" t="str">
        <f>Source!ALE1</f>
        <v/>
      </c>
      <c r="ALE1" s="10" t="str">
        <f>Source!ALF1</f>
        <v/>
      </c>
      <c r="ALF1" s="10" t="str">
        <f>Source!ALG1</f>
        <v/>
      </c>
      <c r="ALG1" s="10" t="str">
        <f>Source!ALH1</f>
        <v/>
      </c>
      <c r="ALH1" s="10" t="str">
        <f>Source!ALI1</f>
        <v/>
      </c>
      <c r="ALI1" s="10" t="str">
        <f>Source!ALJ1</f>
        <v/>
      </c>
      <c r="ALJ1" s="10" t="str">
        <f>Source!ALK1</f>
        <v/>
      </c>
      <c r="ALK1" s="10" t="str">
        <f>Source!ALL1</f>
        <v/>
      </c>
      <c r="ALL1" s="10" t="str">
        <f>Source!ALM1</f>
        <v/>
      </c>
      <c r="ALM1" s="10" t="str">
        <f>Source!ALN1</f>
        <v/>
      </c>
    </row>
    <row r="2" spans="1:1001" s="10" customFormat="1" ht="82.5" customHeight="1" x14ac:dyDescent="0.2">
      <c r="A2" s="11" t="s">
        <v>3</v>
      </c>
      <c r="B2" s="10" t="str">
        <f>Source!C2</f>
        <v>Touchpoint description</v>
      </c>
      <c r="C2" s="10" t="str">
        <f>Source!D2</f>
        <v>Touchpoint description</v>
      </c>
      <c r="D2" s="10" t="str">
        <f>Source!E2</f>
        <v>Touchpoint description</v>
      </c>
      <c r="E2" s="10" t="str">
        <f>Source!F2</f>
        <v>Touchpoint description</v>
      </c>
      <c r="F2" s="10" t="str">
        <f>Source!G2</f>
        <v>Touchpoint description</v>
      </c>
      <c r="G2" s="10" t="str">
        <f>Source!H2</f>
        <v>Touchpoint description</v>
      </c>
      <c r="H2" s="10" t="str">
        <f>Source!I2</f>
        <v>Touchpoint description</v>
      </c>
      <c r="I2" s="10" t="str">
        <f>Source!J2</f>
        <v>Touchpoint description</v>
      </c>
      <c r="J2" s="10" t="str">
        <f>Source!K2</f>
        <v>Touchpoint description</v>
      </c>
      <c r="K2" s="10" t="str">
        <f>Source!L2</f>
        <v>Touchpoint description</v>
      </c>
      <c r="L2" s="10" t="str">
        <f>Source!M2</f>
        <v>Touchpoint description</v>
      </c>
      <c r="M2" s="10" t="str">
        <f>Source!N2</f>
        <v>Touchpoint description</v>
      </c>
      <c r="N2" s="10" t="str">
        <f>Source!O2</f>
        <v>Touchpoint description</v>
      </c>
      <c r="O2" s="10" t="str">
        <f>Source!P2</f>
        <v>Touchpoint description</v>
      </c>
      <c r="P2" s="10" t="str">
        <f>Source!Q2</f>
        <v>Touchpoint description</v>
      </c>
      <c r="Q2" s="10" t="str">
        <f>Source!R2</f>
        <v>Touchpoint description</v>
      </c>
      <c r="R2" s="10" t="str">
        <f>Source!S2</f>
        <v>Touchpoint description</v>
      </c>
      <c r="S2" s="10" t="str">
        <f>Source!T2</f>
        <v>Touchpoint description</v>
      </c>
      <c r="T2" s="10" t="str">
        <f>Source!U2</f>
        <v>Touchpoint description</v>
      </c>
      <c r="U2" s="10" t="str">
        <f>Source!V2</f>
        <v>Touchpoint description</v>
      </c>
      <c r="V2" s="10" t="str">
        <f>Source!W2</f>
        <v>Touchpoint description</v>
      </c>
      <c r="W2" s="10" t="str">
        <f>Source!X2</f>
        <v>Touchpoint description</v>
      </c>
      <c r="X2" s="10" t="str">
        <f>Source!Y2</f>
        <v>Touchpoint description</v>
      </c>
      <c r="Y2" s="10" t="str">
        <f>Source!Z2</f>
        <v>Touchpoint description</v>
      </c>
      <c r="Z2" s="10" t="str">
        <f>Source!AA2</f>
        <v>Touchpoint description</v>
      </c>
      <c r="AA2" s="10" t="str">
        <f>Source!AB2</f>
        <v>Touchpoint description</v>
      </c>
      <c r="AB2" s="10" t="str">
        <f>Source!AC2</f>
        <v>Touchpoint description</v>
      </c>
      <c r="AC2" s="10" t="str">
        <f>Source!AD2</f>
        <v>Touchpoint description</v>
      </c>
      <c r="AD2" s="10" t="str">
        <f>Source!AE2</f>
        <v>Touchpoint description</v>
      </c>
      <c r="AE2" s="10" t="str">
        <f>Source!AF2</f>
        <v>Touchpoint description</v>
      </c>
      <c r="AF2" s="10" t="str">
        <f>Source!AG2</f>
        <v>Touchpoint description</v>
      </c>
      <c r="AG2" s="10" t="str">
        <f>Source!AH2</f>
        <v>Touchpoint description</v>
      </c>
      <c r="AH2" s="10" t="str">
        <f>Source!AI2</f>
        <v>Touchpoint description</v>
      </c>
      <c r="AI2" s="10" t="str">
        <f>Source!AJ2</f>
        <v>Touchpoint description</v>
      </c>
      <c r="AJ2" s="10" t="str">
        <f>Source!AK2</f>
        <v>Touchpoint description</v>
      </c>
      <c r="AK2" s="10" t="str">
        <f>Source!AL2</f>
        <v>Touchpoint description</v>
      </c>
      <c r="AL2" s="10" t="str">
        <f>Source!AM2</f>
        <v>Touchpoint description</v>
      </c>
      <c r="AM2" s="10" t="str">
        <f>Source!AN2</f>
        <v>Touchpoint description</v>
      </c>
      <c r="AN2" s="10" t="str">
        <f>Source!AO2</f>
        <v>Touchpoint description</v>
      </c>
      <c r="AO2" s="10" t="str">
        <f>Source!AP2</f>
        <v>Touchpoint description</v>
      </c>
      <c r="AP2" s="10" t="str">
        <f>Source!AQ2</f>
        <v>Touchpoint description</v>
      </c>
      <c r="AQ2" s="10" t="str">
        <f>Source!AR2</f>
        <v>Touchpoint description</v>
      </c>
      <c r="AR2" s="10" t="str">
        <f>Source!AS2</f>
        <v>Touchpoint description</v>
      </c>
      <c r="AS2" s="10" t="str">
        <f>Source!AT2</f>
        <v>Touchpoint description</v>
      </c>
      <c r="AT2" s="10" t="str">
        <f>Source!AU2</f>
        <v>Touchpoint description</v>
      </c>
      <c r="AU2" s="10" t="str">
        <f>Source!AV2</f>
        <v>Touchpoint description</v>
      </c>
      <c r="AV2" s="10" t="str">
        <f>Source!AW2</f>
        <v>Touchpoint description</v>
      </c>
      <c r="AW2" s="10" t="str">
        <f>Source!AX2</f>
        <v>Touchpoint description</v>
      </c>
      <c r="AX2" s="10" t="str">
        <f>Source!AY2</f>
        <v>Touchpoint description</v>
      </c>
      <c r="AY2" s="10" t="str">
        <f>Source!AZ2</f>
        <v>Touchpoint description</v>
      </c>
      <c r="AZ2" s="10" t="str">
        <f>Source!BA2</f>
        <v>Touchpoint description</v>
      </c>
      <c r="BA2" s="10" t="str">
        <f>Source!BB2</f>
        <v>Touchpoint description</v>
      </c>
      <c r="BB2" s="10" t="str">
        <f>Source!BC2</f>
        <v>Touchpoint description</v>
      </c>
      <c r="BC2" s="10" t="str">
        <f>Source!BD2</f>
        <v>Touchpoint description</v>
      </c>
      <c r="BD2" s="10" t="str">
        <f>Source!BE2</f>
        <v>Touchpoint description</v>
      </c>
      <c r="BE2" s="10" t="str">
        <f>Source!BF2</f>
        <v>Touchpoint description</v>
      </c>
      <c r="BF2" s="10" t="str">
        <f>Source!BG2</f>
        <v>Touchpoint description</v>
      </c>
      <c r="BG2" s="10" t="str">
        <f>Source!BH2</f>
        <v>Touchpoint description</v>
      </c>
      <c r="BH2" s="10" t="str">
        <f>Source!BI2</f>
        <v>Touchpoint description</v>
      </c>
      <c r="BI2" s="10" t="str">
        <f>Source!BJ2</f>
        <v>Touchpoint description</v>
      </c>
      <c r="BJ2" s="10" t="str">
        <f>Source!BK2</f>
        <v>Touchpoint description</v>
      </c>
      <c r="BK2" s="10" t="str">
        <f>Source!BL2</f>
        <v>Touchpoint description</v>
      </c>
      <c r="BL2" s="10" t="str">
        <f>Source!BM2</f>
        <v>Touchpoint description</v>
      </c>
      <c r="BM2" s="10" t="str">
        <f>Source!BN2</f>
        <v>Touchpoint description</v>
      </c>
      <c r="BN2" s="10" t="str">
        <f>Source!BO2</f>
        <v>Touchpoint description</v>
      </c>
      <c r="BO2" s="10" t="str">
        <f>Source!BP2</f>
        <v>Touchpoint description</v>
      </c>
      <c r="BP2" s="10" t="str">
        <f>Source!BQ2</f>
        <v>Touchpoint description</v>
      </c>
      <c r="BQ2" s="10" t="str">
        <f>Source!BR2</f>
        <v>Touchpoint description</v>
      </c>
      <c r="BR2" s="10" t="str">
        <f>Source!BS2</f>
        <v>Touchpoint description</v>
      </c>
      <c r="BS2" s="10" t="str">
        <f>Source!BT2</f>
        <v>Touchpoint description</v>
      </c>
      <c r="BT2" s="10" t="str">
        <f>Source!BU2</f>
        <v>Touchpoint description</v>
      </c>
      <c r="BU2" s="10" t="str">
        <f>Source!BV2</f>
        <v>Touchpoint description</v>
      </c>
      <c r="BV2" s="10" t="str">
        <f>Source!BW2</f>
        <v>Touchpoint description</v>
      </c>
      <c r="BW2" s="10" t="str">
        <f>Source!BX2</f>
        <v>Touchpoint description</v>
      </c>
      <c r="BX2" s="10" t="str">
        <f>Source!BY2</f>
        <v>Touchpoint description</v>
      </c>
      <c r="BY2" s="10" t="str">
        <f>Source!BZ2</f>
        <v>Touchpoint description</v>
      </c>
      <c r="BZ2" s="10" t="str">
        <f>Source!CA2</f>
        <v>Touchpoint description</v>
      </c>
      <c r="CA2" s="10" t="str">
        <f>Source!CB2</f>
        <v>Touchpoint description</v>
      </c>
      <c r="CB2" s="10" t="str">
        <f>Source!CC2</f>
        <v>Touchpoint description</v>
      </c>
      <c r="CC2" s="10" t="str">
        <f>Source!CD2</f>
        <v>Touchpoint description</v>
      </c>
      <c r="CD2" s="10" t="str">
        <f>Source!CE2</f>
        <v>Touchpoint description</v>
      </c>
      <c r="CE2" s="10" t="str">
        <f>Source!CF2</f>
        <v>Touchpoint description</v>
      </c>
      <c r="CF2" s="10" t="str">
        <f>Source!CG2</f>
        <v>Touchpoint description</v>
      </c>
      <c r="CG2" s="10" t="str">
        <f>Source!CH2</f>
        <v>Touchpoint description</v>
      </c>
      <c r="CH2" s="10" t="str">
        <f>Source!CI2</f>
        <v>Touchpoint description</v>
      </c>
      <c r="CI2" s="10" t="str">
        <f>Source!CJ2</f>
        <v>Touchpoint description</v>
      </c>
      <c r="CJ2" s="10" t="str">
        <f>Source!CK2</f>
        <v>Touchpoint description</v>
      </c>
      <c r="CK2" s="10" t="str">
        <f>Source!CL2</f>
        <v>Touchpoint description</v>
      </c>
      <c r="CL2" s="10" t="str">
        <f>Source!CM2</f>
        <v>Touchpoint description</v>
      </c>
      <c r="CM2" s="10" t="str">
        <f>Source!CN2</f>
        <v>Touchpoint description</v>
      </c>
      <c r="CN2" s="10" t="str">
        <f>Source!CO2</f>
        <v>Touchpoint description</v>
      </c>
      <c r="CO2" s="10" t="str">
        <f>Source!CP2</f>
        <v>Touchpoint description</v>
      </c>
      <c r="CP2" s="10" t="str">
        <f>Source!CQ2</f>
        <v>Touchpoint description</v>
      </c>
      <c r="CQ2" s="10" t="str">
        <f>Source!CR2</f>
        <v>Touchpoint description</v>
      </c>
      <c r="CR2" s="10" t="str">
        <f>Source!CS2</f>
        <v>Touchpoint description</v>
      </c>
      <c r="CS2" s="10" t="str">
        <f>Source!CT2</f>
        <v>Touchpoint description</v>
      </c>
      <c r="CT2" s="10" t="str">
        <f>Source!CU2</f>
        <v>Touchpoint description</v>
      </c>
      <c r="CU2" s="10" t="str">
        <f>Source!CV2</f>
        <v>Touchpoint description</v>
      </c>
      <c r="CV2" s="10" t="str">
        <f>Source!CW2</f>
        <v>Touchpoint description</v>
      </c>
      <c r="CW2" s="10" t="str">
        <f>Source!CX2</f>
        <v>Touchpoint description</v>
      </c>
      <c r="CX2" s="10" t="str">
        <f>Source!CY2</f>
        <v>Touchpoint description</v>
      </c>
      <c r="CY2" s="10" t="str">
        <f>Source!CZ2</f>
        <v>Touchpoint description</v>
      </c>
      <c r="CZ2" s="10" t="str">
        <f>Source!DA2</f>
        <v>Touchpoint description</v>
      </c>
      <c r="DA2" s="10" t="str">
        <f>Source!DB2</f>
        <v>Touchpoint description</v>
      </c>
      <c r="DB2" s="10" t="str">
        <f>Source!DC2</f>
        <v/>
      </c>
      <c r="DC2" s="10" t="str">
        <f>Source!DD2</f>
        <v/>
      </c>
      <c r="DD2" s="10" t="str">
        <f>Source!DE2</f>
        <v/>
      </c>
      <c r="DE2" s="10" t="str">
        <f>Source!DF2</f>
        <v/>
      </c>
      <c r="DF2" s="10" t="str">
        <f>Source!DG2</f>
        <v/>
      </c>
      <c r="DG2" s="10" t="str">
        <f>Source!DH2</f>
        <v/>
      </c>
      <c r="DH2" s="10" t="str">
        <f>Source!DI2</f>
        <v/>
      </c>
      <c r="DI2" s="10" t="str">
        <f>Source!DJ2</f>
        <v/>
      </c>
      <c r="DJ2" s="10" t="str">
        <f>Source!DK2</f>
        <v/>
      </c>
      <c r="DK2" s="10" t="str">
        <f>Source!DL2</f>
        <v/>
      </c>
      <c r="DL2" s="10" t="str">
        <f>Source!DM2</f>
        <v/>
      </c>
      <c r="DM2" s="10" t="str">
        <f>Source!DN2</f>
        <v/>
      </c>
      <c r="DN2" s="10" t="str">
        <f>Source!DO2</f>
        <v/>
      </c>
      <c r="DO2" s="10" t="str">
        <f>Source!DP2</f>
        <v/>
      </c>
      <c r="DP2" s="10" t="str">
        <f>Source!DQ2</f>
        <v/>
      </c>
      <c r="DQ2" s="10" t="str">
        <f>Source!DR2</f>
        <v/>
      </c>
      <c r="DR2" s="10" t="str">
        <f>Source!DS2</f>
        <v/>
      </c>
      <c r="DS2" s="10" t="str">
        <f>Source!DT2</f>
        <v/>
      </c>
      <c r="DT2" s="10" t="str">
        <f>Source!DU2</f>
        <v/>
      </c>
      <c r="DU2" s="10" t="str">
        <f>Source!DV2</f>
        <v/>
      </c>
      <c r="DV2" s="10" t="str">
        <f>Source!DW2</f>
        <v/>
      </c>
      <c r="DW2" s="10" t="str">
        <f>Source!DX2</f>
        <v/>
      </c>
      <c r="DX2" s="10" t="str">
        <f>Source!DY2</f>
        <v/>
      </c>
      <c r="DY2" s="10" t="str">
        <f>Source!DZ2</f>
        <v/>
      </c>
      <c r="DZ2" s="10" t="str">
        <f>Source!EA2</f>
        <v/>
      </c>
      <c r="EA2" s="10" t="str">
        <f>Source!EB2</f>
        <v/>
      </c>
      <c r="EB2" s="10" t="str">
        <f>Source!EC2</f>
        <v/>
      </c>
      <c r="EC2" s="10" t="str">
        <f>Source!ED2</f>
        <v/>
      </c>
      <c r="ED2" s="10" t="str">
        <f>Source!EE2</f>
        <v/>
      </c>
      <c r="EE2" s="10" t="str">
        <f>Source!EF2</f>
        <v/>
      </c>
      <c r="EF2" s="10" t="str">
        <f>Source!EG2</f>
        <v/>
      </c>
      <c r="EG2" s="10" t="str">
        <f>Source!EH2</f>
        <v/>
      </c>
      <c r="EH2" s="10" t="str">
        <f>Source!EI2</f>
        <v/>
      </c>
      <c r="EI2" s="10" t="str">
        <f>Source!EJ2</f>
        <v/>
      </c>
      <c r="EJ2" s="10" t="str">
        <f>Source!EK2</f>
        <v/>
      </c>
      <c r="EK2" s="10" t="str">
        <f>Source!EL2</f>
        <v/>
      </c>
      <c r="EL2" s="10" t="str">
        <f>Source!EM2</f>
        <v/>
      </c>
      <c r="EM2" s="10" t="str">
        <f>Source!EN2</f>
        <v/>
      </c>
      <c r="EN2" s="10" t="str">
        <f>Source!EO2</f>
        <v/>
      </c>
      <c r="EO2" s="10" t="str">
        <f>Source!EP2</f>
        <v/>
      </c>
      <c r="EP2" s="10" t="str">
        <f>Source!EQ2</f>
        <v/>
      </c>
      <c r="EQ2" s="10" t="str">
        <f>Source!ER2</f>
        <v/>
      </c>
      <c r="ER2" s="10" t="str">
        <f>Source!ES2</f>
        <v/>
      </c>
      <c r="ES2" s="10" t="str">
        <f>Source!ET2</f>
        <v/>
      </c>
      <c r="ET2" s="10" t="str">
        <f>Source!EU2</f>
        <v/>
      </c>
      <c r="EU2" s="10" t="str">
        <f>Source!EV2</f>
        <v/>
      </c>
      <c r="EV2" s="10" t="str">
        <f>Source!EW2</f>
        <v/>
      </c>
      <c r="EW2" s="10" t="str">
        <f>Source!EX2</f>
        <v/>
      </c>
      <c r="EX2" s="10" t="str">
        <f>Source!EY2</f>
        <v/>
      </c>
      <c r="EY2" s="10" t="str">
        <f>Source!EZ2</f>
        <v/>
      </c>
      <c r="EZ2" s="10" t="str">
        <f>Source!FA2</f>
        <v/>
      </c>
      <c r="FA2" s="10" t="str">
        <f>Source!FB2</f>
        <v/>
      </c>
      <c r="FB2" s="10" t="str">
        <f>Source!FC2</f>
        <v/>
      </c>
      <c r="FC2" s="10" t="str">
        <f>Source!FD2</f>
        <v/>
      </c>
      <c r="FD2" s="10" t="str">
        <f>Source!FE2</f>
        <v/>
      </c>
      <c r="FE2" s="10" t="str">
        <f>Source!FF2</f>
        <v/>
      </c>
      <c r="FF2" s="10" t="str">
        <f>Source!FG2</f>
        <v/>
      </c>
      <c r="FG2" s="10" t="str">
        <f>Source!FH2</f>
        <v/>
      </c>
      <c r="FH2" s="10" t="str">
        <f>Source!FI2</f>
        <v/>
      </c>
      <c r="FI2" s="10" t="str">
        <f>Source!FJ2</f>
        <v/>
      </c>
      <c r="FJ2" s="10" t="str">
        <f>Source!FK2</f>
        <v/>
      </c>
      <c r="FK2" s="10" t="str">
        <f>Source!FL2</f>
        <v/>
      </c>
      <c r="FL2" s="10" t="str">
        <f>Source!FM2</f>
        <v/>
      </c>
      <c r="FM2" s="10" t="str">
        <f>Source!FN2</f>
        <v/>
      </c>
      <c r="FN2" s="10" t="str">
        <f>Source!FO2</f>
        <v/>
      </c>
      <c r="FO2" s="10" t="str">
        <f>Source!FP2</f>
        <v/>
      </c>
      <c r="FP2" s="10" t="str">
        <f>Source!FQ2</f>
        <v/>
      </c>
      <c r="FQ2" s="10" t="str">
        <f>Source!FR2</f>
        <v/>
      </c>
      <c r="FR2" s="10" t="str">
        <f>Source!FS2</f>
        <v/>
      </c>
      <c r="FS2" s="10" t="str">
        <f>Source!FT2</f>
        <v/>
      </c>
      <c r="FT2" s="10" t="str">
        <f>Source!FU2</f>
        <v/>
      </c>
      <c r="FU2" s="10" t="str">
        <f>Source!FV2</f>
        <v/>
      </c>
      <c r="FV2" s="10" t="str">
        <f>Source!FW2</f>
        <v/>
      </c>
      <c r="FW2" s="10" t="str">
        <f>Source!FX2</f>
        <v/>
      </c>
      <c r="FX2" s="10" t="str">
        <f>Source!FY2</f>
        <v/>
      </c>
      <c r="FY2" s="10" t="str">
        <f>Source!FZ2</f>
        <v/>
      </c>
      <c r="FZ2" s="10" t="str">
        <f>Source!GA2</f>
        <v/>
      </c>
      <c r="GA2" s="10" t="str">
        <f>Source!GB2</f>
        <v/>
      </c>
      <c r="GB2" s="10" t="str">
        <f>Source!GC2</f>
        <v/>
      </c>
      <c r="GC2" s="10" t="str">
        <f>Source!GD2</f>
        <v/>
      </c>
      <c r="GD2" s="10" t="str">
        <f>Source!GE2</f>
        <v/>
      </c>
      <c r="GE2" s="10" t="str">
        <f>Source!GF2</f>
        <v/>
      </c>
      <c r="GF2" s="10" t="str">
        <f>Source!GG2</f>
        <v/>
      </c>
      <c r="GG2" s="10" t="str">
        <f>Source!GH2</f>
        <v/>
      </c>
      <c r="GH2" s="10" t="str">
        <f>Source!GI2</f>
        <v/>
      </c>
      <c r="GI2" s="10" t="str">
        <f>Source!GJ2</f>
        <v/>
      </c>
      <c r="GJ2" s="10" t="str">
        <f>Source!GK2</f>
        <v/>
      </c>
      <c r="GK2" s="10" t="str">
        <f>Source!GL2</f>
        <v/>
      </c>
      <c r="GL2" s="10" t="str">
        <f>Source!GM2</f>
        <v/>
      </c>
      <c r="GM2" s="10" t="str">
        <f>Source!GN2</f>
        <v/>
      </c>
      <c r="GN2" s="10" t="str">
        <f>Source!GO2</f>
        <v/>
      </c>
      <c r="GO2" s="10" t="str">
        <f>Source!GP2</f>
        <v/>
      </c>
      <c r="GP2" s="10" t="str">
        <f>Source!GQ2</f>
        <v/>
      </c>
      <c r="GQ2" s="10" t="str">
        <f>Source!GR2</f>
        <v/>
      </c>
      <c r="GR2" s="10" t="str">
        <f>Source!GS2</f>
        <v/>
      </c>
      <c r="GS2" s="10" t="str">
        <f>Source!GT2</f>
        <v/>
      </c>
      <c r="GT2" s="10" t="str">
        <f>Source!GU2</f>
        <v/>
      </c>
      <c r="GU2" s="10" t="str">
        <f>Source!GV2</f>
        <v/>
      </c>
      <c r="GV2" s="10" t="str">
        <f>Source!GW2</f>
        <v/>
      </c>
      <c r="GW2" s="10" t="str">
        <f>Source!GX2</f>
        <v/>
      </c>
      <c r="GX2" s="10" t="str">
        <f>Source!GY2</f>
        <v/>
      </c>
      <c r="GY2" s="10" t="str">
        <f>Source!GZ2</f>
        <v/>
      </c>
      <c r="GZ2" s="10" t="str">
        <f>Source!HA2</f>
        <v/>
      </c>
      <c r="HA2" s="10" t="str">
        <f>Source!HB2</f>
        <v/>
      </c>
      <c r="HB2" s="10" t="str">
        <f>Source!HC2</f>
        <v/>
      </c>
      <c r="HC2" s="10" t="str">
        <f>Source!HD2</f>
        <v/>
      </c>
      <c r="HD2" s="10" t="str">
        <f>Source!HE2</f>
        <v/>
      </c>
      <c r="HE2" s="10" t="str">
        <f>Source!HF2</f>
        <v/>
      </c>
      <c r="HF2" s="10" t="str">
        <f>Source!HG2</f>
        <v/>
      </c>
      <c r="HG2" s="10" t="str">
        <f>Source!HH2</f>
        <v/>
      </c>
      <c r="HH2" s="10" t="str">
        <f>Source!HI2</f>
        <v/>
      </c>
      <c r="HI2" s="10" t="str">
        <f>Source!HJ2</f>
        <v/>
      </c>
      <c r="HJ2" s="10" t="str">
        <f>Source!HK2</f>
        <v/>
      </c>
      <c r="HK2" s="10" t="str">
        <f>Source!HL2</f>
        <v/>
      </c>
      <c r="HL2" s="10" t="str">
        <f>Source!HM2</f>
        <v/>
      </c>
      <c r="HM2" s="10" t="str">
        <f>Source!HN2</f>
        <v/>
      </c>
      <c r="HN2" s="10" t="str">
        <f>Source!HO2</f>
        <v/>
      </c>
      <c r="HO2" s="10" t="str">
        <f>Source!HP2</f>
        <v/>
      </c>
      <c r="HP2" s="10" t="str">
        <f>Source!HQ2</f>
        <v/>
      </c>
      <c r="HQ2" s="10" t="str">
        <f>Source!HR2</f>
        <v/>
      </c>
      <c r="HR2" s="10" t="str">
        <f>Source!HS2</f>
        <v/>
      </c>
      <c r="HS2" s="10" t="str">
        <f>Source!HT2</f>
        <v/>
      </c>
      <c r="HT2" s="10" t="str">
        <f>Source!HU2</f>
        <v/>
      </c>
      <c r="HU2" s="10" t="str">
        <f>Source!HV2</f>
        <v/>
      </c>
      <c r="HV2" s="10" t="str">
        <f>Source!HW2</f>
        <v/>
      </c>
      <c r="HW2" s="10" t="str">
        <f>Source!HX2</f>
        <v/>
      </c>
      <c r="HX2" s="10" t="str">
        <f>Source!HY2</f>
        <v/>
      </c>
      <c r="HY2" s="10" t="str">
        <f>Source!HZ2</f>
        <v/>
      </c>
      <c r="HZ2" s="10" t="str">
        <f>Source!IA2</f>
        <v/>
      </c>
      <c r="IA2" s="10" t="str">
        <f>Source!IB2</f>
        <v/>
      </c>
      <c r="IB2" s="10" t="str">
        <f>Source!IC2</f>
        <v/>
      </c>
      <c r="IC2" s="10" t="str">
        <f>Source!ID2</f>
        <v/>
      </c>
      <c r="ID2" s="10" t="str">
        <f>Source!IE2</f>
        <v/>
      </c>
      <c r="IE2" s="10" t="str">
        <f>Source!IF2</f>
        <v/>
      </c>
      <c r="IF2" s="10" t="str">
        <f>Source!IG2</f>
        <v/>
      </c>
      <c r="IG2" s="10" t="str">
        <f>Source!IH2</f>
        <v/>
      </c>
      <c r="IH2" s="10" t="str">
        <f>Source!II2</f>
        <v/>
      </c>
      <c r="II2" s="10" t="str">
        <f>Source!IJ2</f>
        <v/>
      </c>
      <c r="IJ2" s="10" t="str">
        <f>Source!IK2</f>
        <v/>
      </c>
      <c r="IK2" s="10" t="str">
        <f>Source!IL2</f>
        <v/>
      </c>
      <c r="IL2" s="10" t="str">
        <f>Source!IM2</f>
        <v/>
      </c>
      <c r="IM2" s="10" t="str">
        <f>Source!IN2</f>
        <v/>
      </c>
      <c r="IN2" s="10" t="str">
        <f>Source!IO2</f>
        <v/>
      </c>
      <c r="IO2" s="10" t="str">
        <f>Source!IP2</f>
        <v/>
      </c>
      <c r="IP2" s="10" t="str">
        <f>Source!IQ2</f>
        <v/>
      </c>
      <c r="IQ2" s="10" t="str">
        <f>Source!IR2</f>
        <v/>
      </c>
      <c r="IR2" s="10" t="str">
        <f>Source!IS2</f>
        <v/>
      </c>
      <c r="IS2" s="10" t="str">
        <f>Source!IT2</f>
        <v/>
      </c>
      <c r="IT2" s="10" t="str">
        <f>Source!IU2</f>
        <v/>
      </c>
      <c r="IU2" s="10" t="str">
        <f>Source!IV2</f>
        <v/>
      </c>
      <c r="IV2" s="10" t="str">
        <f>Source!IW2</f>
        <v/>
      </c>
      <c r="IW2" s="10" t="str">
        <f>Source!IX2</f>
        <v/>
      </c>
      <c r="IX2" s="10" t="str">
        <f>Source!IY2</f>
        <v/>
      </c>
      <c r="IY2" s="10" t="str">
        <f>Source!IZ2</f>
        <v/>
      </c>
      <c r="IZ2" s="10" t="str">
        <f>Source!JA2</f>
        <v/>
      </c>
      <c r="JA2" s="10" t="str">
        <f>Source!JB2</f>
        <v/>
      </c>
      <c r="JB2" s="10" t="str">
        <f>Source!JC2</f>
        <v/>
      </c>
      <c r="JC2" s="10" t="str">
        <f>Source!JD2</f>
        <v/>
      </c>
      <c r="JD2" s="10" t="str">
        <f>Source!JE2</f>
        <v/>
      </c>
      <c r="JE2" s="10" t="str">
        <f>Source!JF2</f>
        <v/>
      </c>
      <c r="JF2" s="10" t="str">
        <f>Source!JG2</f>
        <v/>
      </c>
      <c r="JG2" s="10" t="str">
        <f>Source!JH2</f>
        <v/>
      </c>
      <c r="JH2" s="10" t="str">
        <f>Source!JI2</f>
        <v/>
      </c>
      <c r="JI2" s="10" t="str">
        <f>Source!JJ2</f>
        <v/>
      </c>
      <c r="JJ2" s="10" t="str">
        <f>Source!JK2</f>
        <v/>
      </c>
      <c r="JK2" s="10" t="str">
        <f>Source!JL2</f>
        <v/>
      </c>
      <c r="JL2" s="10" t="str">
        <f>Source!JM2</f>
        <v/>
      </c>
      <c r="JM2" s="10" t="str">
        <f>Source!JN2</f>
        <v/>
      </c>
      <c r="JN2" s="10" t="str">
        <f>Source!JO2</f>
        <v/>
      </c>
      <c r="JO2" s="10" t="str">
        <f>Source!JP2</f>
        <v/>
      </c>
      <c r="JP2" s="10" t="str">
        <f>Source!JQ2</f>
        <v/>
      </c>
      <c r="JQ2" s="10" t="str">
        <f>Source!JR2</f>
        <v/>
      </c>
      <c r="JR2" s="10" t="str">
        <f>Source!JS2</f>
        <v/>
      </c>
      <c r="JS2" s="10" t="str">
        <f>Source!JT2</f>
        <v/>
      </c>
      <c r="JT2" s="10" t="str">
        <f>Source!JU2</f>
        <v/>
      </c>
      <c r="JU2" s="10" t="str">
        <f>Source!JV2</f>
        <v/>
      </c>
      <c r="JV2" s="10" t="str">
        <f>Source!JW2</f>
        <v/>
      </c>
      <c r="JW2" s="10" t="str">
        <f>Source!JX2</f>
        <v/>
      </c>
      <c r="JX2" s="10" t="str">
        <f>Source!JY2</f>
        <v/>
      </c>
      <c r="JY2" s="10" t="str">
        <f>Source!JZ2</f>
        <v/>
      </c>
      <c r="JZ2" s="10" t="str">
        <f>Source!KA2</f>
        <v/>
      </c>
      <c r="KA2" s="10" t="str">
        <f>Source!KB2</f>
        <v/>
      </c>
      <c r="KB2" s="10" t="str">
        <f>Source!KC2</f>
        <v/>
      </c>
      <c r="KC2" s="10" t="str">
        <f>Source!KD2</f>
        <v/>
      </c>
      <c r="KD2" s="10" t="str">
        <f>Source!KE2</f>
        <v/>
      </c>
      <c r="KE2" s="10" t="str">
        <f>Source!KF2</f>
        <v/>
      </c>
      <c r="KF2" s="10" t="str">
        <f>Source!KG2</f>
        <v/>
      </c>
      <c r="KG2" s="10" t="str">
        <f>Source!KH2</f>
        <v/>
      </c>
      <c r="KH2" s="10" t="str">
        <f>Source!KI2</f>
        <v/>
      </c>
      <c r="KI2" s="10" t="str">
        <f>Source!KJ2</f>
        <v/>
      </c>
      <c r="KJ2" s="10" t="str">
        <f>Source!KK2</f>
        <v/>
      </c>
      <c r="KK2" s="10" t="str">
        <f>Source!KL2</f>
        <v/>
      </c>
      <c r="KL2" s="10" t="str">
        <f>Source!KM2</f>
        <v/>
      </c>
      <c r="KM2" s="10" t="str">
        <f>Source!KN2</f>
        <v/>
      </c>
      <c r="KN2" s="10" t="str">
        <f>Source!KO2</f>
        <v/>
      </c>
      <c r="KO2" s="10" t="str">
        <f>Source!KP2</f>
        <v/>
      </c>
      <c r="KP2" s="10" t="str">
        <f>Source!KQ2</f>
        <v/>
      </c>
      <c r="KQ2" s="10" t="str">
        <f>Source!KR2</f>
        <v/>
      </c>
      <c r="KR2" s="10" t="str">
        <f>Source!KS2</f>
        <v/>
      </c>
      <c r="KS2" s="10" t="str">
        <f>Source!KT2</f>
        <v/>
      </c>
      <c r="KT2" s="10" t="str">
        <f>Source!KU2</f>
        <v/>
      </c>
      <c r="KU2" s="10" t="str">
        <f>Source!KV2</f>
        <v/>
      </c>
      <c r="KV2" s="10" t="str">
        <f>Source!KW2</f>
        <v/>
      </c>
      <c r="KW2" s="10" t="str">
        <f>Source!KX2</f>
        <v/>
      </c>
      <c r="KX2" s="10" t="str">
        <f>Source!KY2</f>
        <v/>
      </c>
      <c r="KY2" s="10" t="str">
        <f>Source!KZ2</f>
        <v/>
      </c>
      <c r="KZ2" s="10" t="str">
        <f>Source!LA2</f>
        <v/>
      </c>
      <c r="LA2" s="10" t="str">
        <f>Source!LB2</f>
        <v/>
      </c>
      <c r="LB2" s="10" t="str">
        <f>Source!LC2</f>
        <v/>
      </c>
      <c r="LC2" s="10" t="str">
        <f>Source!LD2</f>
        <v/>
      </c>
      <c r="LD2" s="10" t="str">
        <f>Source!LE2</f>
        <v/>
      </c>
      <c r="LE2" s="10" t="str">
        <f>Source!LF2</f>
        <v/>
      </c>
      <c r="LF2" s="10" t="str">
        <f>Source!LG2</f>
        <v/>
      </c>
      <c r="LG2" s="10" t="str">
        <f>Source!LH2</f>
        <v/>
      </c>
      <c r="LH2" s="10" t="str">
        <f>Source!LI2</f>
        <v/>
      </c>
      <c r="LI2" s="10" t="str">
        <f>Source!LJ2</f>
        <v/>
      </c>
      <c r="LJ2" s="10" t="str">
        <f>Source!LK2</f>
        <v/>
      </c>
      <c r="LK2" s="10" t="str">
        <f>Source!LL2</f>
        <v/>
      </c>
      <c r="LL2" s="10" t="str">
        <f>Source!LM2</f>
        <v/>
      </c>
      <c r="LM2" s="10" t="str">
        <f>Source!LN2</f>
        <v/>
      </c>
      <c r="LN2" s="10" t="str">
        <f>Source!LO2</f>
        <v/>
      </c>
      <c r="LO2" s="10" t="str">
        <f>Source!LP2</f>
        <v/>
      </c>
      <c r="LP2" s="10" t="str">
        <f>Source!LQ2</f>
        <v/>
      </c>
      <c r="LQ2" s="10" t="str">
        <f>Source!LR2</f>
        <v/>
      </c>
      <c r="LR2" s="10" t="str">
        <f>Source!LS2</f>
        <v/>
      </c>
      <c r="LS2" s="10" t="str">
        <f>Source!LT2</f>
        <v/>
      </c>
      <c r="LT2" s="10" t="str">
        <f>Source!LU2</f>
        <v/>
      </c>
      <c r="LU2" s="10" t="str">
        <f>Source!LV2</f>
        <v/>
      </c>
      <c r="LV2" s="10" t="str">
        <f>Source!LW2</f>
        <v/>
      </c>
      <c r="LW2" s="10" t="str">
        <f>Source!LX2</f>
        <v/>
      </c>
      <c r="LX2" s="10" t="str">
        <f>Source!LY2</f>
        <v/>
      </c>
      <c r="LY2" s="10" t="str">
        <f>Source!LZ2</f>
        <v/>
      </c>
      <c r="LZ2" s="10" t="str">
        <f>Source!MA2</f>
        <v/>
      </c>
      <c r="MA2" s="10" t="str">
        <f>Source!MB2</f>
        <v/>
      </c>
      <c r="MB2" s="10" t="str">
        <f>Source!MC2</f>
        <v/>
      </c>
      <c r="MC2" s="10" t="str">
        <f>Source!MD2</f>
        <v/>
      </c>
      <c r="MD2" s="10" t="str">
        <f>Source!ME2</f>
        <v/>
      </c>
      <c r="ME2" s="10" t="str">
        <f>Source!MF2</f>
        <v/>
      </c>
      <c r="MF2" s="10" t="str">
        <f>Source!MG2</f>
        <v/>
      </c>
      <c r="MG2" s="10" t="str">
        <f>Source!MH2</f>
        <v/>
      </c>
      <c r="MH2" s="10" t="str">
        <f>Source!MI2</f>
        <v/>
      </c>
      <c r="MI2" s="10" t="str">
        <f>Source!MJ2</f>
        <v/>
      </c>
      <c r="MJ2" s="10" t="str">
        <f>Source!MK2</f>
        <v/>
      </c>
      <c r="MK2" s="10" t="str">
        <f>Source!ML2</f>
        <v/>
      </c>
      <c r="ML2" s="10" t="str">
        <f>Source!MM2</f>
        <v/>
      </c>
      <c r="MM2" s="10" t="str">
        <f>Source!MN2</f>
        <v/>
      </c>
      <c r="MN2" s="10" t="str">
        <f>Source!MO2</f>
        <v/>
      </c>
      <c r="MO2" s="10" t="str">
        <f>Source!MP2</f>
        <v/>
      </c>
      <c r="MP2" s="10" t="str">
        <f>Source!MQ2</f>
        <v/>
      </c>
      <c r="MQ2" s="10" t="str">
        <f>Source!MR2</f>
        <v/>
      </c>
      <c r="MR2" s="10" t="str">
        <f>Source!MS2</f>
        <v/>
      </c>
      <c r="MS2" s="10" t="str">
        <f>Source!MT2</f>
        <v/>
      </c>
      <c r="MT2" s="10" t="str">
        <f>Source!MU2</f>
        <v/>
      </c>
      <c r="MU2" s="10" t="str">
        <f>Source!MV2</f>
        <v/>
      </c>
      <c r="MV2" s="10" t="str">
        <f>Source!MW2</f>
        <v/>
      </c>
      <c r="MW2" s="10" t="str">
        <f>Source!MX2</f>
        <v/>
      </c>
      <c r="MX2" s="10" t="str">
        <f>Source!MY2</f>
        <v/>
      </c>
      <c r="MY2" s="10" t="str">
        <f>Source!MZ2</f>
        <v/>
      </c>
      <c r="MZ2" s="10" t="str">
        <f>Source!NA2</f>
        <v/>
      </c>
      <c r="NA2" s="10" t="str">
        <f>Source!NB2</f>
        <v/>
      </c>
      <c r="NB2" s="10" t="str">
        <f>Source!NC2</f>
        <v/>
      </c>
      <c r="NC2" s="10" t="str">
        <f>Source!ND2</f>
        <v/>
      </c>
      <c r="ND2" s="10" t="str">
        <f>Source!NE2</f>
        <v/>
      </c>
      <c r="NE2" s="10" t="str">
        <f>Source!NF2</f>
        <v/>
      </c>
      <c r="NF2" s="10" t="str">
        <f>Source!NG2</f>
        <v/>
      </c>
      <c r="NG2" s="10" t="str">
        <f>Source!NH2</f>
        <v/>
      </c>
      <c r="NH2" s="10" t="str">
        <f>Source!NI2</f>
        <v/>
      </c>
      <c r="NI2" s="10" t="str">
        <f>Source!NJ2</f>
        <v/>
      </c>
      <c r="NJ2" s="10" t="str">
        <f>Source!NK2</f>
        <v/>
      </c>
      <c r="NK2" s="10" t="str">
        <f>Source!NL2</f>
        <v/>
      </c>
      <c r="NL2" s="10" t="str">
        <f>Source!NM2</f>
        <v/>
      </c>
      <c r="NM2" s="10" t="str">
        <f>Source!NN2</f>
        <v/>
      </c>
      <c r="NN2" s="10" t="str">
        <f>Source!NO2</f>
        <v/>
      </c>
      <c r="NO2" s="10" t="str">
        <f>Source!NP2</f>
        <v/>
      </c>
      <c r="NP2" s="10" t="str">
        <f>Source!NQ2</f>
        <v/>
      </c>
      <c r="NQ2" s="10" t="str">
        <f>Source!NR2</f>
        <v/>
      </c>
      <c r="NR2" s="10" t="str">
        <f>Source!NS2</f>
        <v/>
      </c>
      <c r="NS2" s="10" t="str">
        <f>Source!NT2</f>
        <v/>
      </c>
      <c r="NT2" s="10" t="str">
        <f>Source!NU2</f>
        <v/>
      </c>
      <c r="NU2" s="10" t="str">
        <f>Source!NV2</f>
        <v/>
      </c>
      <c r="NV2" s="10" t="str">
        <f>Source!NW2</f>
        <v/>
      </c>
      <c r="NW2" s="10" t="str">
        <f>Source!NX2</f>
        <v/>
      </c>
      <c r="NX2" s="10" t="str">
        <f>Source!NY2</f>
        <v/>
      </c>
      <c r="NY2" s="10" t="str">
        <f>Source!NZ2</f>
        <v/>
      </c>
      <c r="NZ2" s="10" t="str">
        <f>Source!OA2</f>
        <v/>
      </c>
      <c r="OA2" s="10" t="str">
        <f>Source!OB2</f>
        <v/>
      </c>
      <c r="OB2" s="10" t="str">
        <f>Source!OC2</f>
        <v/>
      </c>
      <c r="OC2" s="10" t="str">
        <f>Source!OD2</f>
        <v/>
      </c>
      <c r="OD2" s="10" t="str">
        <f>Source!OE2</f>
        <v/>
      </c>
      <c r="OE2" s="10" t="str">
        <f>Source!OF2</f>
        <v/>
      </c>
      <c r="OF2" s="10" t="str">
        <f>Source!OG2</f>
        <v/>
      </c>
      <c r="OG2" s="10" t="str">
        <f>Source!OH2</f>
        <v/>
      </c>
      <c r="OH2" s="10" t="str">
        <f>Source!OI2</f>
        <v/>
      </c>
      <c r="OI2" s="10" t="str">
        <f>Source!OJ2</f>
        <v/>
      </c>
      <c r="OJ2" s="10" t="str">
        <f>Source!OK2</f>
        <v/>
      </c>
      <c r="OK2" s="10" t="str">
        <f>Source!OL2</f>
        <v/>
      </c>
      <c r="OL2" s="10" t="str">
        <f>Source!OM2</f>
        <v/>
      </c>
      <c r="OM2" s="10" t="str">
        <f>Source!ON2</f>
        <v/>
      </c>
      <c r="ON2" s="10" t="str">
        <f>Source!OO2</f>
        <v/>
      </c>
      <c r="OO2" s="10" t="str">
        <f>Source!OP2</f>
        <v/>
      </c>
      <c r="OP2" s="10" t="str">
        <f>Source!OQ2</f>
        <v/>
      </c>
      <c r="OQ2" s="10" t="str">
        <f>Source!OR2</f>
        <v/>
      </c>
      <c r="OR2" s="10" t="str">
        <f>Source!OS2</f>
        <v/>
      </c>
      <c r="OS2" s="10" t="str">
        <f>Source!OT2</f>
        <v/>
      </c>
      <c r="OT2" s="10" t="str">
        <f>Source!OU2</f>
        <v/>
      </c>
      <c r="OU2" s="10" t="str">
        <f>Source!OV2</f>
        <v/>
      </c>
      <c r="OV2" s="10" t="str">
        <f>Source!OW2</f>
        <v/>
      </c>
      <c r="OW2" s="10" t="str">
        <f>Source!OX2</f>
        <v/>
      </c>
      <c r="OX2" s="10" t="str">
        <f>Source!OY2</f>
        <v/>
      </c>
      <c r="OY2" s="10" t="str">
        <f>Source!OZ2</f>
        <v/>
      </c>
      <c r="OZ2" s="10" t="str">
        <f>Source!PA2</f>
        <v/>
      </c>
      <c r="PA2" s="10" t="str">
        <f>Source!PB2</f>
        <v/>
      </c>
      <c r="PB2" s="10" t="str">
        <f>Source!PC2</f>
        <v/>
      </c>
      <c r="PC2" s="10" t="str">
        <f>Source!PD2</f>
        <v/>
      </c>
      <c r="PD2" s="10" t="str">
        <f>Source!PE2</f>
        <v/>
      </c>
      <c r="PE2" s="10" t="str">
        <f>Source!PF2</f>
        <v/>
      </c>
      <c r="PF2" s="10" t="str">
        <f>Source!PG2</f>
        <v/>
      </c>
      <c r="PG2" s="10" t="str">
        <f>Source!PH2</f>
        <v/>
      </c>
      <c r="PH2" s="10" t="str">
        <f>Source!PI2</f>
        <v/>
      </c>
      <c r="PI2" s="10" t="str">
        <f>Source!PJ2</f>
        <v/>
      </c>
      <c r="PJ2" s="10" t="str">
        <f>Source!PK2</f>
        <v/>
      </c>
      <c r="PK2" s="10" t="str">
        <f>Source!PL2</f>
        <v/>
      </c>
      <c r="PL2" s="10" t="str">
        <f>Source!PM2</f>
        <v/>
      </c>
      <c r="PM2" s="10" t="str">
        <f>Source!PN2</f>
        <v/>
      </c>
      <c r="PN2" s="10" t="str">
        <f>Source!PO2</f>
        <v/>
      </c>
      <c r="PO2" s="10" t="str">
        <f>Source!PP2</f>
        <v/>
      </c>
      <c r="PP2" s="10" t="str">
        <f>Source!PQ2</f>
        <v/>
      </c>
      <c r="PQ2" s="10" t="str">
        <f>Source!PR2</f>
        <v/>
      </c>
      <c r="PR2" s="10" t="str">
        <f>Source!PS2</f>
        <v/>
      </c>
      <c r="PS2" s="10" t="str">
        <f>Source!PT2</f>
        <v/>
      </c>
      <c r="PT2" s="10" t="str">
        <f>Source!PU2</f>
        <v/>
      </c>
      <c r="PU2" s="10" t="str">
        <f>Source!PV2</f>
        <v/>
      </c>
      <c r="PV2" s="10" t="str">
        <f>Source!PW2</f>
        <v/>
      </c>
      <c r="PW2" s="10" t="str">
        <f>Source!PX2</f>
        <v/>
      </c>
      <c r="PX2" s="10" t="str">
        <f>Source!PY2</f>
        <v/>
      </c>
      <c r="PY2" s="10" t="str">
        <f>Source!PZ2</f>
        <v/>
      </c>
      <c r="PZ2" s="10" t="str">
        <f>Source!QA2</f>
        <v/>
      </c>
      <c r="QA2" s="10" t="str">
        <f>Source!QB2</f>
        <v/>
      </c>
      <c r="QB2" s="10" t="str">
        <f>Source!QC2</f>
        <v/>
      </c>
      <c r="QC2" s="10" t="str">
        <f>Source!QD2</f>
        <v/>
      </c>
      <c r="QD2" s="10" t="str">
        <f>Source!QE2</f>
        <v/>
      </c>
      <c r="QE2" s="10" t="str">
        <f>Source!QF2</f>
        <v/>
      </c>
      <c r="QF2" s="10" t="str">
        <f>Source!QG2</f>
        <v/>
      </c>
      <c r="QG2" s="10" t="str">
        <f>Source!QH2</f>
        <v/>
      </c>
      <c r="QH2" s="10" t="str">
        <f>Source!QI2</f>
        <v/>
      </c>
      <c r="QI2" s="10" t="str">
        <f>Source!QJ2</f>
        <v/>
      </c>
      <c r="QJ2" s="10" t="str">
        <f>Source!QK2</f>
        <v/>
      </c>
      <c r="QK2" s="10" t="str">
        <f>Source!QL2</f>
        <v/>
      </c>
      <c r="QL2" s="10" t="str">
        <f>Source!QM2</f>
        <v/>
      </c>
      <c r="QM2" s="10" t="str">
        <f>Source!QN2</f>
        <v/>
      </c>
      <c r="QN2" s="10" t="str">
        <f>Source!QO2</f>
        <v/>
      </c>
      <c r="QO2" s="10" t="str">
        <f>Source!QP2</f>
        <v/>
      </c>
      <c r="QP2" s="10" t="str">
        <f>Source!QQ2</f>
        <v/>
      </c>
      <c r="QQ2" s="10" t="str">
        <f>Source!QR2</f>
        <v/>
      </c>
      <c r="QR2" s="10" t="str">
        <f>Source!QS2</f>
        <v/>
      </c>
      <c r="QS2" s="10" t="str">
        <f>Source!QT2</f>
        <v/>
      </c>
      <c r="QT2" s="10" t="str">
        <f>Source!QU2</f>
        <v/>
      </c>
      <c r="QU2" s="10" t="str">
        <f>Source!QV2</f>
        <v/>
      </c>
      <c r="QV2" s="10" t="str">
        <f>Source!QW2</f>
        <v/>
      </c>
      <c r="QW2" s="10" t="str">
        <f>Source!QX2</f>
        <v/>
      </c>
      <c r="QX2" s="10" t="str">
        <f>Source!QY2</f>
        <v/>
      </c>
      <c r="QY2" s="10" t="str">
        <f>Source!QZ2</f>
        <v/>
      </c>
      <c r="QZ2" s="10" t="str">
        <f>Source!RA2</f>
        <v/>
      </c>
      <c r="RA2" s="10" t="str">
        <f>Source!RB2</f>
        <v/>
      </c>
      <c r="RB2" s="10" t="str">
        <f>Source!RC2</f>
        <v/>
      </c>
      <c r="RC2" s="10" t="str">
        <f>Source!RD2</f>
        <v/>
      </c>
      <c r="RD2" s="10" t="str">
        <f>Source!RE2</f>
        <v/>
      </c>
      <c r="RE2" s="10" t="str">
        <f>Source!RF2</f>
        <v/>
      </c>
      <c r="RF2" s="10" t="str">
        <f>Source!RG2</f>
        <v/>
      </c>
      <c r="RG2" s="10" t="str">
        <f>Source!RH2</f>
        <v/>
      </c>
      <c r="RH2" s="10" t="str">
        <f>Source!RI2</f>
        <v/>
      </c>
      <c r="RI2" s="10" t="str">
        <f>Source!RJ2</f>
        <v/>
      </c>
      <c r="RJ2" s="10" t="str">
        <f>Source!RK2</f>
        <v/>
      </c>
      <c r="RK2" s="10" t="str">
        <f>Source!RL2</f>
        <v/>
      </c>
      <c r="RL2" s="10" t="str">
        <f>Source!RM2</f>
        <v/>
      </c>
      <c r="RM2" s="10" t="str">
        <f>Source!RN2</f>
        <v/>
      </c>
      <c r="RN2" s="10" t="str">
        <f>Source!RO2</f>
        <v/>
      </c>
      <c r="RO2" s="10" t="str">
        <f>Source!RP2</f>
        <v/>
      </c>
      <c r="RP2" s="10" t="str">
        <f>Source!RQ2</f>
        <v/>
      </c>
      <c r="RQ2" s="10" t="str">
        <f>Source!RR2</f>
        <v/>
      </c>
      <c r="RR2" s="10" t="str">
        <f>Source!RS2</f>
        <v/>
      </c>
      <c r="RS2" s="10" t="str">
        <f>Source!RT2</f>
        <v/>
      </c>
      <c r="RT2" s="10" t="str">
        <f>Source!RU2</f>
        <v/>
      </c>
      <c r="RU2" s="10" t="str">
        <f>Source!RV2</f>
        <v/>
      </c>
      <c r="RV2" s="10" t="str">
        <f>Source!RW2</f>
        <v/>
      </c>
      <c r="RW2" s="10" t="str">
        <f>Source!RX2</f>
        <v/>
      </c>
      <c r="RX2" s="10" t="str">
        <f>Source!RY2</f>
        <v/>
      </c>
      <c r="RY2" s="10" t="str">
        <f>Source!RZ2</f>
        <v/>
      </c>
      <c r="RZ2" s="10" t="str">
        <f>Source!SA2</f>
        <v/>
      </c>
      <c r="SA2" s="10" t="str">
        <f>Source!SB2</f>
        <v/>
      </c>
      <c r="SB2" s="10" t="str">
        <f>Source!SC2</f>
        <v/>
      </c>
      <c r="SC2" s="10" t="str">
        <f>Source!SD2</f>
        <v/>
      </c>
      <c r="SD2" s="10" t="str">
        <f>Source!SE2</f>
        <v/>
      </c>
      <c r="SE2" s="10" t="str">
        <f>Source!SF2</f>
        <v/>
      </c>
      <c r="SF2" s="10" t="str">
        <f>Source!SG2</f>
        <v/>
      </c>
      <c r="SG2" s="10" t="str">
        <f>Source!SH2</f>
        <v/>
      </c>
      <c r="SH2" s="10" t="str">
        <f>Source!SI2</f>
        <v/>
      </c>
      <c r="SI2" s="10" t="str">
        <f>Source!SJ2</f>
        <v/>
      </c>
      <c r="SJ2" s="10" t="str">
        <f>Source!SK2</f>
        <v/>
      </c>
      <c r="SK2" s="10" t="str">
        <f>Source!SL2</f>
        <v/>
      </c>
      <c r="SL2" s="10" t="str">
        <f>Source!SM2</f>
        <v/>
      </c>
      <c r="SM2" s="10" t="str">
        <f>Source!SN2</f>
        <v/>
      </c>
      <c r="SN2" s="10" t="str">
        <f>Source!SO2</f>
        <v/>
      </c>
      <c r="SO2" s="10" t="str">
        <f>Source!SP2</f>
        <v/>
      </c>
      <c r="SP2" s="10" t="str">
        <f>Source!SQ2</f>
        <v/>
      </c>
      <c r="SQ2" s="10" t="str">
        <f>Source!SR2</f>
        <v/>
      </c>
      <c r="SR2" s="10" t="str">
        <f>Source!SS2</f>
        <v/>
      </c>
      <c r="SS2" s="10" t="str">
        <f>Source!ST2</f>
        <v/>
      </c>
      <c r="ST2" s="10" t="str">
        <f>Source!SU2</f>
        <v/>
      </c>
      <c r="SU2" s="10" t="str">
        <f>Source!SV2</f>
        <v/>
      </c>
      <c r="SV2" s="10" t="str">
        <f>Source!SW2</f>
        <v/>
      </c>
      <c r="SW2" s="10" t="str">
        <f>Source!SX2</f>
        <v/>
      </c>
      <c r="SX2" s="10" t="str">
        <f>Source!SY2</f>
        <v/>
      </c>
      <c r="SY2" s="10" t="str">
        <f>Source!SZ2</f>
        <v/>
      </c>
      <c r="SZ2" s="10" t="str">
        <f>Source!TA2</f>
        <v/>
      </c>
      <c r="TA2" s="10" t="str">
        <f>Source!TB2</f>
        <v/>
      </c>
      <c r="TB2" s="10" t="str">
        <f>Source!TC2</f>
        <v/>
      </c>
      <c r="TC2" s="10" t="str">
        <f>Source!TD2</f>
        <v/>
      </c>
      <c r="TD2" s="10" t="str">
        <f>Source!TE2</f>
        <v/>
      </c>
      <c r="TE2" s="10" t="str">
        <f>Source!TF2</f>
        <v/>
      </c>
      <c r="TF2" s="10" t="str">
        <f>Source!TG2</f>
        <v/>
      </c>
      <c r="TG2" s="10" t="str">
        <f>Source!TH2</f>
        <v/>
      </c>
      <c r="TH2" s="10" t="str">
        <f>Source!TI2</f>
        <v/>
      </c>
      <c r="TI2" s="10" t="str">
        <f>Source!TJ2</f>
        <v/>
      </c>
      <c r="TJ2" s="10" t="str">
        <f>Source!TK2</f>
        <v/>
      </c>
      <c r="TK2" s="10" t="str">
        <f>Source!TL2</f>
        <v/>
      </c>
      <c r="TL2" s="10" t="str">
        <f>Source!TM2</f>
        <v/>
      </c>
      <c r="TM2" s="10" t="str">
        <f>Source!TN2</f>
        <v/>
      </c>
      <c r="TN2" s="10" t="str">
        <f>Source!TO2</f>
        <v/>
      </c>
      <c r="TO2" s="10" t="str">
        <f>Source!TP2</f>
        <v/>
      </c>
      <c r="TP2" s="10" t="str">
        <f>Source!TQ2</f>
        <v/>
      </c>
      <c r="TQ2" s="10" t="str">
        <f>Source!TR2</f>
        <v/>
      </c>
      <c r="TR2" s="10" t="str">
        <f>Source!TS2</f>
        <v/>
      </c>
      <c r="TS2" s="10" t="str">
        <f>Source!TT2</f>
        <v/>
      </c>
      <c r="TT2" s="10" t="str">
        <f>Source!TU2</f>
        <v/>
      </c>
      <c r="TU2" s="10" t="str">
        <f>Source!TV2</f>
        <v/>
      </c>
      <c r="TV2" s="10" t="str">
        <f>Source!TW2</f>
        <v/>
      </c>
      <c r="TW2" s="10" t="str">
        <f>Source!TX2</f>
        <v/>
      </c>
      <c r="TX2" s="10" t="str">
        <f>Source!TY2</f>
        <v/>
      </c>
      <c r="TY2" s="10" t="str">
        <f>Source!TZ2</f>
        <v/>
      </c>
      <c r="TZ2" s="10" t="str">
        <f>Source!UA2</f>
        <v/>
      </c>
      <c r="UA2" s="10" t="str">
        <f>Source!UB2</f>
        <v/>
      </c>
      <c r="UB2" s="10" t="str">
        <f>Source!UC2</f>
        <v/>
      </c>
      <c r="UC2" s="10" t="str">
        <f>Source!UD2</f>
        <v/>
      </c>
      <c r="UD2" s="10" t="str">
        <f>Source!UE2</f>
        <v/>
      </c>
      <c r="UE2" s="10" t="str">
        <f>Source!UF2</f>
        <v/>
      </c>
      <c r="UF2" s="10" t="str">
        <f>Source!UG2</f>
        <v/>
      </c>
      <c r="UG2" s="10" t="str">
        <f>Source!UH2</f>
        <v/>
      </c>
      <c r="UH2" s="10" t="str">
        <f>Source!UI2</f>
        <v/>
      </c>
      <c r="UI2" s="10" t="str">
        <f>Source!UJ2</f>
        <v/>
      </c>
      <c r="UJ2" s="10" t="str">
        <f>Source!UK2</f>
        <v/>
      </c>
      <c r="UK2" s="10" t="str">
        <f>Source!UL2</f>
        <v/>
      </c>
      <c r="UL2" s="10" t="str">
        <f>Source!UM2</f>
        <v/>
      </c>
      <c r="UM2" s="10" t="str">
        <f>Source!UN2</f>
        <v/>
      </c>
      <c r="UN2" s="10" t="str">
        <f>Source!UO2</f>
        <v/>
      </c>
      <c r="UO2" s="10" t="str">
        <f>Source!UP2</f>
        <v/>
      </c>
      <c r="UP2" s="10" t="str">
        <f>Source!UQ2</f>
        <v/>
      </c>
      <c r="UQ2" s="10" t="str">
        <f>Source!UR2</f>
        <v/>
      </c>
      <c r="UR2" s="10" t="str">
        <f>Source!US2</f>
        <v/>
      </c>
      <c r="US2" s="10" t="str">
        <f>Source!UT2</f>
        <v/>
      </c>
      <c r="UT2" s="10" t="str">
        <f>Source!UU2</f>
        <v/>
      </c>
      <c r="UU2" s="10" t="str">
        <f>Source!UV2</f>
        <v/>
      </c>
      <c r="UV2" s="10" t="str">
        <f>Source!UW2</f>
        <v/>
      </c>
      <c r="UW2" s="10" t="str">
        <f>Source!UX2</f>
        <v/>
      </c>
      <c r="UX2" s="10" t="str">
        <f>Source!UY2</f>
        <v/>
      </c>
      <c r="UY2" s="10" t="str">
        <f>Source!UZ2</f>
        <v/>
      </c>
      <c r="UZ2" s="10" t="str">
        <f>Source!VA2</f>
        <v/>
      </c>
      <c r="VA2" s="10" t="str">
        <f>Source!VB2</f>
        <v/>
      </c>
      <c r="VB2" s="10" t="str">
        <f>Source!VC2</f>
        <v/>
      </c>
      <c r="VC2" s="10" t="str">
        <f>Source!VD2</f>
        <v/>
      </c>
      <c r="VD2" s="10" t="str">
        <f>Source!VE2</f>
        <v/>
      </c>
      <c r="VE2" s="10" t="str">
        <f>Source!VF2</f>
        <v/>
      </c>
      <c r="VF2" s="10" t="str">
        <f>Source!VG2</f>
        <v/>
      </c>
      <c r="VG2" s="10" t="str">
        <f>Source!VH2</f>
        <v/>
      </c>
      <c r="VH2" s="10" t="str">
        <f>Source!VI2</f>
        <v/>
      </c>
      <c r="VI2" s="10" t="str">
        <f>Source!VJ2</f>
        <v/>
      </c>
      <c r="VJ2" s="10" t="str">
        <f>Source!VK2</f>
        <v/>
      </c>
      <c r="VK2" s="10" t="str">
        <f>Source!VL2</f>
        <v/>
      </c>
      <c r="VL2" s="10" t="str">
        <f>Source!VM2</f>
        <v/>
      </c>
      <c r="VM2" s="10" t="str">
        <f>Source!VN2</f>
        <v/>
      </c>
      <c r="VN2" s="10" t="str">
        <f>Source!VO2</f>
        <v/>
      </c>
      <c r="VO2" s="10" t="str">
        <f>Source!VP2</f>
        <v/>
      </c>
      <c r="VP2" s="10" t="str">
        <f>Source!VQ2</f>
        <v/>
      </c>
      <c r="VQ2" s="10" t="str">
        <f>Source!VR2</f>
        <v/>
      </c>
      <c r="VR2" s="10" t="str">
        <f>Source!VS2</f>
        <v/>
      </c>
      <c r="VS2" s="10" t="str">
        <f>Source!VT2</f>
        <v/>
      </c>
      <c r="VT2" s="10" t="str">
        <f>Source!VU2</f>
        <v/>
      </c>
      <c r="VU2" s="10" t="str">
        <f>Source!VV2</f>
        <v/>
      </c>
      <c r="VV2" s="10" t="str">
        <f>Source!VW2</f>
        <v/>
      </c>
      <c r="VW2" s="10" t="str">
        <f>Source!VX2</f>
        <v/>
      </c>
      <c r="VX2" s="10" t="str">
        <f>Source!VY2</f>
        <v/>
      </c>
      <c r="VY2" s="10" t="str">
        <f>Source!VZ2</f>
        <v/>
      </c>
      <c r="VZ2" s="10" t="str">
        <f>Source!WA2</f>
        <v/>
      </c>
      <c r="WA2" s="10" t="str">
        <f>Source!WB2</f>
        <v/>
      </c>
      <c r="WB2" s="10" t="str">
        <f>Source!WC2</f>
        <v/>
      </c>
      <c r="WC2" s="10" t="str">
        <f>Source!WD2</f>
        <v/>
      </c>
      <c r="WD2" s="10" t="str">
        <f>Source!WE2</f>
        <v/>
      </c>
      <c r="WE2" s="10" t="str">
        <f>Source!WF2</f>
        <v/>
      </c>
      <c r="WF2" s="10" t="str">
        <f>Source!WG2</f>
        <v/>
      </c>
      <c r="WG2" s="10" t="str">
        <f>Source!WH2</f>
        <v/>
      </c>
      <c r="WH2" s="10" t="str">
        <f>Source!WI2</f>
        <v/>
      </c>
      <c r="WI2" s="10" t="str">
        <f>Source!WJ2</f>
        <v/>
      </c>
      <c r="WJ2" s="10" t="str">
        <f>Source!WK2</f>
        <v/>
      </c>
      <c r="WK2" s="10" t="str">
        <f>Source!WL2</f>
        <v/>
      </c>
      <c r="WL2" s="10" t="str">
        <f>Source!WM2</f>
        <v/>
      </c>
      <c r="WM2" s="10" t="str">
        <f>Source!WN2</f>
        <v/>
      </c>
      <c r="WN2" s="10" t="str">
        <f>Source!WO2</f>
        <v/>
      </c>
      <c r="WO2" s="10" t="str">
        <f>Source!WP2</f>
        <v/>
      </c>
      <c r="WP2" s="10" t="str">
        <f>Source!WQ2</f>
        <v/>
      </c>
      <c r="WQ2" s="10" t="str">
        <f>Source!WR2</f>
        <v/>
      </c>
      <c r="WR2" s="10" t="str">
        <f>Source!WS2</f>
        <v/>
      </c>
      <c r="WS2" s="10" t="str">
        <f>Source!WT2</f>
        <v/>
      </c>
      <c r="WT2" s="10" t="str">
        <f>Source!WU2</f>
        <v/>
      </c>
      <c r="WU2" s="10" t="str">
        <f>Source!WV2</f>
        <v/>
      </c>
      <c r="WV2" s="10" t="str">
        <f>Source!WW2</f>
        <v/>
      </c>
      <c r="WW2" s="10" t="str">
        <f>Source!WX2</f>
        <v/>
      </c>
      <c r="WX2" s="10" t="str">
        <f>Source!WY2</f>
        <v/>
      </c>
      <c r="WY2" s="10" t="str">
        <f>Source!WZ2</f>
        <v/>
      </c>
      <c r="WZ2" s="10" t="str">
        <f>Source!XA2</f>
        <v/>
      </c>
      <c r="XA2" s="10" t="str">
        <f>Source!XB2</f>
        <v/>
      </c>
      <c r="XB2" s="10" t="str">
        <f>Source!XC2</f>
        <v/>
      </c>
      <c r="XC2" s="10" t="str">
        <f>Source!XD2</f>
        <v/>
      </c>
      <c r="XD2" s="10" t="str">
        <f>Source!XE2</f>
        <v/>
      </c>
      <c r="XE2" s="10" t="str">
        <f>Source!XF2</f>
        <v/>
      </c>
      <c r="XF2" s="10" t="str">
        <f>Source!XG2</f>
        <v/>
      </c>
      <c r="XG2" s="10" t="str">
        <f>Source!XH2</f>
        <v/>
      </c>
      <c r="XH2" s="10" t="str">
        <f>Source!XI2</f>
        <v/>
      </c>
      <c r="XI2" s="10" t="str">
        <f>Source!XJ2</f>
        <v/>
      </c>
      <c r="XJ2" s="10" t="str">
        <f>Source!XK2</f>
        <v/>
      </c>
      <c r="XK2" s="10" t="str">
        <f>Source!XL2</f>
        <v/>
      </c>
      <c r="XL2" s="10" t="str">
        <f>Source!XM2</f>
        <v/>
      </c>
      <c r="XM2" s="10" t="str">
        <f>Source!XN2</f>
        <v/>
      </c>
      <c r="XN2" s="10" t="str">
        <f>Source!XO2</f>
        <v/>
      </c>
      <c r="XO2" s="10" t="str">
        <f>Source!XP2</f>
        <v/>
      </c>
      <c r="XP2" s="10" t="str">
        <f>Source!XQ2</f>
        <v/>
      </c>
      <c r="XQ2" s="10" t="str">
        <f>Source!XR2</f>
        <v/>
      </c>
      <c r="XR2" s="10" t="str">
        <f>Source!XS2</f>
        <v/>
      </c>
      <c r="XS2" s="10" t="str">
        <f>Source!XT2</f>
        <v/>
      </c>
      <c r="XT2" s="10" t="str">
        <f>Source!XU2</f>
        <v/>
      </c>
      <c r="XU2" s="10" t="str">
        <f>Source!XV2</f>
        <v/>
      </c>
      <c r="XV2" s="10" t="str">
        <f>Source!XW2</f>
        <v/>
      </c>
      <c r="XW2" s="10" t="str">
        <f>Source!XX2</f>
        <v/>
      </c>
      <c r="XX2" s="10" t="str">
        <f>Source!XY2</f>
        <v/>
      </c>
      <c r="XY2" s="10" t="str">
        <f>Source!XZ2</f>
        <v/>
      </c>
      <c r="XZ2" s="10" t="str">
        <f>Source!YA2</f>
        <v/>
      </c>
      <c r="YA2" s="10" t="str">
        <f>Source!YB2</f>
        <v/>
      </c>
      <c r="YB2" s="10" t="str">
        <f>Source!YC2</f>
        <v/>
      </c>
      <c r="YC2" s="10" t="str">
        <f>Source!YD2</f>
        <v/>
      </c>
      <c r="YD2" s="10" t="str">
        <f>Source!YE2</f>
        <v/>
      </c>
      <c r="YE2" s="10" t="str">
        <f>Source!YF2</f>
        <v/>
      </c>
      <c r="YF2" s="10" t="str">
        <f>Source!YG2</f>
        <v/>
      </c>
      <c r="YG2" s="10" t="str">
        <f>Source!YH2</f>
        <v/>
      </c>
      <c r="YH2" s="10" t="str">
        <f>Source!YI2</f>
        <v/>
      </c>
      <c r="YI2" s="10" t="str">
        <f>Source!YJ2</f>
        <v/>
      </c>
      <c r="YJ2" s="10" t="str">
        <f>Source!YK2</f>
        <v/>
      </c>
      <c r="YK2" s="10" t="str">
        <f>Source!YL2</f>
        <v/>
      </c>
      <c r="YL2" s="10" t="str">
        <f>Source!YM2</f>
        <v/>
      </c>
      <c r="YM2" s="10" t="str">
        <f>Source!YN2</f>
        <v/>
      </c>
      <c r="YN2" s="10" t="str">
        <f>Source!YO2</f>
        <v/>
      </c>
      <c r="YO2" s="10" t="str">
        <f>Source!YP2</f>
        <v/>
      </c>
      <c r="YP2" s="10" t="str">
        <f>Source!YQ2</f>
        <v/>
      </c>
      <c r="YQ2" s="10" t="str">
        <f>Source!YR2</f>
        <v/>
      </c>
      <c r="YR2" s="10" t="str">
        <f>Source!YS2</f>
        <v/>
      </c>
      <c r="YS2" s="10" t="str">
        <f>Source!YT2</f>
        <v/>
      </c>
      <c r="YT2" s="10" t="str">
        <f>Source!YU2</f>
        <v/>
      </c>
      <c r="YU2" s="10" t="str">
        <f>Source!YV2</f>
        <v/>
      </c>
      <c r="YV2" s="10" t="str">
        <f>Source!YW2</f>
        <v/>
      </c>
      <c r="YW2" s="10" t="str">
        <f>Source!YX2</f>
        <v/>
      </c>
      <c r="YX2" s="10" t="str">
        <f>Source!YY2</f>
        <v/>
      </c>
      <c r="YY2" s="10" t="str">
        <f>Source!YZ2</f>
        <v/>
      </c>
      <c r="YZ2" s="10" t="str">
        <f>Source!ZA2</f>
        <v/>
      </c>
      <c r="ZA2" s="10" t="str">
        <f>Source!ZB2</f>
        <v/>
      </c>
      <c r="ZB2" s="10" t="str">
        <f>Source!ZC2</f>
        <v/>
      </c>
      <c r="ZC2" s="10" t="str">
        <f>Source!ZD2</f>
        <v/>
      </c>
      <c r="ZD2" s="10" t="str">
        <f>Source!ZE2</f>
        <v/>
      </c>
      <c r="ZE2" s="10" t="str">
        <f>Source!ZF2</f>
        <v/>
      </c>
      <c r="ZF2" s="10" t="str">
        <f>Source!ZG2</f>
        <v/>
      </c>
      <c r="ZG2" s="10" t="str">
        <f>Source!ZH2</f>
        <v/>
      </c>
      <c r="ZH2" s="10" t="str">
        <f>Source!ZI2</f>
        <v/>
      </c>
      <c r="ZI2" s="10" t="str">
        <f>Source!ZJ2</f>
        <v/>
      </c>
      <c r="ZJ2" s="10" t="str">
        <f>Source!ZK2</f>
        <v/>
      </c>
      <c r="ZK2" s="10" t="str">
        <f>Source!ZL2</f>
        <v/>
      </c>
      <c r="ZL2" s="10" t="str">
        <f>Source!ZM2</f>
        <v/>
      </c>
      <c r="ZM2" s="10" t="str">
        <f>Source!ZN2</f>
        <v/>
      </c>
      <c r="ZN2" s="10" t="str">
        <f>Source!ZO2</f>
        <v/>
      </c>
      <c r="ZO2" s="10" t="str">
        <f>Source!ZP2</f>
        <v/>
      </c>
      <c r="ZP2" s="10" t="str">
        <f>Source!ZQ2</f>
        <v/>
      </c>
      <c r="ZQ2" s="10" t="str">
        <f>Source!ZR2</f>
        <v/>
      </c>
      <c r="ZR2" s="10" t="str">
        <f>Source!ZS2</f>
        <v/>
      </c>
      <c r="ZS2" s="10" t="str">
        <f>Source!ZT2</f>
        <v/>
      </c>
      <c r="ZT2" s="10" t="str">
        <f>Source!ZU2</f>
        <v/>
      </c>
      <c r="ZU2" s="10" t="str">
        <f>Source!ZV2</f>
        <v/>
      </c>
      <c r="ZV2" s="10" t="str">
        <f>Source!ZW2</f>
        <v/>
      </c>
      <c r="ZW2" s="10" t="str">
        <f>Source!ZX2</f>
        <v/>
      </c>
      <c r="ZX2" s="10" t="str">
        <f>Source!ZY2</f>
        <v/>
      </c>
      <c r="ZY2" s="10" t="str">
        <f>Source!ZZ2</f>
        <v/>
      </c>
      <c r="ZZ2" s="10" t="str">
        <f>Source!AAA2</f>
        <v/>
      </c>
      <c r="AAA2" s="10" t="str">
        <f>Source!AAB2</f>
        <v/>
      </c>
      <c r="AAB2" s="10" t="str">
        <f>Source!AAC2</f>
        <v/>
      </c>
      <c r="AAC2" s="10" t="str">
        <f>Source!AAD2</f>
        <v/>
      </c>
      <c r="AAD2" s="10" t="str">
        <f>Source!AAE2</f>
        <v/>
      </c>
      <c r="AAE2" s="10" t="str">
        <f>Source!AAF2</f>
        <v/>
      </c>
      <c r="AAF2" s="10" t="str">
        <f>Source!AAG2</f>
        <v/>
      </c>
      <c r="AAG2" s="10" t="str">
        <f>Source!AAH2</f>
        <v/>
      </c>
      <c r="AAH2" s="10" t="str">
        <f>Source!AAI2</f>
        <v/>
      </c>
      <c r="AAI2" s="10" t="str">
        <f>Source!AAJ2</f>
        <v/>
      </c>
      <c r="AAJ2" s="10" t="str">
        <f>Source!AAK2</f>
        <v/>
      </c>
      <c r="AAK2" s="10" t="str">
        <f>Source!AAL2</f>
        <v/>
      </c>
      <c r="AAL2" s="10" t="str">
        <f>Source!AAM2</f>
        <v/>
      </c>
      <c r="AAM2" s="10" t="str">
        <f>Source!AAN2</f>
        <v/>
      </c>
      <c r="AAN2" s="10" t="str">
        <f>Source!AAO2</f>
        <v/>
      </c>
      <c r="AAO2" s="10" t="str">
        <f>Source!AAP2</f>
        <v/>
      </c>
      <c r="AAP2" s="10" t="str">
        <f>Source!AAQ2</f>
        <v/>
      </c>
      <c r="AAQ2" s="10" t="str">
        <f>Source!AAR2</f>
        <v/>
      </c>
      <c r="AAR2" s="10" t="str">
        <f>Source!AAS2</f>
        <v/>
      </c>
      <c r="AAS2" s="10" t="str">
        <f>Source!AAT2</f>
        <v/>
      </c>
      <c r="AAT2" s="10" t="str">
        <f>Source!AAU2</f>
        <v/>
      </c>
      <c r="AAU2" s="10" t="str">
        <f>Source!AAV2</f>
        <v/>
      </c>
      <c r="AAV2" s="10" t="str">
        <f>Source!AAW2</f>
        <v/>
      </c>
      <c r="AAW2" s="10" t="str">
        <f>Source!AAX2</f>
        <v/>
      </c>
      <c r="AAX2" s="10" t="str">
        <f>Source!AAY2</f>
        <v/>
      </c>
      <c r="AAY2" s="10" t="str">
        <f>Source!AAZ2</f>
        <v/>
      </c>
      <c r="AAZ2" s="10" t="str">
        <f>Source!ABA2</f>
        <v/>
      </c>
      <c r="ABA2" s="10" t="str">
        <f>Source!ABB2</f>
        <v/>
      </c>
      <c r="ABB2" s="10" t="str">
        <f>Source!ABC2</f>
        <v/>
      </c>
      <c r="ABC2" s="10" t="str">
        <f>Source!ABD2</f>
        <v/>
      </c>
      <c r="ABD2" s="10" t="str">
        <f>Source!ABE2</f>
        <v/>
      </c>
      <c r="ABE2" s="10" t="str">
        <f>Source!ABF2</f>
        <v/>
      </c>
      <c r="ABF2" s="10" t="str">
        <f>Source!ABG2</f>
        <v/>
      </c>
      <c r="ABG2" s="10" t="str">
        <f>Source!ABH2</f>
        <v/>
      </c>
      <c r="ABH2" s="10" t="str">
        <f>Source!ABI2</f>
        <v/>
      </c>
      <c r="ABI2" s="10" t="str">
        <f>Source!ABJ2</f>
        <v/>
      </c>
      <c r="ABJ2" s="10" t="str">
        <f>Source!ABK2</f>
        <v/>
      </c>
      <c r="ABK2" s="10" t="str">
        <f>Source!ABL2</f>
        <v/>
      </c>
      <c r="ABL2" s="10" t="str">
        <f>Source!ABM2</f>
        <v/>
      </c>
      <c r="ABM2" s="10" t="str">
        <f>Source!ABN2</f>
        <v/>
      </c>
      <c r="ABN2" s="10" t="str">
        <f>Source!ABO2</f>
        <v/>
      </c>
      <c r="ABO2" s="10" t="str">
        <f>Source!ABP2</f>
        <v/>
      </c>
      <c r="ABP2" s="10" t="str">
        <f>Source!ABQ2</f>
        <v/>
      </c>
      <c r="ABQ2" s="10" t="str">
        <f>Source!ABR2</f>
        <v/>
      </c>
      <c r="ABR2" s="10" t="str">
        <f>Source!ABS2</f>
        <v/>
      </c>
      <c r="ABS2" s="10" t="str">
        <f>Source!ABT2</f>
        <v/>
      </c>
      <c r="ABT2" s="10" t="str">
        <f>Source!ABU2</f>
        <v/>
      </c>
      <c r="ABU2" s="10" t="str">
        <f>Source!ABV2</f>
        <v/>
      </c>
      <c r="ABV2" s="10" t="str">
        <f>Source!ABW2</f>
        <v/>
      </c>
      <c r="ABW2" s="10" t="str">
        <f>Source!ABX2</f>
        <v/>
      </c>
      <c r="ABX2" s="10" t="str">
        <f>Source!ABY2</f>
        <v/>
      </c>
      <c r="ABY2" s="10" t="str">
        <f>Source!ABZ2</f>
        <v/>
      </c>
      <c r="ABZ2" s="10" t="str">
        <f>Source!ACA2</f>
        <v/>
      </c>
      <c r="ACA2" s="10" t="str">
        <f>Source!ACB2</f>
        <v/>
      </c>
      <c r="ACB2" s="10" t="str">
        <f>Source!ACC2</f>
        <v/>
      </c>
      <c r="ACC2" s="10" t="str">
        <f>Source!ACD2</f>
        <v/>
      </c>
      <c r="ACD2" s="10" t="str">
        <f>Source!ACE2</f>
        <v/>
      </c>
      <c r="ACE2" s="10" t="str">
        <f>Source!ACF2</f>
        <v/>
      </c>
      <c r="ACF2" s="10" t="str">
        <f>Source!ACG2</f>
        <v/>
      </c>
      <c r="ACG2" s="10" t="str">
        <f>Source!ACH2</f>
        <v/>
      </c>
      <c r="ACH2" s="10" t="str">
        <f>Source!ACI2</f>
        <v/>
      </c>
      <c r="ACI2" s="10" t="str">
        <f>Source!ACJ2</f>
        <v/>
      </c>
      <c r="ACJ2" s="10" t="str">
        <f>Source!ACK2</f>
        <v/>
      </c>
      <c r="ACK2" s="10" t="str">
        <f>Source!ACL2</f>
        <v/>
      </c>
      <c r="ACL2" s="10" t="str">
        <f>Source!ACM2</f>
        <v/>
      </c>
      <c r="ACM2" s="10" t="str">
        <f>Source!ACN2</f>
        <v/>
      </c>
      <c r="ACN2" s="10" t="str">
        <f>Source!ACO2</f>
        <v/>
      </c>
      <c r="ACO2" s="10" t="str">
        <f>Source!ACP2</f>
        <v/>
      </c>
      <c r="ACP2" s="10" t="str">
        <f>Source!ACQ2</f>
        <v/>
      </c>
      <c r="ACQ2" s="10" t="str">
        <f>Source!ACR2</f>
        <v/>
      </c>
      <c r="ACR2" s="10" t="str">
        <f>Source!ACS2</f>
        <v/>
      </c>
      <c r="ACS2" s="10" t="str">
        <f>Source!ACT2</f>
        <v/>
      </c>
      <c r="ACT2" s="10" t="str">
        <f>Source!ACU2</f>
        <v/>
      </c>
      <c r="ACU2" s="10" t="str">
        <f>Source!ACV2</f>
        <v/>
      </c>
      <c r="ACV2" s="10" t="str">
        <f>Source!ACW2</f>
        <v/>
      </c>
      <c r="ACW2" s="10" t="str">
        <f>Source!ACX2</f>
        <v/>
      </c>
      <c r="ACX2" s="10" t="str">
        <f>Source!ACY2</f>
        <v/>
      </c>
      <c r="ACY2" s="10" t="str">
        <f>Source!ACZ2</f>
        <v/>
      </c>
      <c r="ACZ2" s="10" t="str">
        <f>Source!ADA2</f>
        <v/>
      </c>
      <c r="ADA2" s="10" t="str">
        <f>Source!ADB2</f>
        <v/>
      </c>
      <c r="ADB2" s="10" t="str">
        <f>Source!ADC2</f>
        <v/>
      </c>
      <c r="ADC2" s="10" t="str">
        <f>Source!ADD2</f>
        <v/>
      </c>
      <c r="ADD2" s="10" t="str">
        <f>Source!ADE2</f>
        <v/>
      </c>
      <c r="ADE2" s="10" t="str">
        <f>Source!ADF2</f>
        <v/>
      </c>
      <c r="ADF2" s="10" t="str">
        <f>Source!ADG2</f>
        <v/>
      </c>
      <c r="ADG2" s="10" t="str">
        <f>Source!ADH2</f>
        <v/>
      </c>
      <c r="ADH2" s="10" t="str">
        <f>Source!ADI2</f>
        <v/>
      </c>
      <c r="ADI2" s="10" t="str">
        <f>Source!ADJ2</f>
        <v/>
      </c>
      <c r="ADJ2" s="10" t="str">
        <f>Source!ADK2</f>
        <v/>
      </c>
      <c r="ADK2" s="10" t="str">
        <f>Source!ADL2</f>
        <v/>
      </c>
      <c r="ADL2" s="10" t="str">
        <f>Source!ADM2</f>
        <v/>
      </c>
      <c r="ADM2" s="10" t="str">
        <f>Source!ADN2</f>
        <v/>
      </c>
      <c r="ADN2" s="10" t="str">
        <f>Source!ADO2</f>
        <v/>
      </c>
      <c r="ADO2" s="10" t="str">
        <f>Source!ADP2</f>
        <v/>
      </c>
      <c r="ADP2" s="10" t="str">
        <f>Source!ADQ2</f>
        <v/>
      </c>
      <c r="ADQ2" s="10" t="str">
        <f>Source!ADR2</f>
        <v/>
      </c>
      <c r="ADR2" s="10" t="str">
        <f>Source!ADS2</f>
        <v/>
      </c>
      <c r="ADS2" s="10" t="str">
        <f>Source!ADT2</f>
        <v/>
      </c>
      <c r="ADT2" s="10" t="str">
        <f>Source!ADU2</f>
        <v/>
      </c>
      <c r="ADU2" s="10" t="str">
        <f>Source!ADV2</f>
        <v/>
      </c>
      <c r="ADV2" s="10" t="str">
        <f>Source!ADW2</f>
        <v/>
      </c>
      <c r="ADW2" s="10" t="str">
        <f>Source!ADX2</f>
        <v/>
      </c>
      <c r="ADX2" s="10" t="str">
        <f>Source!ADY2</f>
        <v/>
      </c>
      <c r="ADY2" s="10" t="str">
        <f>Source!ADZ2</f>
        <v/>
      </c>
      <c r="ADZ2" s="10" t="str">
        <f>Source!AEA2</f>
        <v/>
      </c>
      <c r="AEA2" s="10" t="str">
        <f>Source!AEB2</f>
        <v/>
      </c>
      <c r="AEB2" s="10" t="str">
        <f>Source!AEC2</f>
        <v/>
      </c>
      <c r="AEC2" s="10" t="str">
        <f>Source!AED2</f>
        <v/>
      </c>
      <c r="AED2" s="10" t="str">
        <f>Source!AEE2</f>
        <v/>
      </c>
      <c r="AEE2" s="10" t="str">
        <f>Source!AEF2</f>
        <v/>
      </c>
      <c r="AEF2" s="10" t="str">
        <f>Source!AEG2</f>
        <v/>
      </c>
      <c r="AEG2" s="10" t="str">
        <f>Source!AEH2</f>
        <v/>
      </c>
      <c r="AEH2" s="10" t="str">
        <f>Source!AEI2</f>
        <v/>
      </c>
      <c r="AEI2" s="10" t="str">
        <f>Source!AEJ2</f>
        <v/>
      </c>
      <c r="AEJ2" s="10" t="str">
        <f>Source!AEK2</f>
        <v/>
      </c>
      <c r="AEK2" s="10" t="str">
        <f>Source!AEL2</f>
        <v/>
      </c>
      <c r="AEL2" s="10" t="str">
        <f>Source!AEM2</f>
        <v/>
      </c>
      <c r="AEM2" s="10" t="str">
        <f>Source!AEN2</f>
        <v/>
      </c>
      <c r="AEN2" s="10" t="str">
        <f>Source!AEO2</f>
        <v/>
      </c>
      <c r="AEO2" s="10" t="str">
        <f>Source!AEP2</f>
        <v/>
      </c>
      <c r="AEP2" s="10" t="str">
        <f>Source!AEQ2</f>
        <v/>
      </c>
      <c r="AEQ2" s="10" t="str">
        <f>Source!AER2</f>
        <v/>
      </c>
      <c r="AER2" s="10" t="str">
        <f>Source!AES2</f>
        <v/>
      </c>
      <c r="AES2" s="10" t="str">
        <f>Source!AET2</f>
        <v/>
      </c>
      <c r="AET2" s="10" t="str">
        <f>Source!AEU2</f>
        <v/>
      </c>
      <c r="AEU2" s="10" t="str">
        <f>Source!AEV2</f>
        <v/>
      </c>
      <c r="AEV2" s="10" t="str">
        <f>Source!AEW2</f>
        <v/>
      </c>
      <c r="AEW2" s="10" t="str">
        <f>Source!AEX2</f>
        <v/>
      </c>
      <c r="AEX2" s="10" t="str">
        <f>Source!AEY2</f>
        <v/>
      </c>
      <c r="AEY2" s="10" t="str">
        <f>Source!AEZ2</f>
        <v/>
      </c>
      <c r="AEZ2" s="10" t="str">
        <f>Source!AFA2</f>
        <v/>
      </c>
      <c r="AFA2" s="10" t="str">
        <f>Source!AFB2</f>
        <v/>
      </c>
      <c r="AFB2" s="10" t="str">
        <f>Source!AFC2</f>
        <v/>
      </c>
      <c r="AFC2" s="10" t="str">
        <f>Source!AFD2</f>
        <v/>
      </c>
      <c r="AFD2" s="10" t="str">
        <f>Source!AFE2</f>
        <v/>
      </c>
      <c r="AFE2" s="10" t="str">
        <f>Source!AFF2</f>
        <v/>
      </c>
      <c r="AFF2" s="10" t="str">
        <f>Source!AFG2</f>
        <v/>
      </c>
      <c r="AFG2" s="10" t="str">
        <f>Source!AFH2</f>
        <v/>
      </c>
      <c r="AFH2" s="10" t="str">
        <f>Source!AFI2</f>
        <v/>
      </c>
      <c r="AFI2" s="10" t="str">
        <f>Source!AFJ2</f>
        <v/>
      </c>
      <c r="AFJ2" s="10" t="str">
        <f>Source!AFK2</f>
        <v/>
      </c>
      <c r="AFK2" s="10" t="str">
        <f>Source!AFL2</f>
        <v/>
      </c>
      <c r="AFL2" s="10" t="str">
        <f>Source!AFM2</f>
        <v/>
      </c>
      <c r="AFM2" s="10" t="str">
        <f>Source!AFN2</f>
        <v/>
      </c>
      <c r="AFN2" s="10" t="str">
        <f>Source!AFO2</f>
        <v/>
      </c>
      <c r="AFO2" s="10" t="str">
        <f>Source!AFP2</f>
        <v/>
      </c>
      <c r="AFP2" s="10" t="str">
        <f>Source!AFQ2</f>
        <v/>
      </c>
      <c r="AFQ2" s="10" t="str">
        <f>Source!AFR2</f>
        <v/>
      </c>
      <c r="AFR2" s="10" t="str">
        <f>Source!AFS2</f>
        <v/>
      </c>
      <c r="AFS2" s="10" t="str">
        <f>Source!AFT2</f>
        <v/>
      </c>
      <c r="AFT2" s="10" t="str">
        <f>Source!AFU2</f>
        <v/>
      </c>
      <c r="AFU2" s="10" t="str">
        <f>Source!AFV2</f>
        <v/>
      </c>
      <c r="AFV2" s="10" t="str">
        <f>Source!AFW2</f>
        <v/>
      </c>
      <c r="AFW2" s="10" t="str">
        <f>Source!AFX2</f>
        <v/>
      </c>
      <c r="AFX2" s="10" t="str">
        <f>Source!AFY2</f>
        <v/>
      </c>
      <c r="AFY2" s="10" t="str">
        <f>Source!AFZ2</f>
        <v/>
      </c>
      <c r="AFZ2" s="10" t="str">
        <f>Source!AGA2</f>
        <v/>
      </c>
      <c r="AGA2" s="10" t="str">
        <f>Source!AGB2</f>
        <v/>
      </c>
      <c r="AGB2" s="10" t="str">
        <f>Source!AGC2</f>
        <v/>
      </c>
      <c r="AGC2" s="10" t="str">
        <f>Source!AGD2</f>
        <v/>
      </c>
      <c r="AGD2" s="10" t="str">
        <f>Source!AGE2</f>
        <v/>
      </c>
      <c r="AGE2" s="10" t="str">
        <f>Source!AGF2</f>
        <v/>
      </c>
      <c r="AGF2" s="10" t="str">
        <f>Source!AGG2</f>
        <v/>
      </c>
      <c r="AGG2" s="10" t="str">
        <f>Source!AGH2</f>
        <v/>
      </c>
      <c r="AGH2" s="10" t="str">
        <f>Source!AGI2</f>
        <v/>
      </c>
      <c r="AGI2" s="10" t="str">
        <f>Source!AGJ2</f>
        <v/>
      </c>
      <c r="AGJ2" s="10" t="str">
        <f>Source!AGK2</f>
        <v/>
      </c>
      <c r="AGK2" s="10" t="str">
        <f>Source!AGL2</f>
        <v/>
      </c>
      <c r="AGL2" s="10" t="str">
        <f>Source!AGM2</f>
        <v/>
      </c>
      <c r="AGM2" s="10" t="str">
        <f>Source!AGN2</f>
        <v/>
      </c>
      <c r="AGN2" s="10" t="str">
        <f>Source!AGO2</f>
        <v/>
      </c>
      <c r="AGO2" s="10" t="str">
        <f>Source!AGP2</f>
        <v/>
      </c>
      <c r="AGP2" s="10" t="str">
        <f>Source!AGQ2</f>
        <v/>
      </c>
      <c r="AGQ2" s="10" t="str">
        <f>Source!AGR2</f>
        <v/>
      </c>
      <c r="AGR2" s="10" t="str">
        <f>Source!AGS2</f>
        <v/>
      </c>
      <c r="AGS2" s="10" t="str">
        <f>Source!AGT2</f>
        <v/>
      </c>
      <c r="AGT2" s="10" t="str">
        <f>Source!AGU2</f>
        <v/>
      </c>
      <c r="AGU2" s="10" t="str">
        <f>Source!AGV2</f>
        <v/>
      </c>
      <c r="AGV2" s="10" t="str">
        <f>Source!AGW2</f>
        <v/>
      </c>
      <c r="AGW2" s="10" t="str">
        <f>Source!AGX2</f>
        <v/>
      </c>
      <c r="AGX2" s="10" t="str">
        <f>Source!AGY2</f>
        <v/>
      </c>
      <c r="AGY2" s="10" t="str">
        <f>Source!AGZ2</f>
        <v/>
      </c>
      <c r="AGZ2" s="10" t="str">
        <f>Source!AHA2</f>
        <v/>
      </c>
      <c r="AHA2" s="10" t="str">
        <f>Source!AHB2</f>
        <v/>
      </c>
      <c r="AHB2" s="10" t="str">
        <f>Source!AHC2</f>
        <v/>
      </c>
      <c r="AHC2" s="10" t="str">
        <f>Source!AHD2</f>
        <v/>
      </c>
      <c r="AHD2" s="10" t="str">
        <f>Source!AHE2</f>
        <v/>
      </c>
      <c r="AHE2" s="10" t="str">
        <f>Source!AHF2</f>
        <v/>
      </c>
      <c r="AHF2" s="10" t="str">
        <f>Source!AHG2</f>
        <v/>
      </c>
      <c r="AHG2" s="10" t="str">
        <f>Source!AHH2</f>
        <v/>
      </c>
      <c r="AHH2" s="10" t="str">
        <f>Source!AHI2</f>
        <v/>
      </c>
      <c r="AHI2" s="10" t="str">
        <f>Source!AHJ2</f>
        <v/>
      </c>
      <c r="AHJ2" s="10" t="str">
        <f>Source!AHK2</f>
        <v/>
      </c>
      <c r="AHK2" s="10" t="str">
        <f>Source!AHL2</f>
        <v/>
      </c>
      <c r="AHL2" s="10" t="str">
        <f>Source!AHM2</f>
        <v/>
      </c>
      <c r="AHM2" s="10" t="str">
        <f>Source!AHN2</f>
        <v/>
      </c>
      <c r="AHN2" s="10" t="str">
        <f>Source!AHO2</f>
        <v/>
      </c>
      <c r="AHO2" s="10" t="str">
        <f>Source!AHP2</f>
        <v/>
      </c>
      <c r="AHP2" s="10" t="str">
        <f>Source!AHQ2</f>
        <v/>
      </c>
      <c r="AHQ2" s="10" t="str">
        <f>Source!AHR2</f>
        <v/>
      </c>
      <c r="AHR2" s="10" t="str">
        <f>Source!AHS2</f>
        <v/>
      </c>
      <c r="AHS2" s="10" t="str">
        <f>Source!AHT2</f>
        <v/>
      </c>
      <c r="AHT2" s="10" t="str">
        <f>Source!AHU2</f>
        <v/>
      </c>
      <c r="AHU2" s="10" t="str">
        <f>Source!AHV2</f>
        <v/>
      </c>
      <c r="AHV2" s="10" t="str">
        <f>Source!AHW2</f>
        <v/>
      </c>
      <c r="AHW2" s="10" t="str">
        <f>Source!AHX2</f>
        <v/>
      </c>
      <c r="AHX2" s="10" t="str">
        <f>Source!AHY2</f>
        <v/>
      </c>
      <c r="AHY2" s="10" t="str">
        <f>Source!AHZ2</f>
        <v/>
      </c>
      <c r="AHZ2" s="10" t="str">
        <f>Source!AIA2</f>
        <v/>
      </c>
      <c r="AIA2" s="10" t="str">
        <f>Source!AIB2</f>
        <v/>
      </c>
      <c r="AIB2" s="10" t="str">
        <f>Source!AIC2</f>
        <v/>
      </c>
      <c r="AIC2" s="10" t="str">
        <f>Source!AID2</f>
        <v/>
      </c>
      <c r="AID2" s="10" t="str">
        <f>Source!AIE2</f>
        <v/>
      </c>
      <c r="AIE2" s="10" t="str">
        <f>Source!AIF2</f>
        <v/>
      </c>
      <c r="AIF2" s="10" t="str">
        <f>Source!AIG2</f>
        <v/>
      </c>
      <c r="AIG2" s="10" t="str">
        <f>Source!AIH2</f>
        <v/>
      </c>
      <c r="AIH2" s="10" t="str">
        <f>Source!AII2</f>
        <v/>
      </c>
      <c r="AII2" s="10" t="str">
        <f>Source!AIJ2</f>
        <v/>
      </c>
      <c r="AIJ2" s="10" t="str">
        <f>Source!AIK2</f>
        <v/>
      </c>
      <c r="AIK2" s="10" t="str">
        <f>Source!AIL2</f>
        <v/>
      </c>
      <c r="AIL2" s="10" t="str">
        <f>Source!AIM2</f>
        <v/>
      </c>
      <c r="AIM2" s="10" t="str">
        <f>Source!AIN2</f>
        <v/>
      </c>
      <c r="AIN2" s="10" t="str">
        <f>Source!AIO2</f>
        <v/>
      </c>
      <c r="AIO2" s="10" t="str">
        <f>Source!AIP2</f>
        <v/>
      </c>
      <c r="AIP2" s="10" t="str">
        <f>Source!AIQ2</f>
        <v/>
      </c>
      <c r="AIQ2" s="10" t="str">
        <f>Source!AIR2</f>
        <v/>
      </c>
      <c r="AIR2" s="10" t="str">
        <f>Source!AIS2</f>
        <v/>
      </c>
      <c r="AIS2" s="10" t="str">
        <f>Source!AIT2</f>
        <v/>
      </c>
      <c r="AIT2" s="10" t="str">
        <f>Source!AIU2</f>
        <v/>
      </c>
      <c r="AIU2" s="10" t="str">
        <f>Source!AIV2</f>
        <v/>
      </c>
      <c r="AIV2" s="10" t="str">
        <f>Source!AIW2</f>
        <v/>
      </c>
      <c r="AIW2" s="10" t="str">
        <f>Source!AIX2</f>
        <v/>
      </c>
      <c r="AIX2" s="10" t="str">
        <f>Source!AIY2</f>
        <v/>
      </c>
      <c r="AIY2" s="10" t="str">
        <f>Source!AIZ2</f>
        <v/>
      </c>
      <c r="AIZ2" s="10" t="str">
        <f>Source!AJA2</f>
        <v/>
      </c>
      <c r="AJA2" s="10" t="str">
        <f>Source!AJB2</f>
        <v/>
      </c>
      <c r="AJB2" s="10" t="str">
        <f>Source!AJC2</f>
        <v/>
      </c>
      <c r="AJC2" s="10" t="str">
        <f>Source!AJD2</f>
        <v/>
      </c>
      <c r="AJD2" s="10" t="str">
        <f>Source!AJE2</f>
        <v/>
      </c>
      <c r="AJE2" s="10" t="str">
        <f>Source!AJF2</f>
        <v/>
      </c>
      <c r="AJF2" s="10" t="str">
        <f>Source!AJG2</f>
        <v/>
      </c>
      <c r="AJG2" s="10" t="str">
        <f>Source!AJH2</f>
        <v/>
      </c>
      <c r="AJH2" s="10" t="str">
        <f>Source!AJI2</f>
        <v/>
      </c>
      <c r="AJI2" s="10" t="str">
        <f>Source!AJJ2</f>
        <v/>
      </c>
      <c r="AJJ2" s="10" t="str">
        <f>Source!AJK2</f>
        <v/>
      </c>
      <c r="AJK2" s="10" t="str">
        <f>Source!AJL2</f>
        <v/>
      </c>
      <c r="AJL2" s="10" t="str">
        <f>Source!AJM2</f>
        <v/>
      </c>
      <c r="AJM2" s="10" t="str">
        <f>Source!AJN2</f>
        <v/>
      </c>
      <c r="AJN2" s="10" t="str">
        <f>Source!AJO2</f>
        <v/>
      </c>
      <c r="AJO2" s="10" t="str">
        <f>Source!AJP2</f>
        <v/>
      </c>
      <c r="AJP2" s="10" t="str">
        <f>Source!AJQ2</f>
        <v/>
      </c>
      <c r="AJQ2" s="10" t="str">
        <f>Source!AJR2</f>
        <v/>
      </c>
      <c r="AJR2" s="10" t="str">
        <f>Source!AJS2</f>
        <v/>
      </c>
      <c r="AJS2" s="10" t="str">
        <f>Source!AJT2</f>
        <v/>
      </c>
      <c r="AJT2" s="10" t="str">
        <f>Source!AJU2</f>
        <v/>
      </c>
      <c r="AJU2" s="10" t="str">
        <f>Source!AJV2</f>
        <v/>
      </c>
      <c r="AJV2" s="10" t="str">
        <f>Source!AJW2</f>
        <v/>
      </c>
      <c r="AJW2" s="10" t="str">
        <f>Source!AJX2</f>
        <v/>
      </c>
      <c r="AJX2" s="10" t="str">
        <f>Source!AJY2</f>
        <v/>
      </c>
      <c r="AJY2" s="10" t="str">
        <f>Source!AJZ2</f>
        <v/>
      </c>
      <c r="AJZ2" s="10" t="str">
        <f>Source!AKA2</f>
        <v/>
      </c>
      <c r="AKA2" s="10" t="str">
        <f>Source!AKB2</f>
        <v/>
      </c>
      <c r="AKB2" s="10" t="str">
        <f>Source!AKC2</f>
        <v/>
      </c>
      <c r="AKC2" s="10" t="str">
        <f>Source!AKD2</f>
        <v/>
      </c>
      <c r="AKD2" s="10" t="str">
        <f>Source!AKE2</f>
        <v/>
      </c>
      <c r="AKE2" s="10" t="str">
        <f>Source!AKF2</f>
        <v/>
      </c>
      <c r="AKF2" s="10" t="str">
        <f>Source!AKG2</f>
        <v/>
      </c>
      <c r="AKG2" s="10" t="str">
        <f>Source!AKH2</f>
        <v/>
      </c>
      <c r="AKH2" s="10" t="str">
        <f>Source!AKI2</f>
        <v/>
      </c>
      <c r="AKI2" s="10" t="str">
        <f>Source!AKJ2</f>
        <v/>
      </c>
      <c r="AKJ2" s="10" t="str">
        <f>Source!AKK2</f>
        <v/>
      </c>
      <c r="AKK2" s="10" t="str">
        <f>Source!AKL2</f>
        <v/>
      </c>
      <c r="AKL2" s="10" t="str">
        <f>Source!AKM2</f>
        <v/>
      </c>
      <c r="AKM2" s="10" t="str">
        <f>Source!AKN2</f>
        <v/>
      </c>
      <c r="AKN2" s="10" t="str">
        <f>Source!AKO2</f>
        <v/>
      </c>
      <c r="AKO2" s="10" t="str">
        <f>Source!AKP2</f>
        <v/>
      </c>
      <c r="AKP2" s="10" t="str">
        <f>Source!AKQ2</f>
        <v/>
      </c>
      <c r="AKQ2" s="10" t="str">
        <f>Source!AKR2</f>
        <v/>
      </c>
      <c r="AKR2" s="10" t="str">
        <f>Source!AKS2</f>
        <v/>
      </c>
      <c r="AKS2" s="10" t="str">
        <f>Source!AKT2</f>
        <v/>
      </c>
      <c r="AKT2" s="10" t="str">
        <f>Source!AKU2</f>
        <v/>
      </c>
      <c r="AKU2" s="10" t="str">
        <f>Source!AKV2</f>
        <v/>
      </c>
      <c r="AKV2" s="10" t="str">
        <f>Source!AKW2</f>
        <v/>
      </c>
      <c r="AKW2" s="10" t="str">
        <f>Source!AKX2</f>
        <v/>
      </c>
      <c r="AKX2" s="10" t="str">
        <f>Source!AKY2</f>
        <v/>
      </c>
      <c r="AKY2" s="10" t="str">
        <f>Source!AKZ2</f>
        <v/>
      </c>
      <c r="AKZ2" s="10" t="str">
        <f>Source!ALA2</f>
        <v/>
      </c>
      <c r="ALA2" s="10" t="str">
        <f>Source!ALB2</f>
        <v/>
      </c>
      <c r="ALB2" s="10" t="str">
        <f>Source!ALC2</f>
        <v/>
      </c>
      <c r="ALC2" s="10" t="str">
        <f>Source!ALD2</f>
        <v/>
      </c>
      <c r="ALD2" s="10" t="str">
        <f>Source!ALE2</f>
        <v/>
      </c>
      <c r="ALE2" s="10" t="str">
        <f>Source!ALF2</f>
        <v/>
      </c>
      <c r="ALF2" s="10" t="str">
        <f>Source!ALG2</f>
        <v/>
      </c>
      <c r="ALG2" s="10" t="str">
        <f>Source!ALH2</f>
        <v/>
      </c>
      <c r="ALH2" s="10" t="str">
        <f>Source!ALI2</f>
        <v/>
      </c>
      <c r="ALI2" s="10" t="str">
        <f>Source!ALJ2</f>
        <v/>
      </c>
      <c r="ALJ2" s="10" t="str">
        <f>Source!ALK2</f>
        <v/>
      </c>
      <c r="ALK2" s="10" t="str">
        <f>Source!ALL2</f>
        <v/>
      </c>
      <c r="ALL2" s="10" t="str">
        <f>Source!ALM2</f>
        <v/>
      </c>
      <c r="ALM2" s="10" t="str">
        <f>Source!ALN2</f>
        <v/>
      </c>
    </row>
    <row r="3" spans="1:1001" ht="37.5" customHeight="1" x14ac:dyDescent="0.2">
      <c r="A3" s="12" t="s">
        <v>62</v>
      </c>
    </row>
    <row r="4" spans="1:1001" ht="37.5" customHeight="1" x14ac:dyDescent="0.2">
      <c r="A4" s="12" t="s">
        <v>65</v>
      </c>
      <c r="I4" s="13"/>
    </row>
    <row r="5" spans="1:1001" ht="37.5" customHeight="1" x14ac:dyDescent="0.2">
      <c r="A5" s="12" t="s">
        <v>66</v>
      </c>
    </row>
    <row r="6" spans="1:1001" ht="37.5" customHeight="1" x14ac:dyDescent="0.2">
      <c r="A6" s="12" t="s">
        <v>67</v>
      </c>
      <c r="L6" s="13"/>
    </row>
    <row r="7" spans="1:1001" ht="37.5" customHeight="1" x14ac:dyDescent="0.2">
      <c r="A7" s="12" t="s">
        <v>68</v>
      </c>
    </row>
    <row r="8" spans="1:1001" ht="37.5" customHeight="1" x14ac:dyDescent="0.2">
      <c r="A8" s="12" t="s">
        <v>69</v>
      </c>
    </row>
    <row r="9" spans="1:1001" ht="37.5" customHeight="1" x14ac:dyDescent="0.2">
      <c r="A9" s="12" t="s">
        <v>70</v>
      </c>
    </row>
    <row r="10" spans="1:1001" ht="37.5" customHeight="1" x14ac:dyDescent="0.2">
      <c r="A10" s="12" t="s">
        <v>71</v>
      </c>
    </row>
    <row r="11" spans="1:1001" ht="37.5" customHeight="1" x14ac:dyDescent="0.2">
      <c r="A11" s="12" t="s">
        <v>72</v>
      </c>
    </row>
    <row r="13" spans="1:1001" ht="37.5" customHeight="1" x14ac:dyDescent="0.2">
      <c r="A13" s="12" t="s">
        <v>63</v>
      </c>
    </row>
    <row r="14" spans="1:1001" ht="37.5" customHeight="1" x14ac:dyDescent="0.2">
      <c r="A14" s="12" t="s">
        <v>65</v>
      </c>
    </row>
    <row r="15" spans="1:1001" ht="37.5" customHeight="1" x14ac:dyDescent="0.2">
      <c r="A15" s="12" t="s">
        <v>66</v>
      </c>
    </row>
    <row r="16" spans="1:1001" ht="37.5" customHeight="1" x14ac:dyDescent="0.2">
      <c r="A16" s="12" t="s">
        <v>67</v>
      </c>
    </row>
    <row r="17" spans="1:1" ht="37.5" customHeight="1" x14ac:dyDescent="0.2">
      <c r="A17" s="12" t="s">
        <v>68</v>
      </c>
    </row>
    <row r="18" spans="1:1" ht="37.5" customHeight="1" x14ac:dyDescent="0.2">
      <c r="A18" s="12" t="s">
        <v>69</v>
      </c>
    </row>
    <row r="19" spans="1:1" ht="37.5" customHeight="1" x14ac:dyDescent="0.2">
      <c r="A19" s="12" t="s">
        <v>70</v>
      </c>
    </row>
    <row r="20" spans="1:1" ht="37.5" customHeight="1" x14ac:dyDescent="0.2">
      <c r="A20" s="12" t="s">
        <v>71</v>
      </c>
    </row>
    <row r="21" spans="1:1" ht="37.5" customHeight="1" x14ac:dyDescent="0.2">
      <c r="A21" s="12" t="s">
        <v>72</v>
      </c>
    </row>
    <row r="23" spans="1:1" ht="37.5" customHeight="1" x14ac:dyDescent="0.2">
      <c r="A23" s="12" t="s">
        <v>64</v>
      </c>
    </row>
    <row r="24" spans="1:1" ht="37.5" customHeight="1" x14ac:dyDescent="0.2">
      <c r="A24" s="12" t="s">
        <v>65</v>
      </c>
    </row>
    <row r="25" spans="1:1" ht="37.5" customHeight="1" x14ac:dyDescent="0.2">
      <c r="A25" s="12" t="s">
        <v>66</v>
      </c>
    </row>
    <row r="26" spans="1:1" ht="37.5" customHeight="1" x14ac:dyDescent="0.2">
      <c r="A26" s="12" t="s">
        <v>67</v>
      </c>
    </row>
    <row r="27" spans="1:1" ht="37.5" customHeight="1" x14ac:dyDescent="0.2">
      <c r="A27" s="12" t="s">
        <v>68</v>
      </c>
    </row>
    <row r="28" spans="1:1" ht="37.5" customHeight="1" x14ac:dyDescent="0.2">
      <c r="A28" s="12" t="s">
        <v>69</v>
      </c>
    </row>
    <row r="29" spans="1:1" ht="37.5" customHeight="1" x14ac:dyDescent="0.2">
      <c r="A29" s="12" t="s">
        <v>70</v>
      </c>
    </row>
    <row r="30" spans="1:1" ht="37.5" customHeight="1" x14ac:dyDescent="0.2">
      <c r="A30" s="12" t="s">
        <v>71</v>
      </c>
    </row>
    <row r="31" spans="1:1" ht="37.5" customHeight="1" x14ac:dyDescent="0.2">
      <c r="A31" s="12" t="s">
        <v>72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Instructions</vt:lpstr>
      <vt:lpstr>Dashboard</vt:lpstr>
      <vt:lpstr>Touchpoints</vt:lpstr>
      <vt:lpstr>Source</vt:lpstr>
      <vt:lpstr>Maps</vt:lpstr>
      <vt:lpstr>category1</vt:lpstr>
      <vt:lpstr>category2</vt:lpstr>
      <vt:lpstr>drawbutton</vt:lpstr>
      <vt:lpstr>drawbuttonsrc</vt:lpstr>
      <vt:lpstr>stages</vt:lpstr>
      <vt:lpstr>stg</vt:lpstr>
      <vt:lpstr>touchpoints</vt:lpstr>
      <vt:lpstr>tpheader</vt:lpstr>
    </vt:vector>
  </TitlesOfParts>
  <Company>Discover Financial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Shaw</dc:creator>
  <cp:lastModifiedBy>Chris Shaw</cp:lastModifiedBy>
  <dcterms:created xsi:type="dcterms:W3CDTF">2013-08-02T15:13:07Z</dcterms:created>
  <dcterms:modified xsi:type="dcterms:W3CDTF">2014-07-22T03:02:27Z</dcterms:modified>
</cp:coreProperties>
</file>